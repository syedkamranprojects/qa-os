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lenium\Automation\PHP_QA\casedata\"/>
    </mc:Choice>
  </mc:AlternateContent>
  <bookViews>
    <workbookView xWindow="0" yWindow="0" windowWidth="24000" windowHeight="9510" tabRatio="923" firstSheet="40" activeTab="45"/>
  </bookViews>
  <sheets>
    <sheet name="Dispatch Advice PH (2)" sheetId="107" r:id="rId1"/>
    <sheet name="Dispatch Advice PH" sheetId="31" r:id="rId2"/>
    <sheet name="Dispatch Advice Detail2 PH" sheetId="79" r:id="rId3"/>
    <sheet name="Dispatch Advice Detail PH" sheetId="32" r:id="rId4"/>
    <sheet name="Dispatch Advice Loss PH" sheetId="33" r:id="rId5"/>
    <sheet name="DA Amount Val PH" sheetId="206" r:id="rId6"/>
    <sheet name="Dispatch Advice Loss Approval" sheetId="35" r:id="rId7"/>
    <sheet name="DA_APPROVALFRWD_ASSR" sheetId="65" r:id="rId8"/>
    <sheet name="Dispatch Advice Approval" sheetId="40" r:id="rId9"/>
    <sheet name="Dispatch Advice Forward PH" sheetId="99" r:id="rId10"/>
    <sheet name="Dispatch Advice II Approval" sheetId="100" r:id="rId11"/>
    <sheet name="Stock_Val_after_DA_R2_PH" sheetId="194" r:id="rId12"/>
    <sheet name="Stock_Val_after_DA_2_R2_PH" sheetId="195" r:id="rId13"/>
    <sheet name="Stock_Val_after_DA_3_R2_PH" sheetId="196" r:id="rId14"/>
    <sheet name="Stock_ValafterDA3_ASSR" sheetId="197" r:id="rId15"/>
    <sheet name="DA_FORWARD_ASSR" sheetId="50" r:id="rId16"/>
    <sheet name="DA_LOSS_APPROVALFRWD_ASSR" sheetId="66" r:id="rId17"/>
    <sheet name="OTC Stock Out R2 PH" sheetId="198" r:id="rId18"/>
    <sheet name="OTC Stock Out Det R2 PH" sheetId="199" r:id="rId19"/>
    <sheet name="OTC Stock Out Fwd R2 PH" sheetId="200" r:id="rId20"/>
    <sheet name="SAN_FWD_ASSR" sheetId="201" r:id="rId21"/>
    <sheet name="Order Booking PH" sheetId="7" r:id="rId22"/>
    <sheet name="Order Booking Detail PH" sheetId="8" r:id="rId23"/>
    <sheet name="Order Booking Detail2 PH" sheetId="45" r:id="rId24"/>
    <sheet name="ORD_BOOK_SAVE_ASSR" sheetId="49" r:id="rId25"/>
    <sheet name="Trans Inquiry val after OB PH" sheetId="102" r:id="rId26"/>
    <sheet name="Trans Inquiry Detail  Val OB PH" sheetId="103" r:id="rId27"/>
    <sheet name="Trans Inq Header Val OB PH" sheetId="104" r:id="rId28"/>
    <sheet name="Total Offering Amt Val OB PH" sheetId="105" r:id="rId29"/>
    <sheet name="Transecti After OB Tax PH" sheetId="106" r:id="rId30"/>
    <sheet name="Stock Allocation" sheetId="36" r:id="rId31"/>
    <sheet name="Allocation_ASSR" sheetId="84" r:id="rId32"/>
    <sheet name="Order Editing QTY Increase PH" sheetId="29" r:id="rId33"/>
    <sheet name="Order Editing Detail QTY IN PH" sheetId="30" r:id="rId34"/>
    <sheet name="Order Editing Detail4 QTY IN PH" sheetId="47" r:id="rId35"/>
    <sheet name="ORD_EDIT_VALD_ASSR" sheetId="51" r:id="rId36"/>
    <sheet name="ORD_EDIT_SAVE_ASSR" sheetId="52" r:id="rId37"/>
    <sheet name="Order Editing QTY Decrease PH" sheetId="207" r:id="rId38"/>
    <sheet name="Order Editing Detail QTY Dec PH" sheetId="208" r:id="rId39"/>
    <sheet name="Order Edit Detail4 QTY Dec PH" sheetId="209" r:id="rId40"/>
    <sheet name="Trans Inq val after Editing PH" sheetId="108" r:id="rId41"/>
    <sheet name="Trans Inq Detail Val Editing PH" sheetId="109" r:id="rId42"/>
    <sheet name="Trans Inq Header Val Editing PH" sheetId="110" r:id="rId43"/>
    <sheet name="Total Offeri Amt Val Editing PH" sheetId="111" r:id="rId44"/>
    <sheet name="Transecti After Editing Tax PH" sheetId="112" r:id="rId45"/>
    <sheet name="Stock Unallocation" sheetId="83" r:id="rId46"/>
    <sheet name="Unallocated_ASSR" sheetId="63" r:id="rId47"/>
    <sheet name="Stock_Allocation_ASSR" sheetId="118" r:id="rId48"/>
    <sheet name="Order Cancellation" sheetId="27" r:id="rId49"/>
    <sheet name="Order Cancellation Detail" sheetId="28" r:id="rId50"/>
    <sheet name="Order Cancellation Detail_Val" sheetId="113" r:id="rId51"/>
    <sheet name="Delivery Date Change" sheetId="11" r:id="rId52"/>
    <sheet name="Goods Issue Note PH" sheetId="9" r:id="rId53"/>
    <sheet name="screenshot_ASSR" sheetId="115" r:id="rId54"/>
    <sheet name="G Issue Note CM Select PH" sheetId="61" r:id="rId55"/>
    <sheet name="G Issue Note Detail PH" sheetId="10" r:id="rId56"/>
    <sheet name="Goods_Issue_Note_Detail_ASSR" sheetId="116" r:id="rId57"/>
    <sheet name="G Issue N Val Detail PH" sheetId="114" r:id="rId58"/>
    <sheet name="G Issue Note Forward PH" sheetId="60" r:id="rId59"/>
    <sheet name="GIN_FORWARD_ASSR" sheetId="54" r:id="rId60"/>
    <sheet name="Stock_Val_after_GIN_R2_PH" sheetId="190" r:id="rId61"/>
    <sheet name="Stock_Val_after_GIN_2_R2_PH" sheetId="191" r:id="rId62"/>
    <sheet name="Stock_Val_after_GIN_3_R2_PH" sheetId="192" r:id="rId63"/>
    <sheet name="Stock_ValafterGIN3_ASSR" sheetId="193" r:id="rId64"/>
    <sheet name="Tran Inq val aftr Good I Not PH" sheetId="119" r:id="rId65"/>
    <sheet name="Tran Inq Detail Val G I N PH" sheetId="120" r:id="rId66"/>
    <sheet name="Trans Inq Header Val G I N PH" sheetId="121" r:id="rId67"/>
    <sheet name="Total Offer Amt Val G I N PH" sheetId="122" r:id="rId68"/>
    <sheet name="Transecti After G I N Tax PH" sheetId="123" r:id="rId69"/>
    <sheet name="Cashmemo Status PH" sheetId="12" r:id="rId70"/>
    <sheet name="ORD_STATUS_SAVE_ASSR" sheetId="62" r:id="rId71"/>
    <sheet name="Cashmemo Status Val PH" sheetId="117" r:id="rId72"/>
    <sheet name="Goods Issue Note Approval" sheetId="75" r:id="rId73"/>
    <sheet name="GIN_ APPROVAL_ASSR" sheetId="71" r:id="rId74"/>
    <sheet name="GIN_DTL_SAVE_ASSR" sheetId="53" r:id="rId75"/>
    <sheet name="FRESH_SALES_RETURN PH" sheetId="92" r:id="rId76"/>
    <sheet name="FRESH_SALES_RETURN_ASSR" sheetId="93" r:id="rId77"/>
    <sheet name="F_SALES_RETURN DTL Partial PH" sheetId="94" r:id="rId78"/>
    <sheet name="F SALES RETURN Val Partial PH" sheetId="124" r:id="rId79"/>
    <sheet name="FRESH SALES RETURN Full PH" sheetId="97" r:id="rId80"/>
    <sheet name="FRESH_SALES_RETURN_Full_ASSR" sheetId="98" r:id="rId81"/>
    <sheet name="F_SALES_RETURN DTL_Full PH" sheetId="95" r:id="rId82"/>
    <sheet name="F SALES_RETURN Val Full PH" sheetId="125" r:id="rId83"/>
    <sheet name="Trans InqVal Aft Partial Ful PH" sheetId="127" r:id="rId84"/>
    <sheet name="Tra InqVal Fresh S R P DetlPH" sheetId="128" r:id="rId85"/>
    <sheet name="Tran InqVal Aft Fresh  H PH" sheetId="129" r:id="rId86"/>
    <sheet name="Tran Val Fresh Parti TOffer PH" sheetId="130" r:id="rId87"/>
    <sheet name="Trans Aft Fresh Partial Tax PH" sheetId="131" r:id="rId88"/>
    <sheet name="Sales Return PH" sheetId="132" r:id="rId89"/>
    <sheet name="Sales Return Detail PH" sheetId="133" r:id="rId90"/>
    <sheet name="Sales Return Validat PH" sheetId="134" r:id="rId91"/>
    <sheet name="S Return View Forward PH" sheetId="136" r:id="rId92"/>
    <sheet name="S Return View Detl Forward PH" sheetId="137" r:id="rId93"/>
    <sheet name="S Return View Forward Valid (2" sheetId="157" r:id="rId94"/>
    <sheet name="S Return View Forward Valid PH" sheetId="138" r:id="rId95"/>
    <sheet name="Sales Return View Appro PH" sheetId="135" r:id="rId96"/>
    <sheet name="Sales Re View Val Approval PH" sheetId="149" r:id="rId97"/>
    <sheet name="Sales Return Full PH" sheetId="139" r:id="rId98"/>
    <sheet name="SALES_Retu Detil_Full PH" sheetId="143" r:id="rId99"/>
    <sheet name="Sales Return FullVal PH" sheetId="141" r:id="rId100"/>
    <sheet name="Sales R Full Forward PH" sheetId="142" r:id="rId101"/>
    <sheet name="Tran Val Aft S R Partial Ful PH" sheetId="144" r:id="rId102"/>
    <sheet name="Tra InqVal Sales R P F Detl (2" sheetId="158" r:id="rId103"/>
    <sheet name="Tra InqVal Sales R P F DetlPH" sheetId="145" r:id="rId104"/>
    <sheet name="Tran InqVal Aft Sales R H P (2" sheetId="159" r:id="rId105"/>
    <sheet name="Tran InqVal Aft Sales R H PH" sheetId="146" r:id="rId106"/>
    <sheet name="Tran Val Sales R P F TOffer PH" sheetId="147" r:id="rId107"/>
    <sheet name="Trans Aft Sale R Partial Tax PH" sheetId="148" r:id="rId108"/>
    <sheet name="Sales Ret Status Change PH" sheetId="150" r:id="rId109"/>
    <sheet name="Sales R Status Change Detail PH" sheetId="152" r:id="rId110"/>
    <sheet name="Sales R Status Change Val PH" sheetId="151" r:id="rId111"/>
    <sheet name="Deposit Slip Full Cash" sheetId="161" r:id="rId112"/>
    <sheet name="Deposit Slip,Cmemos Full Cash" sheetId="162" r:id="rId113"/>
    <sheet name="Deposit Slip FullAmount Cheque" sheetId="163" r:id="rId114"/>
    <sheet name="Deposit Slip Unposted" sheetId="175" r:id="rId115"/>
    <sheet name="Deposit Slip,Cash memos unPost" sheetId="176" r:id="rId116"/>
    <sheet name="Deposit slip Val Unposted" sheetId="177" r:id="rId117"/>
    <sheet name="Depo Slip,Cash m F Amount Che" sheetId="164" r:id="rId118"/>
    <sheet name="Deposit Slip,Cash PH" sheetId="153" r:id="rId119"/>
    <sheet name="Deposit Slip,Cash memos,Cash PH" sheetId="154" r:id="rId120"/>
    <sheet name="Deposit Slip Cheque PH" sheetId="155" r:id="rId121"/>
    <sheet name="Deposit Slip,Cash memos PH" sheetId="156" r:id="rId122"/>
    <sheet name="Deposit Slip,Cash memos" sheetId="20" r:id="rId123"/>
    <sheet name="Deposit Slip" sheetId="19" r:id="rId124"/>
    <sheet name="Deposit Slip,Outlet" sheetId="88" r:id="rId125"/>
    <sheet name="Deposit Slip,Other" sheetId="170" r:id="rId126"/>
    <sheet name="Deposit Slip,Cash memos,Other" sheetId="171" r:id="rId127"/>
    <sheet name="Dispatch_Advice_Detail2_ASSR" sheetId="80" r:id="rId128"/>
    <sheet name="DA Loss Approval Request" sheetId="34" r:id="rId129"/>
    <sheet name="Approval Screen" sheetId="39" r:id="rId130"/>
    <sheet name="Sales Return" sheetId="13" r:id="rId131"/>
    <sheet name="Sales Return Detail" sheetId="14" r:id="rId132"/>
    <sheet name="SaleRetDTL_Valid_ASSR" sheetId="56" r:id="rId133"/>
    <sheet name="SaleRetDTL_SAVE_ASSR" sheetId="55" r:id="rId134"/>
    <sheet name="Sales Return Status Change" sheetId="17" r:id="rId135"/>
    <sheet name="Sales Return Status Change Det" sheetId="18" r:id="rId136"/>
    <sheet name="SR_StatsChang_DTL_SAVE_ASSR" sheetId="58" r:id="rId137"/>
    <sheet name="Sales Return View" sheetId="15" r:id="rId138"/>
    <sheet name="SaleRetrunView_ASSR" sheetId="57" r:id="rId139"/>
    <sheet name="Sales Return View Approval" sheetId="16" r:id="rId140"/>
    <sheet name="SaleRetrunViewApprval_ASSR" sheetId="64" r:id="rId141"/>
    <sheet name="Goods Return Note" sheetId="23" r:id="rId142"/>
    <sheet name="Good Return Note Detail" sheetId="24" r:id="rId143"/>
    <sheet name="Good Return Note Detail_Valida" sheetId="160" r:id="rId144"/>
    <sheet name="GRN_DTL_SAVE_ASSR" sheetId="72" r:id="rId145"/>
    <sheet name="Goods Return Note Forward" sheetId="46" r:id="rId146"/>
    <sheet name="GRN_FORWARD_ASSR" sheetId="73" r:id="rId147"/>
    <sheet name="Good Return Note Approval" sheetId="76" r:id="rId148"/>
    <sheet name="GRN_APPROVAL_ASSR" sheetId="74" r:id="rId149"/>
    <sheet name="Stock_Val_after_GRN_R2_PH" sheetId="186" r:id="rId150"/>
    <sheet name="Stock_Val_after_GRN_2_R2_PH" sheetId="187" r:id="rId151"/>
    <sheet name="Stock_Val_after_GRN_3_R2_PH" sheetId="188" r:id="rId152"/>
    <sheet name="Stock_ValafterGRN3_ASSR" sheetId="189" r:id="rId153"/>
    <sheet name="DEPOSIT_SAVE_ASSR" sheetId="68" r:id="rId154"/>
    <sheet name="Deposit Slip,Cash" sheetId="90" r:id="rId155"/>
    <sheet name="Deposit Slip,Cash memos,Cash" sheetId="91" r:id="rId156"/>
    <sheet name="Route Settlement PH" sheetId="41" r:id="rId157"/>
    <sheet name="Route Settlement Validation PH" sheetId="165" r:id="rId158"/>
    <sheet name="Route Settlement Validation1PH" sheetId="166" r:id="rId159"/>
    <sheet name="Route Settlement Validation (2" sheetId="172" r:id="rId160"/>
    <sheet name="Route Settlement Validation2PH" sheetId="167" r:id="rId161"/>
    <sheet name="Route Settlement Validation3PH" sheetId="168" r:id="rId162"/>
    <sheet name="T Inquiry Search outlet PH" sheetId="173" r:id="rId163"/>
    <sheet name="Validate Offset amount PH" sheetId="174" r:id="rId164"/>
    <sheet name="Dslip cash aft ord removal PH" sheetId="179" r:id="rId165"/>
    <sheet name="Dslip chequ aft ord removd PH" sheetId="180" r:id="rId166"/>
    <sheet name="Cheque Status" sheetId="86" r:id="rId167"/>
    <sheet name="DSR Adjustment Amount" sheetId="21" r:id="rId168"/>
    <sheet name="DSR Adjustment Amount,Detail" sheetId="22" r:id="rId169"/>
    <sheet name="DSR_ADJ_AMOUNT_ASSR" sheetId="59" r:id="rId170"/>
    <sheet name="SAN Admin PH" sheetId="181" r:id="rId171"/>
    <sheet name="SAN Admin Detail PH" sheetId="182" r:id="rId172"/>
    <sheet name="SAN Admin Forward PH" sheetId="183" r:id="rId173"/>
    <sheet name="SAN Approval PH" sheetId="184" r:id="rId174"/>
    <sheet name="SAN_APP_ASSR" sheetId="185" r:id="rId175"/>
    <sheet name="GLOBAL-REPO" sheetId="42" r:id="rId176"/>
    <sheet name="Open_Close_Stock_Val_R2_PH" sheetId="202" r:id="rId177"/>
    <sheet name="Open_Close_Stock_Val2_R2_PH" sheetId="203" r:id="rId178"/>
    <sheet name="Open_Close_Stock_Val3_R2_PH" sheetId="204" r:id="rId179"/>
    <sheet name="Open_CloseStockVal3_ASSR" sheetId="205" r:id="rId180"/>
    <sheet name="Free_SKU_Val_Aft_DA_1_PH" sheetId="235" r:id="rId181"/>
    <sheet name="Free_SKU_Val_Aft_DA_2_PH" sheetId="236" r:id="rId182"/>
    <sheet name="Free_SKU_Val_Aft_DA_3_PH" sheetId="237" r:id="rId183"/>
    <sheet name="Free_SKU_Val_Aft_OB_1_PH" sheetId="210" r:id="rId184"/>
    <sheet name="Free_SKU_Val_Aft_OB_2_PH" sheetId="211" r:id="rId185"/>
    <sheet name="Free_SKU_Val_Aft_OB_3_PH" sheetId="212" r:id="rId186"/>
    <sheet name="Free_SKU_Val_Aft_StockUnAl_1_PH" sheetId="214" r:id="rId187"/>
    <sheet name="Free_SKU_Val_Aft_StockUnAl_2_PH" sheetId="215" r:id="rId188"/>
    <sheet name="Free_SKU_Val_Aft_StockUnAl_3_PH" sheetId="216" r:id="rId189"/>
    <sheet name="FreeSKU_Val_Aft_OrdEdit_IN_1_PH" sheetId="221" r:id="rId190"/>
    <sheet name="FreeSKU_Val_Aft_OrdEdit_IN_2_PH" sheetId="222" r:id="rId191"/>
    <sheet name="FreeSKU_Val_Aft_OrdEdit_IN_3_PH" sheetId="223" r:id="rId192"/>
    <sheet name="FreeSKU_Val_AftOrdEdit_DEC_1_PH" sheetId="226" r:id="rId193"/>
    <sheet name="FreeSKU_Val_AftOrdEdit_DEC_2_PH" sheetId="227" r:id="rId194"/>
    <sheet name="FreeSKU_Val_AftOrdEdit_DEC_3_PH" sheetId="228" r:id="rId195"/>
    <sheet name="Free_SKU_Val_Aft_StockAllo_1_PH" sheetId="229" r:id="rId196"/>
    <sheet name="Free_SKU_Val_Aft_StockAllo_2_PH" sheetId="230" r:id="rId197"/>
    <sheet name="Free_SKU_Val_Aft_StockAllo_3_PH" sheetId="231" r:id="rId198"/>
    <sheet name="FreeSKU_Val_Aft_OrdrCancel_1_PH" sheetId="232" r:id="rId199"/>
    <sheet name="FreeSKU_Val_Aft_OrdrCancel_2_PH" sheetId="233" r:id="rId200"/>
    <sheet name="FreeSKU_Val_Aft_OrdrCancel_3_PH" sheetId="234" r:id="rId201"/>
    <sheet name="Free_SKU_Val_Aft_GIN_1_PH" sheetId="238" r:id="rId202"/>
    <sheet name="Free_SKU_Val_Aft_GIN_2_PH" sheetId="239" r:id="rId203"/>
    <sheet name="Free_SKU_Val_Aft_GIN_3_PH" sheetId="240" r:id="rId204"/>
    <sheet name="FreeSKU_Val_Aft_FreshRet_P_1_PH" sheetId="241" r:id="rId205"/>
    <sheet name="FreeSKU_Val_Aft_FreshRet_P_2_PH" sheetId="242" r:id="rId206"/>
    <sheet name="FreeSKU_Val_Aft_FreshRet_P_3_PH" sheetId="243" r:id="rId207"/>
    <sheet name="DEPOSIT_DTL_SAVE_ASSR" sheetId="67" r:id="rId208"/>
    <sheet name="Deposit Slip,Forward" sheetId="43" r:id="rId209"/>
    <sheet name="Deposit Slip,Approval" sheetId="82" r:id="rId210"/>
    <sheet name="DEPOSITSLIP_FWD_ASSR" sheetId="69" r:id="rId211"/>
    <sheet name="Deposit Slip Update" sheetId="81" r:id="rId212"/>
    <sheet name="Cheque_Status_ASSR" sheetId="87" r:id="rId213"/>
    <sheet name="Transaction Inquiry" sheetId="37" r:id="rId214"/>
    <sheet name="DELIVERYDATE_CHNG_ASSR" sheetId="70" r:id="rId215"/>
    <sheet name="Stock Inquiry" sheetId="38" r:id="rId216"/>
    <sheet name="PJP Daily PH" sheetId="77" r:id="rId217"/>
    <sheet name="PJP Daily2 PH" sheetId="78" r:id="rId218"/>
    <sheet name="PJP_Daily2_ASSR" sheetId="85" r:id="rId219"/>
    <sheet name="Cashmemo Reschedule" sheetId="89" r:id="rId220"/>
    <sheet name="Distributor selection" sheetId="101" r:id="rId221"/>
  </sheets>
  <calcPr calcId="162913"/>
</workbook>
</file>

<file path=xl/calcChain.xml><?xml version="1.0" encoding="utf-8"?>
<calcChain xmlns="http://schemas.openxmlformats.org/spreadsheetml/2006/main">
  <c r="F2" i="241" l="1"/>
  <c r="F2" i="238"/>
  <c r="F2" i="235"/>
  <c r="F2" i="232"/>
  <c r="F2" i="229"/>
  <c r="F2" i="226"/>
  <c r="F2" i="221"/>
  <c r="F2" i="214"/>
  <c r="F2" i="210" l="1"/>
  <c r="F2" i="207" l="1"/>
  <c r="E2" i="207"/>
  <c r="F2" i="202" l="1"/>
  <c r="F2" i="194"/>
  <c r="F2" i="190"/>
  <c r="F2" i="186"/>
  <c r="D2" i="173" l="1"/>
  <c r="C2" i="173"/>
  <c r="D2" i="102"/>
  <c r="C2" i="102"/>
  <c r="B2" i="164"/>
  <c r="B2" i="156" l="1"/>
  <c r="B2" i="20"/>
  <c r="B2" i="150" l="1"/>
  <c r="D3" i="144"/>
  <c r="C3" i="144"/>
  <c r="D2" i="144"/>
  <c r="C2" i="144"/>
  <c r="C2" i="139"/>
  <c r="B2" i="139"/>
  <c r="C2" i="136"/>
  <c r="B2" i="136"/>
  <c r="C2" i="135"/>
  <c r="B2" i="135"/>
  <c r="C2" i="132"/>
  <c r="B2" i="132"/>
  <c r="D3" i="127"/>
  <c r="C3" i="127"/>
  <c r="D2" i="127"/>
  <c r="C2" i="127"/>
  <c r="D2" i="119"/>
  <c r="C2" i="119"/>
  <c r="D2" i="108"/>
  <c r="C2" i="108"/>
  <c r="A2" i="83"/>
  <c r="I2" i="107"/>
  <c r="F2" i="107"/>
  <c r="C2" i="107"/>
  <c r="A2" i="31" l="1"/>
  <c r="C2" i="97" l="1"/>
  <c r="B2" i="97"/>
  <c r="B2" i="92" l="1"/>
  <c r="C2" i="92"/>
  <c r="B3" i="88" l="1"/>
  <c r="B4" i="88"/>
  <c r="B5" i="88"/>
  <c r="B2" i="13" l="1"/>
  <c r="C2" i="13"/>
  <c r="B2" i="89"/>
  <c r="B2" i="88" l="1"/>
  <c r="B2" i="22"/>
  <c r="A2" i="89"/>
  <c r="B2" i="86" l="1"/>
  <c r="E2" i="78" l="1"/>
  <c r="A2" i="77" l="1"/>
  <c r="A2" i="41" l="1"/>
  <c r="A2" i="22"/>
  <c r="D2" i="38"/>
  <c r="B2" i="11"/>
  <c r="A2" i="11"/>
  <c r="D2" i="37"/>
  <c r="C2" i="37"/>
  <c r="A2" i="36"/>
  <c r="C2" i="16"/>
  <c r="B2" i="16"/>
  <c r="C2" i="15"/>
  <c r="B2" i="15"/>
  <c r="B2" i="17"/>
  <c r="B2" i="9"/>
  <c r="A2" i="40"/>
  <c r="E2" i="27"/>
  <c r="D2" i="27"/>
  <c r="F2" i="29"/>
  <c r="E2" i="29"/>
</calcChain>
</file>

<file path=xl/sharedStrings.xml><?xml version="1.0" encoding="utf-8"?>
<sst xmlns="http://schemas.openxmlformats.org/spreadsheetml/2006/main" count="3721" uniqueCount="650">
  <si>
    <t>Order Booker/Spot Seller</t>
  </si>
  <si>
    <t>PJP</t>
  </si>
  <si>
    <t>Selling Category</t>
  </si>
  <si>
    <t>Section</t>
  </si>
  <si>
    <t>Outlet Name</t>
  </si>
  <si>
    <t>Comments</t>
  </si>
  <si>
    <t>PK</t>
  </si>
  <si>
    <t>Order Booker</t>
  </si>
  <si>
    <t>OrderCS</t>
  </si>
  <si>
    <t>OrderPC</t>
  </si>
  <si>
    <t>0</t>
  </si>
  <si>
    <t>Delivery Man PJP</t>
  </si>
  <si>
    <t>Warehouse</t>
  </si>
  <si>
    <t>Delivery Date</t>
  </si>
  <si>
    <t>Actual CS</t>
  </si>
  <si>
    <t>Actual PC</t>
  </si>
  <si>
    <t>Order Date</t>
  </si>
  <si>
    <t>PJP Number</t>
  </si>
  <si>
    <t>Date From</t>
  </si>
  <si>
    <t>Date To</t>
  </si>
  <si>
    <t>Reason Type</t>
  </si>
  <si>
    <t>PC</t>
  </si>
  <si>
    <t>Shop Closed</t>
  </si>
  <si>
    <t>PJP-DSR</t>
  </si>
  <si>
    <t>Type</t>
  </si>
  <si>
    <t>Bank</t>
  </si>
  <si>
    <t>Bank Branch</t>
  </si>
  <si>
    <t>Deposit Amount</t>
  </si>
  <si>
    <t>Cheque No</t>
  </si>
  <si>
    <t>Cheque Date</t>
  </si>
  <si>
    <t>Bank_Name</t>
  </si>
  <si>
    <t>1234567</t>
  </si>
  <si>
    <t>Amount</t>
  </si>
  <si>
    <t>AUTO</t>
  </si>
  <si>
    <t>Start Date</t>
  </si>
  <si>
    <t>End Date</t>
  </si>
  <si>
    <t>CS</t>
  </si>
  <si>
    <t>1</t>
  </si>
  <si>
    <t>Date</t>
  </si>
  <si>
    <t>01</t>
  </si>
  <si>
    <t>Cancellation Reason</t>
  </si>
  <si>
    <t>Reference Number</t>
  </si>
  <si>
    <t>STPONERR</t>
  </si>
  <si>
    <t>N</t>
  </si>
  <si>
    <t>OrderDZ</t>
  </si>
  <si>
    <t>Selling category</t>
  </si>
  <si>
    <t>Product</t>
  </si>
  <si>
    <t>Stock Type</t>
  </si>
  <si>
    <t>Batch</t>
  </si>
  <si>
    <t>Sound</t>
  </si>
  <si>
    <t>1-1</t>
  </si>
  <si>
    <t>50</t>
  </si>
  <si>
    <t>12</t>
  </si>
  <si>
    <t>Stock</t>
  </si>
  <si>
    <t>Expired</t>
  </si>
  <si>
    <t>5</t>
  </si>
  <si>
    <t>comments</t>
  </si>
  <si>
    <t>Auto</t>
  </si>
  <si>
    <t>Document Type</t>
  </si>
  <si>
    <t>Document Status</t>
  </si>
  <si>
    <t>Document Date From</t>
  </si>
  <si>
    <t>Document Date To</t>
  </si>
  <si>
    <t>Sales</t>
  </si>
  <si>
    <t>All</t>
  </si>
  <si>
    <t>Period Type</t>
  </si>
  <si>
    <t>Balance Date</t>
  </si>
  <si>
    <t>DAILY</t>
  </si>
  <si>
    <t>distributors</t>
  </si>
  <si>
    <t>SO Number</t>
  </si>
  <si>
    <t>ProductDesc</t>
  </si>
  <si>
    <t>02</t>
  </si>
  <si>
    <t>03</t>
  </si>
  <si>
    <t>Automation Approval</t>
  </si>
  <si>
    <t>01-01</t>
  </si>
  <si>
    <t>01-02</t>
  </si>
  <si>
    <t>60</t>
  </si>
  <si>
    <t>Lost</t>
  </si>
  <si>
    <t>2</t>
  </si>
  <si>
    <t>4</t>
  </si>
  <si>
    <t>04</t>
  </si>
  <si>
    <t>REPOID</t>
  </si>
  <si>
    <t>REPOVALUE</t>
  </si>
  <si>
    <t>REPO_ORGA</t>
  </si>
  <si>
    <t>Document Date</t>
  </si>
  <si>
    <t>Price Difference</t>
  </si>
  <si>
    <t>Automation_Testing_Section</t>
  </si>
  <si>
    <t>Outlet Code</t>
  </si>
  <si>
    <t>comments1</t>
  </si>
  <si>
    <t>Approval</t>
  </si>
  <si>
    <t>Gross Amount</t>
  </si>
  <si>
    <t>Discount</t>
  </si>
  <si>
    <t>Tax</t>
  </si>
  <si>
    <t>Net Amount</t>
  </si>
  <si>
    <t>REPO_CMDOCTYPE</t>
  </si>
  <si>
    <t>CM-01</t>
  </si>
  <si>
    <t>Trade Price</t>
  </si>
  <si>
    <t>02-01</t>
  </si>
  <si>
    <t>02-02</t>
  </si>
  <si>
    <t>03-01</t>
  </si>
  <si>
    <t>03-02</t>
  </si>
  <si>
    <t>04-01</t>
  </si>
  <si>
    <t>04-02</t>
  </si>
  <si>
    <t>Selling Category 001</t>
  </si>
  <si>
    <t>Automation Positive 01</t>
  </si>
  <si>
    <t>Automation Positive 04</t>
  </si>
  <si>
    <t>Automation Positive 03</t>
  </si>
  <si>
    <t>Automation Positive 02</t>
  </si>
  <si>
    <t>Automation Positive 05</t>
  </si>
  <si>
    <t>Automation Positive 06</t>
  </si>
  <si>
    <t>05</t>
  </si>
  <si>
    <t>06</t>
  </si>
  <si>
    <t>07</t>
  </si>
  <si>
    <t>05-01</t>
  </si>
  <si>
    <t>05-02</t>
  </si>
  <si>
    <t>06-01</t>
  </si>
  <si>
    <t>06-02</t>
  </si>
  <si>
    <t>07-02</t>
  </si>
  <si>
    <t>EXPECTED_MESSAGE</t>
  </si>
  <si>
    <t>CASE_TYPE</t>
  </si>
  <si>
    <t>TN</t>
  </si>
  <si>
    <t>Order Save successfully</t>
  </si>
  <si>
    <t>Saved successfully</t>
  </si>
  <si>
    <t>Forwarded successfully</t>
  </si>
  <si>
    <t>PK_DESC</t>
  </si>
  <si>
    <t>DA Positive Case 01</t>
  </si>
  <si>
    <t>OB Positive 01</t>
  </si>
  <si>
    <t>OB Positive 03</t>
  </si>
  <si>
    <t>OB Positive 05</t>
  </si>
  <si>
    <t>OB Positive 06</t>
  </si>
  <si>
    <t>OB Positive 02</t>
  </si>
  <si>
    <t>OB Positive 01-01</t>
  </si>
  <si>
    <t>OB Positive 02-01</t>
  </si>
  <si>
    <t>OB Positive 02-02</t>
  </si>
  <si>
    <t>OB Positive 03-01</t>
  </si>
  <si>
    <t>OB Positive 03-02</t>
  </si>
  <si>
    <t>OB Positive 04-01</t>
  </si>
  <si>
    <t>OB Positive 04-02</t>
  </si>
  <si>
    <t>OB Positive 05-01</t>
  </si>
  <si>
    <t>OB Positive 05-02</t>
  </si>
  <si>
    <t>OB Positive 06-01</t>
  </si>
  <si>
    <t>OB Positive 06-02</t>
  </si>
  <si>
    <t>OB Positive 01-02</t>
  </si>
  <si>
    <t>OB Positive Validation 01</t>
  </si>
  <si>
    <t>OB Positive Validation 02</t>
  </si>
  <si>
    <t>OB Positive Validation 03</t>
  </si>
  <si>
    <t>OB Positive Validation 04</t>
  </si>
  <si>
    <t>OB Positive Validation 05</t>
  </si>
  <si>
    <t>OB Positive Validation 06</t>
  </si>
  <si>
    <t>OB Positive Validation 07</t>
  </si>
  <si>
    <t>OB Positive Assertion 01</t>
  </si>
  <si>
    <t>OB Positive Assertion 02</t>
  </si>
  <si>
    <t>OB Positive Assertion 03</t>
  </si>
  <si>
    <t>OB Positive Assertion 04</t>
  </si>
  <si>
    <t>OB Positive Assertion 05</t>
  </si>
  <si>
    <t>OB Positive Assertion 06</t>
  </si>
  <si>
    <t>OB Positive Assertion 07</t>
  </si>
  <si>
    <t>Order Editing Positive 01</t>
  </si>
  <si>
    <t>OB Positive 04 For Edition Bf GIN</t>
  </si>
  <si>
    <t>Order Editing Assertion Validation 01</t>
  </si>
  <si>
    <t>Order Editing Assertion Save 01</t>
  </si>
  <si>
    <t>Validation successfully</t>
  </si>
  <si>
    <t>Order Cancelled Successfully</t>
  </si>
  <si>
    <t>EXPECTED_INPUT</t>
  </si>
  <si>
    <t>Saved Succesfully.</t>
  </si>
  <si>
    <t>GIN Save Positive</t>
  </si>
  <si>
    <t>GIN Forward Positive</t>
  </si>
  <si>
    <t>Record Saved Successfully!</t>
  </si>
  <si>
    <t>Save successfully</t>
  </si>
  <si>
    <t>SR Detail Validation Positive</t>
  </si>
  <si>
    <t>SR  Detail Save Positive</t>
  </si>
  <si>
    <t>SR View Save Positive</t>
  </si>
  <si>
    <t>SR Status Change Save Positive</t>
  </si>
  <si>
    <t>Aautomation</t>
  </si>
  <si>
    <t>1000000001-Aautomation_Outlet_01</t>
  </si>
  <si>
    <t>Order Cancel Positive 01</t>
  </si>
  <si>
    <t>Aauto</t>
  </si>
  <si>
    <t>Record Saved Successfully</t>
  </si>
  <si>
    <t>DSR Name</t>
  </si>
  <si>
    <t>Success</t>
  </si>
  <si>
    <t>Updated successfully</t>
  </si>
  <si>
    <t>Cashmemo Status Save Positive</t>
  </si>
  <si>
    <t>Process completed successfully</t>
  </si>
  <si>
    <t>Stock unallocate Positive</t>
  </si>
  <si>
    <t>SR View Approval Save Positive</t>
  </si>
  <si>
    <t>Deposit Slip Detail Save Positive</t>
  </si>
  <si>
    <t>Deposit Slip Save Positive</t>
  </si>
  <si>
    <t>Deposit Slip Forward Positive</t>
  </si>
  <si>
    <t>Delivery Date Change Positive</t>
  </si>
  <si>
    <t>GIN Approval Positive</t>
  </si>
  <si>
    <t>GRN Forward Positive</t>
  </si>
  <si>
    <t>GRN Approval Positive</t>
  </si>
  <si>
    <t>Record saved successfully!</t>
  </si>
  <si>
    <t>Delivery Date has been changed successfully, processed orders: #</t>
  </si>
  <si>
    <t>Y</t>
  </si>
  <si>
    <t>Check_Validation</t>
  </si>
  <si>
    <t>REPO_DISTRIBUTOR</t>
  </si>
  <si>
    <t>Working Date</t>
  </si>
  <si>
    <t>DSR Files Status</t>
  </si>
  <si>
    <t>End Of Day</t>
  </si>
  <si>
    <t>DSR</t>
  </si>
  <si>
    <t>CHECK_VALIDATION</t>
  </si>
  <si>
    <t>Complete</t>
  </si>
  <si>
    <t>Cheque</t>
  </si>
  <si>
    <t>Citi Bank N.A</t>
  </si>
  <si>
    <t>06-03</t>
  </si>
  <si>
    <t>06-02-02</t>
  </si>
  <si>
    <t>06-02-03</t>
  </si>
  <si>
    <t>06-03-03</t>
  </si>
  <si>
    <t>DEPOSIT Slip Positive</t>
  </si>
  <si>
    <t>Mark Status</t>
  </si>
  <si>
    <t>Record Updated Successfully</t>
  </si>
  <si>
    <t>Cheque Status Positive</t>
  </si>
  <si>
    <t>Auto1</t>
  </si>
  <si>
    <t>Cheque. No</t>
  </si>
  <si>
    <t>300</t>
  </si>
  <si>
    <t>12222</t>
  </si>
  <si>
    <t>Auto2</t>
  </si>
  <si>
    <t>08</t>
  </si>
  <si>
    <t>OB Positive Validation 08</t>
  </si>
  <si>
    <t>08-02</t>
  </si>
  <si>
    <t>OB Positive Assertion 08</t>
  </si>
  <si>
    <t>Automation_Outlet_08</t>
  </si>
  <si>
    <t>30</t>
  </si>
  <si>
    <t>40</t>
  </si>
  <si>
    <t>400</t>
  </si>
  <si>
    <t>22337</t>
  </si>
  <si>
    <t>12444</t>
  </si>
  <si>
    <t>01-03</t>
  </si>
  <si>
    <t>01-04</t>
  </si>
  <si>
    <t>1200</t>
  </si>
  <si>
    <t>Cash</t>
  </si>
  <si>
    <t>06108843~IBRAHIM TRADERS</t>
  </si>
  <si>
    <t>06112</t>
  </si>
  <si>
    <t>Truck No</t>
  </si>
  <si>
    <t>VAT Challan Number</t>
  </si>
  <si>
    <t>Invoice Number</t>
  </si>
  <si>
    <t>222</t>
  </si>
  <si>
    <t>010207</t>
  </si>
  <si>
    <t>6108899</t>
  </si>
  <si>
    <t>06112-Auto_DM</t>
  </si>
  <si>
    <t>Philippine national bank</t>
  </si>
  <si>
    <t>Loss Reason</t>
  </si>
  <si>
    <t>Damaged</t>
  </si>
  <si>
    <t>1000000004</t>
  </si>
  <si>
    <t>6111</t>
  </si>
  <si>
    <t>Distributor</t>
  </si>
  <si>
    <t>Vendor Code</t>
  </si>
  <si>
    <t>Shipment No</t>
  </si>
  <si>
    <t>Deliver No</t>
  </si>
  <si>
    <t>Invoice Due Date</t>
  </si>
  <si>
    <t>Tax Invoice Number</t>
  </si>
  <si>
    <t>Reference Date</t>
  </si>
  <si>
    <t>Reference No</t>
  </si>
  <si>
    <t>DA Type</t>
  </si>
  <si>
    <t>UPL WH</t>
  </si>
  <si>
    <t>123</t>
  </si>
  <si>
    <t>12312</t>
  </si>
  <si>
    <t>Positive_QA_Automation_01</t>
  </si>
  <si>
    <t>1115</t>
  </si>
  <si>
    <t>Dispatch Advice</t>
  </si>
  <si>
    <t>C0000000019-Primary Warehouse</t>
  </si>
  <si>
    <t>68736074</t>
  </si>
  <si>
    <t>68736075</t>
  </si>
  <si>
    <t>Delay due to Acts of nature</t>
  </si>
  <si>
    <t>Damage Stock</t>
  </si>
  <si>
    <t>444</t>
  </si>
  <si>
    <t>777</t>
  </si>
  <si>
    <t>1007956-Automation_Outlet_Ph 1</t>
  </si>
  <si>
    <t>1007957-Automation_Outlet_Ph 2</t>
  </si>
  <si>
    <t>PHP 207.77</t>
  </si>
  <si>
    <t>PHP 13,297.12</t>
  </si>
  <si>
    <t>PHP 12,466.05</t>
  </si>
  <si>
    <t>1007958-Automation_Outlet_Ph 3</t>
  </si>
  <si>
    <t>1007959-Automation_Outlet_Ph 4</t>
  </si>
  <si>
    <t>1007960-Automation_Outlet_Ph 5</t>
  </si>
  <si>
    <t>1007961-Automation_Outlet_Ph 6</t>
  </si>
  <si>
    <t>NIV</t>
  </si>
  <si>
    <t>Markup</t>
  </si>
  <si>
    <t>25,763.17</t>
  </si>
  <si>
    <t>2,576.32</t>
  </si>
  <si>
    <t>-2,874.76</t>
  </si>
  <si>
    <t>25,464.72</t>
  </si>
  <si>
    <t>3,055.77</t>
  </si>
  <si>
    <t>28,520.49</t>
  </si>
  <si>
    <t>Sa</t>
  </si>
  <si>
    <t>1007956</t>
  </si>
  <si>
    <t>Trans Inquiry Detail  Val OB PH Positive 01</t>
  </si>
  <si>
    <t>Trans Inq Header Val OB PH_Header 04</t>
  </si>
  <si>
    <t>01-05</t>
  </si>
  <si>
    <t>Total Offering Amt Val OB PH Positive 01</t>
  </si>
  <si>
    <t>Total Offering Amt Val OB PH Positive 02</t>
  </si>
  <si>
    <t>Total Offering Amt Val OB PH Positive 03</t>
  </si>
  <si>
    <t>Total Offering Amt Val OB PH Positive 04</t>
  </si>
  <si>
    <t>Total Offering Amt Val OB PH Positive 05</t>
  </si>
  <si>
    <t>Charges Amount</t>
  </si>
  <si>
    <t>Trans Inquiry Detail  Val OB PH Positive 02</t>
  </si>
  <si>
    <t>PHP 25,763.17</t>
  </si>
  <si>
    <t>PHP 28,520.49</t>
  </si>
  <si>
    <t>PHP -1,250</t>
  </si>
  <si>
    <t>0001 - Value Added Tax</t>
  </si>
  <si>
    <t>6111~Auto_PH_OB</t>
  </si>
  <si>
    <t>Credit Exceeded</t>
  </si>
  <si>
    <t>Order Editing Detail Teasting Positive 01</t>
  </si>
  <si>
    <t>Order Editing Detail Teasting Positive 02</t>
  </si>
  <si>
    <t>PHP 2,493.21</t>
  </si>
  <si>
    <t>Trans Inq Header Val Editing PH</t>
  </si>
  <si>
    <t>Total Offeri Amt Val Editing PH Positive 01</t>
  </si>
  <si>
    <t>Total Offeri Amt Val Editing PH Positive 02</t>
  </si>
  <si>
    <t>Total Offeri Amt Val Editing PH Positive 04</t>
  </si>
  <si>
    <t>Total Offeri Amt Val Editing PH Positive 05</t>
  </si>
  <si>
    <t xml:space="preserve"> Value Added Tax</t>
  </si>
  <si>
    <t>Automation_Outlet_Ph 6</t>
  </si>
  <si>
    <t>6111 - Auto_PH_OB</t>
  </si>
  <si>
    <t>Area Close</t>
  </si>
  <si>
    <t>Order Cancellation Detail_Val Positive 01</t>
  </si>
  <si>
    <t>06112-Auto_PH_DM</t>
  </si>
  <si>
    <t>Weight (Kg)</t>
  </si>
  <si>
    <t>24</t>
  </si>
  <si>
    <t>PHP 65,654.53</t>
  </si>
  <si>
    <t>35.04</t>
  </si>
  <si>
    <t>PHP 250</t>
  </si>
  <si>
    <t>PHP 63,161.32</t>
  </si>
  <si>
    <t xml:space="preserve">6 </t>
  </si>
  <si>
    <t>Goods_Issue_Note_Detail_ASSR Positive</t>
  </si>
  <si>
    <t>Saved successfully.</t>
  </si>
  <si>
    <t>PHP 20,361.22</t>
  </si>
  <si>
    <t>PHP 5,632.08</t>
  </si>
  <si>
    <t>PHP 3,944.57</t>
  </si>
  <si>
    <t>PHP 17,812.18</t>
  </si>
  <si>
    <t>Stock_Allocation_ASSR Positive</t>
  </si>
  <si>
    <t>Allocated PC</t>
  </si>
  <si>
    <t>10</t>
  </si>
  <si>
    <t>Total Offeri Amt Val Editing PH Allocated PC Positive 03</t>
  </si>
  <si>
    <t>Tran Inq Detail Val G I N PH Positive 01</t>
  </si>
  <si>
    <t>Tran Inq Detail Val G I N PH Positive 02</t>
  </si>
  <si>
    <t>Trans Inq Header Val G I N PH</t>
  </si>
  <si>
    <t>Total Offer Amt Val G I N PH Positive 01</t>
  </si>
  <si>
    <t>Total Offer Amt Val G I N PH Positive 02</t>
  </si>
  <si>
    <t>Total Offer Amt Val G I N PH Positive 03</t>
  </si>
  <si>
    <t>Total Offer Amt Val G I N PH Positive 04</t>
  </si>
  <si>
    <t>Total Offer Amt Val G I N PH Positive 05</t>
  </si>
  <si>
    <t>FRESH_SALES_RETURN Val Partial' Validation 01</t>
  </si>
  <si>
    <t>PHP 4,986.42</t>
  </si>
  <si>
    <t>7,479.63</t>
  </si>
  <si>
    <t>F SALES_RETURN Val Full PH Validation 01</t>
  </si>
  <si>
    <t>2,874.76</t>
  </si>
  <si>
    <t>Sales Return</t>
  </si>
  <si>
    <t>Fresh Sales Return</t>
  </si>
  <si>
    <t>1007959</t>
  </si>
  <si>
    <t>1007960</t>
  </si>
  <si>
    <t>Tra InqVal Fresh S R P DetlPH Positive 01</t>
  </si>
  <si>
    <t>Tra InqVal Fresh S R P DetlPH Positive 02</t>
  </si>
  <si>
    <t>PHP -13,297.12</t>
  </si>
  <si>
    <t>PHP -1,329.71</t>
  </si>
  <si>
    <t>PHP 794.24</t>
  </si>
  <si>
    <t>-13,832.6</t>
  </si>
  <si>
    <t>PHP -1,659.91</t>
  </si>
  <si>
    <t>PHP -15,492.51</t>
  </si>
  <si>
    <t>PHP -12,466.05</t>
  </si>
  <si>
    <t>PHP -1,246.61</t>
  </si>
  <si>
    <t>PHP 2,080.53</t>
  </si>
  <si>
    <t>-11,632.13</t>
  </si>
  <si>
    <t>PHP -1,395.86</t>
  </si>
  <si>
    <t>PHP -13,027.98</t>
  </si>
  <si>
    <t>PHP -2,493.21</t>
  </si>
  <si>
    <t>PHP -249.32</t>
  </si>
  <si>
    <t>PHP -4,986.42</t>
  </si>
  <si>
    <t>Tra InqVal Fresh S R P DetlPH Positive 03</t>
  </si>
  <si>
    <t>Tra InqVal Fresh S R P DetlPH Positive 04</t>
  </si>
  <si>
    <t>Tran InqVal Aft Fresh  H PH Positive 01</t>
  </si>
  <si>
    <t>Tran InqVal Aft Fresh  H PH Positive 02</t>
  </si>
  <si>
    <t>PHP -2,576.32</t>
  </si>
  <si>
    <t>PHP -25,763.17</t>
  </si>
  <si>
    <t>PHP 2,874.76</t>
  </si>
  <si>
    <t>-25,464.72</t>
  </si>
  <si>
    <t>PHP -3,055.77</t>
  </si>
  <si>
    <t>PHP -28,520.49</t>
  </si>
  <si>
    <t>02-03</t>
  </si>
  <si>
    <t>02-04</t>
  </si>
  <si>
    <t>02-05</t>
  </si>
  <si>
    <t>Tran Val Fresh Parti TOffer PH Positive 01</t>
  </si>
  <si>
    <t>Tran Val Fresh Parti TOffer PH Positive 02</t>
  </si>
  <si>
    <t>Tran Val Fresh Parti TOffer PH Positive 03</t>
  </si>
  <si>
    <t>Tran Val Fresh Parti TOffer PH Positive 04</t>
  </si>
  <si>
    <t>Tran Val Fresh Parti TOffer PH Positive 05</t>
  </si>
  <si>
    <t>PHP 137.13</t>
  </si>
  <si>
    <t>PHP 1,250</t>
  </si>
  <si>
    <t>PHP 923.59</t>
  </si>
  <si>
    <t>PHP 564.05</t>
  </si>
  <si>
    <t>PHP 500</t>
  </si>
  <si>
    <t>PHP 831.07</t>
  </si>
  <si>
    <t>Sales Return Validat PH 03</t>
  </si>
  <si>
    <t>3,324.28</t>
  </si>
  <si>
    <t>332.43</t>
  </si>
  <si>
    <t>465.75</t>
  </si>
  <si>
    <t>382.92</t>
  </si>
  <si>
    <t>3,573.88</t>
  </si>
  <si>
    <t>Automation Forward</t>
  </si>
  <si>
    <t>PHP 3,324.28</t>
  </si>
  <si>
    <t>PHP 332.43</t>
  </si>
  <si>
    <t>PHP 465.75</t>
  </si>
  <si>
    <t>PHP 382.92</t>
  </si>
  <si>
    <t>PHP 3,573.88</t>
  </si>
  <si>
    <t>0.00</t>
  </si>
  <si>
    <t>S Return View Forward Valid PH Positive 03</t>
  </si>
  <si>
    <t>10,596.14</t>
  </si>
  <si>
    <t>1,059.61</t>
  </si>
  <si>
    <t>1,701.65</t>
  </si>
  <si>
    <t>1,194.49</t>
  </si>
  <si>
    <t>11,148.60</t>
  </si>
  <si>
    <t>Sales Return FullVal PH Validat PH 03</t>
  </si>
  <si>
    <t>1007958</t>
  </si>
  <si>
    <t>1007957</t>
  </si>
  <si>
    <t>PHP -831.07</t>
  </si>
  <si>
    <t>PHP -83.11</t>
  </si>
  <si>
    <t>PHP 49.64</t>
  </si>
  <si>
    <t>-864.54</t>
  </si>
  <si>
    <t>PHP -103.74</t>
  </si>
  <si>
    <t>PHP -968.28</t>
  </si>
  <si>
    <t>PHP 416.11</t>
  </si>
  <si>
    <t>-2,326.43</t>
  </si>
  <si>
    <t>PHP -279.17</t>
  </si>
  <si>
    <t>PHP -2,605.6</t>
  </si>
  <si>
    <t>PHP -3,573.88</t>
  </si>
  <si>
    <t>PHP -332.43</t>
  </si>
  <si>
    <t>-3,190.96</t>
  </si>
  <si>
    <t>PHP -382.92</t>
  </si>
  <si>
    <t>PHP 27.43</t>
  </si>
  <si>
    <t>Sales Re View Val Approval PH Validation 02</t>
  </si>
  <si>
    <t>Sales Re View Val Approval PH Validation 03</t>
  </si>
  <si>
    <t>Sales Ret Status Change PH 01</t>
  </si>
  <si>
    <t>Sales R Status Change Val PH 03</t>
  </si>
  <si>
    <t>Deposit Slip,Cash PH Positive</t>
  </si>
  <si>
    <t>06112 - Auto_PH_DM</t>
  </si>
  <si>
    <t>Dist Bank</t>
  </si>
  <si>
    <t>Deposit Slip Cheque PH Positive</t>
  </si>
  <si>
    <t>Dist Branch</t>
  </si>
  <si>
    <t>DEPOSIT Slip PH Positive</t>
  </si>
  <si>
    <t>Deposit Slip PH Save Positive</t>
  </si>
  <si>
    <t>PHP -7,479.63</t>
  </si>
  <si>
    <t>Discount Amount</t>
  </si>
  <si>
    <t>PHP 12,673.82</t>
  </si>
  <si>
    <t>PHP 1,173.11</t>
  </si>
  <si>
    <t>PHP -12,673.82</t>
  </si>
  <si>
    <t>PHP -1,267.38</t>
  </si>
  <si>
    <t>PHP 757.01</t>
  </si>
  <si>
    <t>-13,184.19</t>
  </si>
  <si>
    <t>PHP -1,582.1</t>
  </si>
  <si>
    <t>PHP -14,766.3</t>
  </si>
  <si>
    <t>PHP -15,167.03</t>
  </si>
  <si>
    <t>PHP -1,861.27</t>
  </si>
  <si>
    <t>PHP -17,371.89</t>
  </si>
  <si>
    <t>PHP -1,516.7</t>
  </si>
  <si>
    <t>-15,510.62</t>
  </si>
  <si>
    <t>PHP 562.56</t>
  </si>
  <si>
    <t>PHP 333.13</t>
  </si>
  <si>
    <t>Good Return Note Detail ph Positive 01</t>
  </si>
  <si>
    <t>Rate</t>
  </si>
  <si>
    <t>Good Return Note Detail_Validation 01</t>
  </si>
  <si>
    <t>Automation_Outlet_Ph 4</t>
  </si>
  <si>
    <t>1000</t>
  </si>
  <si>
    <t>200</t>
  </si>
  <si>
    <t>100</t>
  </si>
  <si>
    <t>Deposit Slip Full Cash Positive</t>
  </si>
  <si>
    <t>11,505.02</t>
  </si>
  <si>
    <t>1234501</t>
  </si>
  <si>
    <t>Deposit Slip FullAmount Cheque Positive</t>
  </si>
  <si>
    <t>Sale Value</t>
  </si>
  <si>
    <t>Adjusted Credit Note Amount</t>
  </si>
  <si>
    <t>Fresh Return Value</t>
  </si>
  <si>
    <t>Route Settlement Validation Positive 02</t>
  </si>
  <si>
    <t>Previous Cash</t>
  </si>
  <si>
    <t>Today Cash</t>
  </si>
  <si>
    <t>Total Cash</t>
  </si>
  <si>
    <t>Previous Cheque</t>
  </si>
  <si>
    <t>Today Cheque</t>
  </si>
  <si>
    <t>Total Cheque</t>
  </si>
  <si>
    <t>Route Settlement Validation Positive 01</t>
  </si>
  <si>
    <t>Payable Amount</t>
  </si>
  <si>
    <t>Received Amount</t>
  </si>
  <si>
    <t>Stock Shortage Payable Amt</t>
  </si>
  <si>
    <t>Stock shortage Received Amt</t>
  </si>
  <si>
    <t>Route Settlement Validation Positive Cheque</t>
  </si>
  <si>
    <t>Amount Validation skipped</t>
  </si>
  <si>
    <t>Route Settlement Validation Positive Cash</t>
  </si>
  <si>
    <t>Received Amount1</t>
  </si>
  <si>
    <t>Cash Shortage</t>
  </si>
  <si>
    <t>Total Payable Amount</t>
  </si>
  <si>
    <t>Total Received Amount</t>
  </si>
  <si>
    <t>Validation of Total Payable, Received and Cash Shortage Amount</t>
  </si>
  <si>
    <t>Gross Amount: PHP 15,167.03</t>
  </si>
  <si>
    <t>Markup: PHP 1,516.70</t>
  </si>
  <si>
    <t>Discount: PHP 1,173.11</t>
  </si>
  <si>
    <t>Tax: PHP 1,861.27</t>
  </si>
  <si>
    <t>Net Amount: PHP 17,371.89</t>
  </si>
  <si>
    <t>PHP 1,011.51</t>
  </si>
  <si>
    <t>PHP 1,028.52</t>
  </si>
  <si>
    <t>PHP 28.52</t>
  </si>
  <si>
    <t>PHP 1,000</t>
  </si>
  <si>
    <t>PHP 1,038.84</t>
  </si>
  <si>
    <t/>
  </si>
  <si>
    <t>Other</t>
  </si>
  <si>
    <t>Gross Amount PHP 15,167.03</t>
  </si>
  <si>
    <t>Discount PHP 1,173.11</t>
  </si>
  <si>
    <t>Tax PHP 1,861.27</t>
  </si>
  <si>
    <t>Net Amount PHP 17,371.89</t>
  </si>
  <si>
    <t>PHP 2,028.52</t>
  </si>
  <si>
    <t>Validate Received Amount PH Positive 01</t>
  </si>
  <si>
    <t>DEPOSIT Slip Unposted Positive</t>
  </si>
  <si>
    <t>Un Posted Amount</t>
  </si>
  <si>
    <t>Deposit Slip Val Unposted_Validation 01</t>
  </si>
  <si>
    <t>Deposit Slip Val Unposted_Validation 02</t>
  </si>
  <si>
    <t>Deposit slip cash after order removal Positive</t>
  </si>
  <si>
    <t>Deposit slip cheque after order removal Positive</t>
  </si>
  <si>
    <t>SAN Type</t>
  </si>
  <si>
    <t>From Warehouse</t>
  </si>
  <si>
    <t>SAN_TYPE</t>
  </si>
  <si>
    <t>Stock Adjustment Admin</t>
  </si>
  <si>
    <t>Automation</t>
  </si>
  <si>
    <t>OTC Stock Out</t>
  </si>
  <si>
    <t>01-Sound</t>
  </si>
  <si>
    <t>-50</t>
  </si>
  <si>
    <t>1,288.16</t>
  </si>
  <si>
    <t>-2,798.92</t>
  </si>
  <si>
    <t>24,252.41</t>
  </si>
  <si>
    <t>2,910.29</t>
  </si>
  <si>
    <t>27,162.69</t>
  </si>
  <si>
    <t>-2,723.08</t>
  </si>
  <si>
    <t>23,040.09</t>
  </si>
  <si>
    <t>2,764.81</t>
  </si>
  <si>
    <t>25,804.9</t>
  </si>
  <si>
    <t>935.80</t>
  </si>
  <si>
    <t>785.26</t>
  </si>
  <si>
    <t>7,329.09</t>
  </si>
  <si>
    <t>2,723.08</t>
  </si>
  <si>
    <t>25,804.90</t>
  </si>
  <si>
    <t>PHP 722.03</t>
  </si>
  <si>
    <t>-12,575.09</t>
  </si>
  <si>
    <t>PHP -1,509.01</t>
  </si>
  <si>
    <t>PHP -14,084.1</t>
  </si>
  <si>
    <t>PHP 2,001.05</t>
  </si>
  <si>
    <t>-10,465</t>
  </si>
  <si>
    <t>PHP -1,255.8</t>
  </si>
  <si>
    <t>PHP -11,720.8</t>
  </si>
  <si>
    <t>PHP 2,723.08</t>
  </si>
  <si>
    <t>PHP -2,764.81</t>
  </si>
  <si>
    <t>PHP -25,804.9</t>
  </si>
  <si>
    <t>PHP 124.66</t>
  </si>
  <si>
    <t>PHP 835.65</t>
  </si>
  <si>
    <t>PHP 512.77</t>
  </si>
  <si>
    <t>PHP 135.38</t>
  </si>
  <si>
    <t>-2,357.83</t>
  </si>
  <si>
    <t>PHP -282.94</t>
  </si>
  <si>
    <t>PHP -2,640.77</t>
  </si>
  <si>
    <t>PHP 800.42</t>
  </si>
  <si>
    <t>-4,186</t>
  </si>
  <si>
    <t>PHP -502.32</t>
  </si>
  <si>
    <t>PHP -4,688.32</t>
  </si>
  <si>
    <t>PHP -722.03</t>
  </si>
  <si>
    <t>12,575.09</t>
  </si>
  <si>
    <t>PHP 1,509.01</t>
  </si>
  <si>
    <t>PHP 14,084.1</t>
  </si>
  <si>
    <t>PHP -2,001.05</t>
  </si>
  <si>
    <t>10,465</t>
  </si>
  <si>
    <t>PHP 1,255.8</t>
  </si>
  <si>
    <t>PHP 11,720.8</t>
  </si>
  <si>
    <t>PHP -2,723.08</t>
  </si>
  <si>
    <t>PHP 2,764.81</t>
  </si>
  <si>
    <t>PHP 25,804.9</t>
  </si>
  <si>
    <t>PHP -124.66</t>
  </si>
  <si>
    <t>PHP -835.65</t>
  </si>
  <si>
    <t>PHP -512.77</t>
  </si>
  <si>
    <t>-2,730.94</t>
  </si>
  <si>
    <t>2,763.87</t>
  </si>
  <si>
    <t>25,796.1</t>
  </si>
  <si>
    <t>PHP -676.91</t>
  </si>
  <si>
    <t>11,789.14</t>
  </si>
  <si>
    <t>PHP 1,414.7</t>
  </si>
  <si>
    <t>PHP 13,203.84</t>
  </si>
  <si>
    <t>PHP -2,054.03</t>
  </si>
  <si>
    <t>11,243.09</t>
  </si>
  <si>
    <t>PHP 1,349.17</t>
  </si>
  <si>
    <t>PHP 12,592.26</t>
  </si>
  <si>
    <t>PHP -2,730.94</t>
  </si>
  <si>
    <t>23,032.23</t>
  </si>
  <si>
    <t>PHP 2,763.87</t>
  </si>
  <si>
    <t>PHP 25,796.1</t>
  </si>
  <si>
    <t>PHP -132.97</t>
  </si>
  <si>
    <t>PHP -835.37</t>
  </si>
  <si>
    <t>PHP -512.6</t>
  </si>
  <si>
    <t>34.8</t>
  </si>
  <si>
    <t>PHP 11.51</t>
  </si>
  <si>
    <t>PHP 30,102.22</t>
  </si>
  <si>
    <t>In pack Shortage</t>
  </si>
  <si>
    <t>PHP 935.8</t>
  </si>
  <si>
    <t>PHP -785.26</t>
  </si>
  <si>
    <t>PHP -7,329.09</t>
  </si>
  <si>
    <t>PHP 49.86</t>
  </si>
  <si>
    <t>PHP 237.34</t>
  </si>
  <si>
    <t>PHP 148.6</t>
  </si>
  <si>
    <t>PHP 131,221.85</t>
  </si>
  <si>
    <t>PHP 33,133.99</t>
  </si>
  <si>
    <t>10.41</t>
  </si>
  <si>
    <t>1.1</t>
  </si>
  <si>
    <t>Short of Cash</t>
  </si>
  <si>
    <t>Automation approval</t>
  </si>
  <si>
    <t>SAN Approval Case '01</t>
  </si>
  <si>
    <t>Stock Adjustment SAN Approval ASSR</t>
  </si>
  <si>
    <t>Category</t>
  </si>
  <si>
    <t>Brand</t>
  </si>
  <si>
    <t>Stock Validation After DA</t>
  </si>
  <si>
    <t>In CS</t>
  </si>
  <si>
    <t>Out CS</t>
  </si>
  <si>
    <t>Stock Validation After DA Inquiry</t>
  </si>
  <si>
    <t>67</t>
  </si>
  <si>
    <t>Primary Warehouse</t>
  </si>
  <si>
    <t>179</t>
  </si>
  <si>
    <t>168</t>
  </si>
  <si>
    <t>In PC</t>
  </si>
  <si>
    <t>Out PC</t>
  </si>
  <si>
    <t>94</t>
  </si>
  <si>
    <t>Stock Validation After GIN Inquiry 3</t>
  </si>
  <si>
    <t>Stock Validation After GIN 1</t>
  </si>
  <si>
    <t>Stock Validation After DA 1</t>
  </si>
  <si>
    <t>Stock Validation After DA Inquiry 3</t>
  </si>
  <si>
    <t>6</t>
  </si>
  <si>
    <t>Stock Adjustment SAN ASSR</t>
  </si>
  <si>
    <t>-922</t>
  </si>
  <si>
    <t>-4</t>
  </si>
  <si>
    <t>Stock Opening &amp; Closing Validation</t>
  </si>
  <si>
    <t>Opening CS</t>
  </si>
  <si>
    <t>Closing CS</t>
  </si>
  <si>
    <t>Opening PC</t>
  </si>
  <si>
    <t>Closing PC</t>
  </si>
  <si>
    <t>Dispatch Advice Validation 01</t>
  </si>
  <si>
    <t>PHP 1,711</t>
  </si>
  <si>
    <t>PHP 1,026,600</t>
  </si>
  <si>
    <t>PHP 109,992.84</t>
  </si>
  <si>
    <t>Purchase Price / PC</t>
  </si>
  <si>
    <t>Tax Amount</t>
  </si>
  <si>
    <t>Dispatch CS</t>
  </si>
  <si>
    <t>Received CS</t>
  </si>
  <si>
    <t>20062889</t>
  </si>
  <si>
    <t>-40</t>
  </si>
  <si>
    <t>Free SKU Stock Stock Out</t>
  </si>
  <si>
    <t>ATP PC</t>
  </si>
  <si>
    <t>Free SKU Stock Validation (Entering Details)</t>
  </si>
  <si>
    <t>Free SKU Stock Validation (Validating QTYs)</t>
  </si>
  <si>
    <t>Free SKU Stock Validation (Filtering Product)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</si>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</sst>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/d/yy\ h:mm\ AM/P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484848"/>
      <name val="Arial"/>
      <family val="2"/>
    </font>
    <font>
      <sz val="11"/>
      <color rgb="FF313131"/>
      <name val="Arial"/>
      <family val="2"/>
    </font>
    <font>
      <sz val="11"/>
      <color rgb="FF000000"/>
      <name val="Calibri"/>
      <family val="2"/>
      <scheme val="minor"/>
    </font>
    <font>
      <sz val="11"/>
      <color rgb="FF3131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9E9E9"/>
      </left>
      <right style="medium">
        <color rgb="FFE9E9E9"/>
      </right>
      <top/>
      <bottom style="medium">
        <color rgb="FFE9E9E9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quotePrefix="1"/>
    <xf numFmtId="49" fontId="0" fillId="0" borderId="0" xfId="0" quotePrefix="1" applyNumberFormat="1" applyAlignment="1">
      <alignment horizontal="left"/>
    </xf>
    <xf numFmtId="16" fontId="0" fillId="0" borderId="0" xfId="0" quotePrefix="1" applyNumberFormat="1"/>
    <xf numFmtId="0" fontId="0" fillId="0" borderId="0" xfId="0" applyFont="1"/>
    <xf numFmtId="0" fontId="3" fillId="2" borderId="1" xfId="0" applyFont="1" applyFill="1" applyBorder="1" applyAlignment="1">
      <alignment horizontal="right" vertical="top"/>
    </xf>
    <xf numFmtId="0" fontId="0" fillId="0" borderId="0" xfId="0" quotePrefix="1" applyNumberFormat="1"/>
    <xf numFmtId="0" fontId="0" fillId="0" borderId="0" xfId="0"/>
    <xf numFmtId="49" fontId="0" fillId="0" borderId="0" xfId="0" applyNumberFormat="1"/>
    <xf numFmtId="49" fontId="0" fillId="0" borderId="0" xfId="0" quotePrefix="1" applyNumberFormat="1" applyAlignment="1">
      <alignment horizontal="left"/>
    </xf>
    <xf numFmtId="0" fontId="4" fillId="0" borderId="0" xfId="0" applyFont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5" fillId="0" borderId="0" xfId="0" quotePrefix="1" applyFont="1"/>
    <xf numFmtId="4" fontId="0" fillId="0" borderId="0" xfId="0" quotePrefix="1" applyNumberFormat="1"/>
    <xf numFmtId="14" fontId="0" fillId="0" borderId="0" xfId="0" quotePrefix="1" applyNumberFormat="1"/>
    <xf numFmtId="0" fontId="3" fillId="0" borderId="0" xfId="0" applyFon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styles" Target="style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selection activeCell="A2" sqref="A2"/>
    </sheetView>
  </sheetViews>
  <sheetFormatPr defaultRowHeight="15" x14ac:dyDescent="0.25"/>
  <cols>
    <col min="1" max="1" width="31" style="15" bestFit="1" customWidth="1" collapsed="1"/>
    <col min="2" max="2" width="12.5703125" style="15" bestFit="1" customWidth="1" collapsed="1"/>
    <col min="3" max="3" width="22.42578125" style="15" bestFit="1" customWidth="1" collapsed="1"/>
    <col min="4" max="4" width="12.5703125" style="15" bestFit="1" customWidth="1" collapsed="1"/>
    <col min="5" max="5" width="10.42578125" style="15" bestFit="1" customWidth="1" collapsed="1"/>
    <col min="6" max="6" width="16.140625" style="15" bestFit="1" customWidth="1" collapsed="1"/>
    <col min="7" max="7" width="18.85546875" style="15" bestFit="1" customWidth="1" collapsed="1"/>
    <col min="8" max="8" width="27" style="15" bestFit="1" customWidth="1" collapsed="1"/>
    <col min="9" max="9" width="14.85546875" style="15" bestFit="1" customWidth="1" collapsed="1"/>
    <col min="10" max="10" width="13.28515625" style="15" bestFit="1" customWidth="1" collapsed="1"/>
    <col min="11" max="11" width="15.140625" style="15" bestFit="1" customWidth="1" collapsed="1"/>
    <col min="12" max="12" width="15.140625" style="15" customWidth="1" collapsed="1"/>
    <col min="13" max="13" width="19.5703125" style="15" bestFit="1" customWidth="1" collapsed="1"/>
    <col min="14" max="14" width="15.140625" style="15" customWidth="1" collapsed="1"/>
    <col min="15" max="15" width="7.28515625" style="15" customWidth="1" collapsed="1"/>
    <col min="16" max="16" width="18.42578125" style="15" bestFit="1" customWidth="1" collapsed="1"/>
    <col min="17" max="17" width="10.28515625" style="15" customWidth="1" collapsed="1"/>
    <col min="18" max="18" width="16.28515625" style="15" bestFit="1" customWidth="1" collapsed="1"/>
    <col min="19" max="19" width="19.28515625" style="15" bestFit="1" customWidth="1" collapsed="1"/>
    <col min="20" max="21" width="10.5703125" style="15" bestFit="1" customWidth="1" collapsed="1"/>
    <col min="22" max="16384" width="9.140625" style="15" collapsed="1"/>
  </cols>
  <sheetData>
    <row r="1" spans="1:20" x14ac:dyDescent="0.25">
      <c r="A1" s="15" t="s">
        <v>12</v>
      </c>
      <c r="B1" s="15" t="s">
        <v>246</v>
      </c>
      <c r="C1" s="15" t="s">
        <v>68</v>
      </c>
      <c r="D1" s="15" t="s">
        <v>247</v>
      </c>
      <c r="E1" s="15" t="s">
        <v>248</v>
      </c>
      <c r="F1" s="15" t="s">
        <v>249</v>
      </c>
      <c r="G1" s="15" t="s">
        <v>250</v>
      </c>
      <c r="H1" s="15" t="s">
        <v>5</v>
      </c>
      <c r="I1" s="15" t="s">
        <v>251</v>
      </c>
      <c r="J1" s="15" t="s">
        <v>252</v>
      </c>
      <c r="K1" s="15" t="s">
        <v>253</v>
      </c>
      <c r="L1" s="15" t="s">
        <v>233</v>
      </c>
      <c r="M1" s="15" t="s">
        <v>234</v>
      </c>
      <c r="N1" s="15" t="s">
        <v>235</v>
      </c>
      <c r="O1" s="15" t="s">
        <v>6</v>
      </c>
      <c r="P1" s="15" t="s">
        <v>123</v>
      </c>
      <c r="Q1" s="15" t="s">
        <v>42</v>
      </c>
      <c r="R1" s="16" t="s">
        <v>162</v>
      </c>
      <c r="S1" s="15" t="s">
        <v>117</v>
      </c>
      <c r="T1" s="15" t="s">
        <v>118</v>
      </c>
    </row>
    <row r="2" spans="1:20" x14ac:dyDescent="0.25">
      <c r="A2" s="15" t="s">
        <v>260</v>
      </c>
      <c r="B2" s="16" t="s">
        <v>254</v>
      </c>
      <c r="C2" s="8" t="str">
        <f ca="1">CONCATENATE("Automation_",TEXT(NOW(),"DD-MM-YYYY"))</f>
        <v>Automation_15-09-2026</v>
      </c>
      <c r="D2" s="16" t="s">
        <v>255</v>
      </c>
      <c r="E2" s="16" t="s">
        <v>256</v>
      </c>
      <c r="F2" s="6" t="str">
        <f ca="1">TEXT(NOW(),"YYYY-MM-DD")</f>
        <v>2026-09-15</v>
      </c>
      <c r="G2" s="16" t="s">
        <v>255</v>
      </c>
      <c r="H2" s="16" t="s">
        <v>257</v>
      </c>
      <c r="I2" s="6" t="str">
        <f ca="1">TEXT(NOW(),"YYYY-MM-DD")</f>
        <v>2026-09-15</v>
      </c>
      <c r="J2" s="16" t="s">
        <v>258</v>
      </c>
      <c r="K2" s="16" t="s">
        <v>259</v>
      </c>
      <c r="L2" s="16" t="s">
        <v>236</v>
      </c>
      <c r="M2" s="16" t="s">
        <v>265</v>
      </c>
      <c r="N2" s="16" t="s">
        <v>266</v>
      </c>
      <c r="O2" s="9" t="s">
        <v>110</v>
      </c>
      <c r="P2" s="7" t="s">
        <v>124</v>
      </c>
      <c r="Q2" s="16" t="s">
        <v>43</v>
      </c>
      <c r="S2" s="16"/>
      <c r="T2" s="15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A2" sqref="A2"/>
    </sheetView>
  </sheetViews>
  <sheetFormatPr defaultRowHeight="15" x14ac:dyDescent="0.25"/>
  <cols>
    <col min="1" max="1" width="22.42578125" bestFit="1" customWidth="1" collapsed="1"/>
    <col min="2" max="2" width="12.5703125" bestFit="1" customWidth="1" collapsed="1"/>
    <col min="3" max="3" width="10.42578125" bestFit="1" customWidth="1" collapsed="1"/>
    <col min="4" max="4" width="18.85546875" bestFit="1" customWidth="1" collapsed="1"/>
    <col min="5" max="5" width="13.28515625" bestFit="1" customWidth="1" collapsed="1"/>
    <col min="6" max="6" width="15.140625" bestFit="1" customWidth="1" collapsed="1"/>
    <col min="7" max="7" width="15.140625" style="15" customWidth="1" collapsed="1"/>
    <col min="8" max="8" width="19.5703125" style="15" bestFit="1" customWidth="1" collapsed="1"/>
    <col min="9" max="9" width="15.140625" style="15" customWidth="1" collapsed="1"/>
    <col min="10" max="10" width="7.28515625" customWidth="1" collapsed="1"/>
    <col min="11" max="11" width="18.42578125" bestFit="1" customWidth="1" collapsed="1"/>
    <col min="12" max="12" width="10.28515625" style="15" customWidth="1" collapsed="1"/>
    <col min="13" max="13" width="16.28515625" bestFit="1" customWidth="1" collapsed="1"/>
    <col min="14" max="14" width="19.28515625" bestFit="1" customWidth="1" collapsed="1"/>
    <col min="15" max="15" width="10.5703125" style="15" bestFit="1" customWidth="1" collapsed="1"/>
    <col min="16" max="16" width="10.5703125" bestFit="1" customWidth="1" collapsed="1"/>
  </cols>
  <sheetData>
    <row r="1" spans="1:16" x14ac:dyDescent="0.25">
      <c r="A1" s="15" t="s">
        <v>68</v>
      </c>
      <c r="B1" s="15" t="s">
        <v>247</v>
      </c>
      <c r="C1" s="15" t="s">
        <v>248</v>
      </c>
      <c r="D1" s="15" t="s">
        <v>250</v>
      </c>
      <c r="E1" s="15" t="s">
        <v>252</v>
      </c>
      <c r="F1" s="15" t="s">
        <v>253</v>
      </c>
      <c r="G1" s="15" t="s">
        <v>233</v>
      </c>
      <c r="H1" s="15" t="s">
        <v>234</v>
      </c>
      <c r="I1" s="15" t="s">
        <v>235</v>
      </c>
      <c r="J1" s="15" t="s">
        <v>6</v>
      </c>
      <c r="K1" s="15" t="s">
        <v>123</v>
      </c>
      <c r="L1" s="15" t="s">
        <v>42</v>
      </c>
      <c r="M1" s="16" t="s">
        <v>162</v>
      </c>
      <c r="N1" s="15" t="s">
        <v>117</v>
      </c>
      <c r="O1" s="15" t="s">
        <v>118</v>
      </c>
      <c r="P1" s="15"/>
    </row>
    <row r="2" spans="1:16" x14ac:dyDescent="0.25">
      <c r="A2" s="8" t="str">
        <f ca="1">CONCATENATE("Automation_",TEXT(NOW(),"DD-MM-YYYY"))</f>
        <v>Automation_15-09-2026</v>
      </c>
      <c r="B2" s="16" t="s">
        <v>255</v>
      </c>
      <c r="C2" s="16" t="s">
        <v>256</v>
      </c>
      <c r="D2" s="16" t="s">
        <v>255</v>
      </c>
      <c r="E2" s="16" t="s">
        <v>258</v>
      </c>
      <c r="F2" s="16" t="s">
        <v>259</v>
      </c>
      <c r="G2" s="16" t="s">
        <v>236</v>
      </c>
      <c r="H2" s="16" t="s">
        <v>265</v>
      </c>
      <c r="I2" s="16" t="s">
        <v>266</v>
      </c>
      <c r="J2" s="9" t="s">
        <v>110</v>
      </c>
      <c r="K2" s="7" t="s">
        <v>124</v>
      </c>
      <c r="L2" s="16" t="s">
        <v>43</v>
      </c>
      <c r="M2" s="15"/>
      <c r="N2" s="16"/>
      <c r="O2" s="15" t="s">
        <v>119</v>
      </c>
      <c r="P2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E5" sqref="E5"/>
    </sheetView>
  </sheetViews>
  <sheetFormatPr defaultRowHeight="15" x14ac:dyDescent="0.25"/>
  <cols>
    <col min="1" max="1" width="9" bestFit="1" customWidth="1" collapsed="1"/>
    <col min="2" max="2" width="10.42578125" bestFit="1" customWidth="1" collapsed="1"/>
    <col min="6" max="6" width="10.28515625" bestFit="1" customWidth="1" collapsed="1"/>
    <col min="7" max="7" width="19.28515625" bestFit="1" customWidth="1" collapsed="1"/>
    <col min="8" max="8" width="10.5703125" bestFit="1" customWidth="1" collapsed="1"/>
  </cols>
  <sheetData>
    <row r="1" spans="1:8" x14ac:dyDescent="0.25">
      <c r="A1" s="16" t="s">
        <v>46</v>
      </c>
      <c r="B1" s="16" t="s">
        <v>47</v>
      </c>
      <c r="C1" s="16" t="s">
        <v>48</v>
      </c>
      <c r="D1" s="16" t="s">
        <v>36</v>
      </c>
      <c r="E1" s="3" t="s">
        <v>6</v>
      </c>
      <c r="F1" s="15" t="s">
        <v>42</v>
      </c>
      <c r="G1" s="15" t="s">
        <v>117</v>
      </c>
      <c r="H1" s="16" t="s">
        <v>118</v>
      </c>
    </row>
    <row r="2" spans="1:8" x14ac:dyDescent="0.25">
      <c r="A2" s="16" t="s">
        <v>261</v>
      </c>
      <c r="B2" s="16" t="s">
        <v>49</v>
      </c>
      <c r="C2" s="16" t="s">
        <v>50</v>
      </c>
      <c r="D2" s="16" t="s">
        <v>222</v>
      </c>
      <c r="E2" s="9" t="s">
        <v>114</v>
      </c>
      <c r="F2" s="16" t="s">
        <v>43</v>
      </c>
      <c r="G2" s="15"/>
      <c r="H2" s="16" t="s">
        <v>119</v>
      </c>
    </row>
    <row r="3" spans="1:8" x14ac:dyDescent="0.25">
      <c r="A3" s="9" t="s">
        <v>262</v>
      </c>
      <c r="B3" s="16" t="s">
        <v>49</v>
      </c>
      <c r="C3" s="16" t="s">
        <v>50</v>
      </c>
      <c r="D3" s="16" t="s">
        <v>223</v>
      </c>
      <c r="E3" s="9" t="s">
        <v>115</v>
      </c>
      <c r="F3" s="16" t="s">
        <v>43</v>
      </c>
      <c r="G3" s="15"/>
      <c r="H3" s="16" t="s">
        <v>119</v>
      </c>
    </row>
    <row r="4" spans="1:8" s="15" customFormat="1" x14ac:dyDescent="0.25">
      <c r="A4" s="16" t="s">
        <v>642</v>
      </c>
      <c r="B4" s="16" t="s">
        <v>49</v>
      </c>
      <c r="C4" s="16" t="s">
        <v>50</v>
      </c>
      <c r="D4" s="16" t="s">
        <v>462</v>
      </c>
      <c r="E4" s="9" t="s">
        <v>204</v>
      </c>
      <c r="F4" s="16" t="s">
        <v>43</v>
      </c>
      <c r="H4" s="16" t="s">
        <v>119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G8" sqref="G8"/>
    </sheetView>
  </sheetViews>
  <sheetFormatPr defaultRowHeight="15" x14ac:dyDescent="0.25"/>
  <cols>
    <col min="1" max="1" width="9.5703125" bestFit="1" customWidth="1" collapsed="1"/>
    <col min="2" max="2" width="10.42578125" bestFit="1" customWidth="1" collapsed="1"/>
    <col min="7" max="7" width="10.28515625" bestFit="1" customWidth="1" collapsed="1"/>
    <col min="8" max="8" width="16.28515625" bestFit="1" customWidth="1" collapsed="1"/>
    <col min="9" max="9" width="10.5703125" bestFit="1" customWidth="1" collapsed="1"/>
  </cols>
  <sheetData>
    <row r="1" spans="1:9" x14ac:dyDescent="0.25">
      <c r="A1" s="1" t="s">
        <v>46</v>
      </c>
      <c r="B1" s="1" t="s">
        <v>47</v>
      </c>
      <c r="C1" s="1" t="s">
        <v>48</v>
      </c>
      <c r="D1" s="1" t="s">
        <v>36</v>
      </c>
      <c r="E1" s="1" t="s">
        <v>21</v>
      </c>
      <c r="F1" s="3" t="s">
        <v>6</v>
      </c>
      <c r="G1" t="s">
        <v>42</v>
      </c>
      <c r="H1" s="15" t="s">
        <v>117</v>
      </c>
      <c r="I1" s="16" t="s">
        <v>118</v>
      </c>
    </row>
    <row r="2" spans="1:9" x14ac:dyDescent="0.25">
      <c r="A2" s="22" t="s">
        <v>261</v>
      </c>
      <c r="B2" s="1" t="s">
        <v>49</v>
      </c>
      <c r="C2" s="1" t="s">
        <v>50</v>
      </c>
      <c r="D2" s="1" t="s">
        <v>51</v>
      </c>
      <c r="E2" s="1" t="s">
        <v>52</v>
      </c>
      <c r="F2" s="9" t="s">
        <v>115</v>
      </c>
      <c r="G2" s="1" t="s">
        <v>43</v>
      </c>
      <c r="I2" s="16" t="s">
        <v>119</v>
      </c>
    </row>
    <row r="3" spans="1:9" x14ac:dyDescent="0.25">
      <c r="A3" s="1" t="s">
        <v>262</v>
      </c>
      <c r="B3" s="1" t="s">
        <v>49</v>
      </c>
      <c r="C3" s="1" t="s">
        <v>50</v>
      </c>
      <c r="D3" s="1" t="s">
        <v>75</v>
      </c>
      <c r="E3" s="1" t="s">
        <v>37</v>
      </c>
      <c r="F3" s="9" t="s">
        <v>204</v>
      </c>
      <c r="G3" s="1" t="s">
        <v>43</v>
      </c>
      <c r="I3" s="16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C2" sqref="C2"/>
    </sheetView>
  </sheetViews>
  <sheetFormatPr defaultRowHeight="15" x14ac:dyDescent="0.25"/>
  <cols>
    <col min="1" max="1" width="9.28515625" bestFit="1" customWidth="1" collapsed="1"/>
    <col min="2" max="2" width="30.42578125" style="15" bestFit="1" customWidth="1" collapsed="1"/>
    <col min="7" max="7" width="19.28515625" bestFit="1" customWidth="1" collapsed="1"/>
  </cols>
  <sheetData>
    <row r="1" spans="1:8" x14ac:dyDescent="0.25">
      <c r="A1" s="1" t="s">
        <v>53</v>
      </c>
      <c r="B1" s="16" t="s">
        <v>241</v>
      </c>
      <c r="C1" s="1" t="s">
        <v>36</v>
      </c>
      <c r="D1" s="1" t="s">
        <v>21</v>
      </c>
      <c r="E1" s="15" t="s">
        <v>6</v>
      </c>
      <c r="F1" t="s">
        <v>42</v>
      </c>
      <c r="G1" s="15" t="s">
        <v>117</v>
      </c>
      <c r="H1" s="16" t="s">
        <v>118</v>
      </c>
    </row>
    <row r="2" spans="1:8" s="15" customFormat="1" x14ac:dyDescent="0.25">
      <c r="A2" s="16" t="s">
        <v>54</v>
      </c>
      <c r="B2" s="16" t="s">
        <v>263</v>
      </c>
      <c r="C2" s="16" t="s">
        <v>78</v>
      </c>
      <c r="D2" s="16" t="s">
        <v>10</v>
      </c>
      <c r="E2" s="9" t="s">
        <v>205</v>
      </c>
      <c r="F2" s="16" t="s">
        <v>43</v>
      </c>
      <c r="H2" s="16" t="s">
        <v>119</v>
      </c>
    </row>
    <row r="3" spans="1:8" x14ac:dyDescent="0.25">
      <c r="A3" t="s">
        <v>76</v>
      </c>
      <c r="B3" s="16" t="s">
        <v>263</v>
      </c>
      <c r="C3" s="1" t="s">
        <v>77</v>
      </c>
      <c r="D3" s="1" t="s">
        <v>10</v>
      </c>
      <c r="E3" s="11" t="s">
        <v>206</v>
      </c>
      <c r="F3" s="1" t="s">
        <v>43</v>
      </c>
      <c r="H3" s="16" t="s">
        <v>119</v>
      </c>
    </row>
    <row r="4" spans="1:8" x14ac:dyDescent="0.25">
      <c r="A4" s="1" t="s">
        <v>242</v>
      </c>
      <c r="B4" s="16" t="s">
        <v>264</v>
      </c>
      <c r="C4" s="1" t="s">
        <v>55</v>
      </c>
      <c r="D4" s="1" t="s">
        <v>10</v>
      </c>
      <c r="E4" s="9" t="s">
        <v>207</v>
      </c>
      <c r="F4" s="1" t="s">
        <v>43</v>
      </c>
      <c r="H4" s="16" t="s">
        <v>119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zoomScaleNormal="100" workbookViewId="0">
      <selection activeCell="J7" sqref="J7"/>
    </sheetView>
  </sheetViews>
  <sheetFormatPr defaultRowHeight="15" x14ac:dyDescent="0.25"/>
  <cols>
    <col min="1" max="1" width="3.28515625" style="15" bestFit="1" customWidth="1" collapsed="1"/>
    <col min="2" max="2" width="27.5703125" style="15" bestFit="1" customWidth="1" collapsed="1"/>
    <col min="3" max="3" width="10.28515625" style="15" bestFit="1" customWidth="1" collapsed="1"/>
    <col min="4" max="4" width="14" style="15" bestFit="1" customWidth="1" collapsed="1"/>
    <col min="5" max="5" width="13.5703125" style="15" bestFit="1" customWidth="1" collapsed="1"/>
    <col min="6" max="6" width="8.7109375" style="15" bestFit="1" customWidth="1" collapsed="1"/>
    <col min="7" max="7" width="14.28515625" style="15" bestFit="1" customWidth="1" collapsed="1"/>
    <col min="8" max="8" width="13.28515625" style="15" bestFit="1" customWidth="1" collapsed="1"/>
    <col min="9" max="10" width="13.28515625" style="15" customWidth="1" collapsed="1"/>
    <col min="11" max="11" width="19" style="15" bestFit="1" customWidth="1" collapsed="1"/>
    <col min="12" max="12" width="10.5703125" style="15" bestFit="1" customWidth="1" collapsed="1"/>
    <col min="13" max="13" width="19.28515625" style="15" bestFit="1" customWidth="1" collapsed="1"/>
    <col min="14" max="16384" width="9.140625" style="15" collapsed="1"/>
  </cols>
  <sheetData>
    <row r="1" spans="1:13" x14ac:dyDescent="0.25">
      <c r="A1" s="9" t="s">
        <v>6</v>
      </c>
      <c r="B1" s="9" t="s">
        <v>123</v>
      </c>
      <c r="C1" s="9" t="s">
        <v>42</v>
      </c>
      <c r="D1" s="9" t="s">
        <v>638</v>
      </c>
      <c r="E1" s="9" t="s">
        <v>89</v>
      </c>
      <c r="F1" s="9" t="s">
        <v>90</v>
      </c>
      <c r="G1" s="9" t="s">
        <v>639</v>
      </c>
      <c r="H1" s="9" t="s">
        <v>92</v>
      </c>
      <c r="I1" s="9" t="s">
        <v>640</v>
      </c>
      <c r="J1" s="9" t="s">
        <v>641</v>
      </c>
      <c r="K1" s="16" t="s">
        <v>200</v>
      </c>
      <c r="L1" s="15" t="s">
        <v>118</v>
      </c>
      <c r="M1" s="2" t="s">
        <v>117</v>
      </c>
    </row>
    <row r="2" spans="1:13" x14ac:dyDescent="0.25">
      <c r="A2" s="9" t="s">
        <v>110</v>
      </c>
      <c r="B2" s="7" t="s">
        <v>634</v>
      </c>
      <c r="C2" s="9" t="s">
        <v>43</v>
      </c>
      <c r="D2" s="7" t="s">
        <v>635</v>
      </c>
      <c r="E2" s="7" t="s">
        <v>636</v>
      </c>
      <c r="F2" s="7" t="s">
        <v>10</v>
      </c>
      <c r="G2" s="7" t="s">
        <v>637</v>
      </c>
      <c r="H2" s="7" t="s">
        <v>636</v>
      </c>
      <c r="I2" s="7" t="s">
        <v>51</v>
      </c>
      <c r="J2" s="7" t="s">
        <v>51</v>
      </c>
      <c r="K2" s="16" t="s">
        <v>193</v>
      </c>
      <c r="L2" s="15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R30" sqref="R30"/>
    </sheetView>
  </sheetViews>
  <sheetFormatPr defaultRowHeight="15" x14ac:dyDescent="0.25"/>
  <cols>
    <col min="1" max="1" width="20.28515625" bestFit="1" customWidth="1" collapsed="1"/>
  </cols>
  <sheetData>
    <row r="1" spans="1:2" x14ac:dyDescent="0.25">
      <c r="A1" t="s">
        <v>56</v>
      </c>
      <c r="B1" t="s">
        <v>42</v>
      </c>
    </row>
    <row r="2" spans="1:2" x14ac:dyDescent="0.25">
      <c r="A2" t="s">
        <v>72</v>
      </c>
      <c r="B2" s="1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ColWidth="9.140625" defaultRowHeight="15" x14ac:dyDescent="0.25"/>
  <cols>
    <col min="1" max="1" width="10.42578125" style="15" bestFit="1" customWidth="1" collapsed="1"/>
    <col min="2" max="2" width="22" style="15" bestFit="1" customWidth="1" collapsed="1"/>
    <col min="3" max="16384" width="9.140625" style="15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17" t="s">
        <v>110</v>
      </c>
      <c r="B2" s="16" t="s">
        <v>122</v>
      </c>
      <c r="C2" s="15" t="s">
        <v>119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6" sqref="C6"/>
    </sheetView>
  </sheetViews>
  <sheetFormatPr defaultRowHeight="15" x14ac:dyDescent="0.25"/>
  <cols>
    <col min="1" max="1" width="22.42578125" bestFit="1" customWidth="1" collapsed="1"/>
    <col min="2" max="2" width="20.28515625" bestFit="1" customWidth="1" collapsed="1"/>
    <col min="5" max="5" width="18.42578125" bestFit="1" customWidth="1" collapsed="1"/>
  </cols>
  <sheetData>
    <row r="1" spans="1:5" x14ac:dyDescent="0.25">
      <c r="A1" s="15" t="s">
        <v>68</v>
      </c>
      <c r="B1" s="15" t="s">
        <v>56</v>
      </c>
      <c r="C1" t="s">
        <v>42</v>
      </c>
      <c r="D1" s="15" t="s">
        <v>6</v>
      </c>
      <c r="E1" s="15" t="s">
        <v>123</v>
      </c>
    </row>
    <row r="2" spans="1:5" x14ac:dyDescent="0.25">
      <c r="A2" s="8" t="str">
        <f ca="1">CONCATENATE("Automation_",TEXT(NOW(),"DD-MM-YYYY"))</f>
        <v>Automation_15-09-2026</v>
      </c>
      <c r="B2" t="s">
        <v>72</v>
      </c>
      <c r="C2" s="1" t="s">
        <v>43</v>
      </c>
      <c r="D2" s="9" t="s">
        <v>110</v>
      </c>
      <c r="E2" s="7" t="s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cols>
    <col min="1" max="1" width="20.28515625" bestFit="1" customWidth="1" collapsed="1"/>
  </cols>
  <sheetData>
    <row r="1" spans="1:2" x14ac:dyDescent="0.25">
      <c r="A1" s="15" t="s">
        <v>57</v>
      </c>
      <c r="B1" s="15" t="s">
        <v>6</v>
      </c>
    </row>
    <row r="2" spans="1:2" x14ac:dyDescent="0.25">
      <c r="A2" s="15" t="s">
        <v>72</v>
      </c>
      <c r="B2" s="9" t="s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D15" sqref="D15"/>
    </sheetView>
  </sheetViews>
  <sheetFormatPr defaultRowHeight="15" x14ac:dyDescent="0.25"/>
  <cols>
    <col min="1" max="1" width="20.28515625" bestFit="1" customWidth="1" collapsed="1"/>
    <col min="2" max="2" width="10.28515625" bestFit="1" customWidth="1" collapsed="1"/>
  </cols>
  <sheetData>
    <row r="1" spans="1:3" x14ac:dyDescent="0.25">
      <c r="A1" s="16" t="s">
        <v>212</v>
      </c>
      <c r="B1" s="16" t="s">
        <v>42</v>
      </c>
      <c r="C1" s="16" t="s">
        <v>6</v>
      </c>
    </row>
    <row r="2" spans="1:3" x14ac:dyDescent="0.25">
      <c r="A2" s="16" t="s">
        <v>72</v>
      </c>
      <c r="B2" s="16" t="s">
        <v>43</v>
      </c>
      <c r="C2" s="7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B2"/>
    </sheetView>
  </sheetViews>
  <sheetFormatPr defaultRowHeight="15" x14ac:dyDescent="0.25"/>
  <cols>
    <col min="2" max="2" width="26" bestFit="1" customWidth="1" collapsed="1"/>
    <col min="3" max="3" width="10.28515625" bestFit="1" customWidth="1" collapsed="1"/>
    <col min="4" max="4" width="10.5703125" bestFit="1" customWidth="1" collapsed="1"/>
    <col min="5" max="5" width="11.5703125" bestFit="1" customWidth="1" collapsed="1"/>
    <col min="6" max="6" width="12.42578125" bestFit="1" customWidth="1" collapsed="1"/>
    <col min="7" max="7" width="8.85546875" bestFit="1" customWidth="1" collapsed="1"/>
    <col min="8" max="8" width="6.140625" bestFit="1" customWidth="1" collapsed="1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14" t="s">
        <v>623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5" x14ac:dyDescent="0.25"/>
  <cols>
    <col min="2" max="2" width="10.28515625" bestFit="1" customWidth="1" collapsed="1"/>
    <col min="4" max="4" width="9" bestFit="1" customWidth="1" collapsed="1"/>
    <col min="5" max="5" width="18.7109375" bestFit="1" customWidth="1" collapsed="1"/>
    <col min="6" max="6" width="6.5703125" bestFit="1" customWidth="1" collapsed="1"/>
  </cols>
  <sheetData>
    <row r="1" spans="1:6" x14ac:dyDescent="0.25">
      <c r="A1" s="2" t="s">
        <v>6</v>
      </c>
      <c r="B1" s="2" t="s">
        <v>42</v>
      </c>
      <c r="C1" s="2" t="s">
        <v>118</v>
      </c>
      <c r="D1" s="2" t="s">
        <v>57</v>
      </c>
      <c r="E1" s="2" t="s">
        <v>212</v>
      </c>
      <c r="F1" s="2" t="s">
        <v>216</v>
      </c>
    </row>
    <row r="2" spans="1:6" x14ac:dyDescent="0.25">
      <c r="A2" s="7" t="s">
        <v>39</v>
      </c>
      <c r="B2" s="16" t="s">
        <v>43</v>
      </c>
      <c r="C2" s="16" t="s">
        <v>119</v>
      </c>
      <c r="D2" s="9" t="s">
        <v>261</v>
      </c>
      <c r="E2" s="15" t="s">
        <v>615</v>
      </c>
      <c r="F2" s="15" t="s">
        <v>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E3" sqref="E3"/>
    </sheetView>
  </sheetViews>
  <sheetFormatPr defaultRowHeight="15" x14ac:dyDescent="0.25"/>
  <cols>
    <col min="2" max="2" width="32.85546875" bestFit="1" customWidth="1" collapsed="1"/>
    <col min="8" max="8" width="7" bestFit="1" customWidth="1" collapsed="1"/>
    <col min="9" max="9" width="19" bestFit="1" customWidth="1" collapsed="1"/>
    <col min="10" max="10" width="19.28515625" bestFit="1" customWidth="1" collapsed="1"/>
  </cols>
  <sheetData>
    <row r="1" spans="1:10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611</v>
      </c>
      <c r="F1" s="2" t="s">
        <v>612</v>
      </c>
      <c r="G1" s="2" t="s">
        <v>618</v>
      </c>
      <c r="H1" s="2" t="s">
        <v>619</v>
      </c>
      <c r="I1" s="16" t="s">
        <v>200</v>
      </c>
      <c r="J1" s="2" t="s">
        <v>117</v>
      </c>
    </row>
    <row r="2" spans="1:10" x14ac:dyDescent="0.25">
      <c r="A2" s="7" t="s">
        <v>39</v>
      </c>
      <c r="B2" s="7" t="s">
        <v>624</v>
      </c>
      <c r="C2" s="16" t="s">
        <v>43</v>
      </c>
      <c r="D2" s="16" t="s">
        <v>119</v>
      </c>
      <c r="E2" s="7" t="s">
        <v>649</v>
      </c>
      <c r="F2" s="7" t="s">
        <v>625</v>
      </c>
      <c r="G2" s="7" t="s">
        <v>10</v>
      </c>
      <c r="H2" s="7" t="s">
        <v>10</v>
      </c>
      <c r="I2" s="16" t="s">
        <v>193</v>
      </c>
      <c r="J2" s="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RowHeight="15" x14ac:dyDescent="0.25"/>
  <cols>
    <col min="2" max="2" width="19.28515625" bestFit="1" customWidth="1" collapsed="1"/>
    <col min="3" max="3" width="10.5703125" bestFit="1" customWidth="1" collapsed="1"/>
  </cols>
  <sheetData>
    <row r="1" spans="1:3" x14ac:dyDescent="0.25">
      <c r="A1" s="2" t="s">
        <v>6</v>
      </c>
      <c r="B1" s="2" t="s">
        <v>117</v>
      </c>
      <c r="C1" s="2" t="s">
        <v>118</v>
      </c>
    </row>
    <row r="2" spans="1:3" x14ac:dyDescent="0.25">
      <c r="A2" s="7" t="s">
        <v>39</v>
      </c>
      <c r="C2" s="16" t="s">
        <v>119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2"/>
    </sheetView>
  </sheetViews>
  <sheetFormatPr defaultColWidth="9.140625" defaultRowHeight="15" x14ac:dyDescent="0.25"/>
  <cols>
    <col min="1" max="1" width="10.42578125" style="15" bestFit="1" customWidth="1" collapsed="1"/>
    <col min="2" max="2" width="22" style="15" bestFit="1" customWidth="1" collapsed="1"/>
    <col min="3" max="16384" width="9.140625" style="15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17" t="s">
        <v>110</v>
      </c>
      <c r="B2" s="16" t="s">
        <v>122</v>
      </c>
      <c r="C2" s="15" t="s">
        <v>119</v>
      </c>
    </row>
    <row r="4" spans="1:3" x14ac:dyDescent="0.25">
      <c r="B4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20" sqref="F20"/>
    </sheetView>
  </sheetViews>
  <sheetFormatPr defaultColWidth="9.140625" defaultRowHeight="15" x14ac:dyDescent="0.25"/>
  <cols>
    <col min="1" max="1" width="10.42578125" style="15" bestFit="1" customWidth="1" collapsed="1"/>
    <col min="2" max="2" width="22" style="15" bestFit="1" customWidth="1" collapsed="1"/>
    <col min="3" max="3" width="10.5703125" style="15" bestFit="1" customWidth="1" collapsed="1"/>
    <col min="4" max="16384" width="9.140625" style="15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17" t="s">
        <v>110</v>
      </c>
      <c r="B2" s="16" t="s">
        <v>122</v>
      </c>
      <c r="C2" s="15" t="s">
        <v>119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C2" sqref="C2"/>
    </sheetView>
  </sheetViews>
  <sheetFormatPr defaultRowHeight="15" x14ac:dyDescent="0.25"/>
  <cols>
    <col min="1" max="1" width="23.28515625" bestFit="1" customWidth="1" collapsed="1"/>
    <col min="2" max="2" width="18.7109375" bestFit="1" customWidth="1" collapsed="1"/>
    <col min="3" max="3" width="11.5703125" bestFit="1" customWidth="1" collapsed="1"/>
    <col min="5" max="5" width="13.5703125" bestFit="1" customWidth="1" collapsed="1"/>
    <col min="6" max="6" width="16.28515625" bestFit="1" customWidth="1" collapsed="1"/>
    <col min="7" max="7" width="19.28515625" bestFit="1" customWidth="1" collapsed="1"/>
    <col min="9" max="9" width="10.28515625" bestFit="1" customWidth="1" collapsed="1"/>
    <col min="11" max="11" width="23.28515625" bestFit="1" customWidth="1" collapsed="1"/>
  </cols>
  <sheetData>
    <row r="1" spans="1:11" x14ac:dyDescent="0.25">
      <c r="A1" s="16" t="s">
        <v>514</v>
      </c>
      <c r="B1" s="16" t="s">
        <v>515</v>
      </c>
      <c r="C1" s="16" t="s">
        <v>5</v>
      </c>
      <c r="D1" s="16" t="s">
        <v>6</v>
      </c>
      <c r="E1" s="16" t="s">
        <v>123</v>
      </c>
      <c r="F1" s="16" t="s">
        <v>162</v>
      </c>
      <c r="G1" s="15" t="s">
        <v>117</v>
      </c>
      <c r="H1" s="15" t="s">
        <v>118</v>
      </c>
      <c r="I1" s="15" t="s">
        <v>42</v>
      </c>
      <c r="J1" s="15" t="s">
        <v>57</v>
      </c>
      <c r="K1" s="16" t="s">
        <v>516</v>
      </c>
    </row>
    <row r="2" spans="1:11" x14ac:dyDescent="0.25">
      <c r="A2" s="16" t="s">
        <v>517</v>
      </c>
      <c r="B2" s="16" t="s">
        <v>615</v>
      </c>
      <c r="C2" s="16" t="s">
        <v>518</v>
      </c>
      <c r="D2" s="7" t="s">
        <v>39</v>
      </c>
      <c r="E2" s="16" t="s">
        <v>519</v>
      </c>
      <c r="F2" s="7" t="s">
        <v>500</v>
      </c>
      <c r="G2" s="15" t="s">
        <v>121</v>
      </c>
      <c r="H2" s="15" t="s">
        <v>119</v>
      </c>
      <c r="I2" s="15" t="s">
        <v>43</v>
      </c>
      <c r="J2" s="15" t="s">
        <v>57</v>
      </c>
      <c r="K2" s="16" t="s">
        <v>517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H4" sqref="H4"/>
    </sheetView>
  </sheetViews>
  <sheetFormatPr defaultRowHeight="15" x14ac:dyDescent="0.25"/>
  <cols>
    <col min="1" max="1" width="9" bestFit="1" customWidth="1" collapsed="1"/>
    <col min="2" max="2" width="10.42578125" bestFit="1" customWidth="1" collapsed="1"/>
    <col min="3" max="3" width="5.85546875" bestFit="1" customWidth="1" collapsed="1"/>
    <col min="4" max="4" width="25.28515625" bestFit="1" customWidth="1" collapsed="1"/>
    <col min="8" max="8" width="13.5703125" bestFit="1" customWidth="1" collapsed="1"/>
    <col min="9" max="9" width="16.28515625" bestFit="1" customWidth="1" collapsed="1"/>
    <col min="10" max="10" width="25.140625" bestFit="1" customWidth="1" collapsed="1"/>
    <col min="11" max="11" width="10.5703125" bestFit="1" customWidth="1" collapsed="1"/>
    <col min="12" max="12" width="10.28515625" bestFit="1" customWidth="1" collapsed="1"/>
  </cols>
  <sheetData>
    <row r="1" spans="1:12" x14ac:dyDescent="0.25">
      <c r="A1" s="16" t="s">
        <v>46</v>
      </c>
      <c r="B1" s="16" t="s">
        <v>47</v>
      </c>
      <c r="C1" s="16" t="s">
        <v>48</v>
      </c>
      <c r="D1" s="16" t="s">
        <v>20</v>
      </c>
      <c r="E1" s="16" t="s">
        <v>36</v>
      </c>
      <c r="F1" s="16" t="s">
        <v>21</v>
      </c>
      <c r="G1" s="16" t="s">
        <v>6</v>
      </c>
      <c r="H1" s="16" t="s">
        <v>123</v>
      </c>
      <c r="I1" s="16" t="s">
        <v>162</v>
      </c>
      <c r="J1" s="15" t="s">
        <v>117</v>
      </c>
      <c r="K1" s="15" t="s">
        <v>118</v>
      </c>
      <c r="L1" s="15" t="s">
        <v>42</v>
      </c>
    </row>
    <row r="2" spans="1:12" x14ac:dyDescent="0.25">
      <c r="A2" s="16" t="s">
        <v>261</v>
      </c>
      <c r="B2" s="7" t="s">
        <v>520</v>
      </c>
      <c r="C2" s="16" t="s">
        <v>50</v>
      </c>
      <c r="D2" s="16" t="s">
        <v>263</v>
      </c>
      <c r="E2" s="7" t="s">
        <v>627</v>
      </c>
      <c r="F2" s="7" t="s">
        <v>628</v>
      </c>
      <c r="G2" s="7" t="s">
        <v>73</v>
      </c>
      <c r="H2" s="16" t="s">
        <v>519</v>
      </c>
      <c r="I2" s="7" t="s">
        <v>500</v>
      </c>
      <c r="J2" s="15" t="s">
        <v>166</v>
      </c>
      <c r="K2" s="15" t="s">
        <v>119</v>
      </c>
      <c r="L2" s="15" t="s">
        <v>43</v>
      </c>
    </row>
    <row r="3" spans="1:12" s="15" customFormat="1" x14ac:dyDescent="0.25">
      <c r="A3" s="16" t="s">
        <v>642</v>
      </c>
      <c r="B3" s="7" t="s">
        <v>520</v>
      </c>
      <c r="C3" s="16" t="s">
        <v>50</v>
      </c>
      <c r="D3" s="16" t="s">
        <v>263</v>
      </c>
      <c r="E3" s="7" t="s">
        <v>643</v>
      </c>
      <c r="F3" s="7" t="s">
        <v>500</v>
      </c>
      <c r="G3" s="7" t="s">
        <v>74</v>
      </c>
      <c r="H3" s="16" t="s">
        <v>644</v>
      </c>
      <c r="I3" s="7" t="s">
        <v>500</v>
      </c>
      <c r="J3" s="15" t="s">
        <v>166</v>
      </c>
      <c r="K3" s="15" t="s">
        <v>119</v>
      </c>
      <c r="L3" s="15" t="s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C7" sqref="C7"/>
    </sheetView>
  </sheetViews>
  <sheetFormatPr defaultRowHeight="15" x14ac:dyDescent="0.25"/>
  <cols>
    <col min="1" max="1" width="20.28515625" bestFit="1" customWidth="1" collapsed="1"/>
    <col min="2" max="2" width="24.28515625" bestFit="1" customWidth="1" collapsed="1"/>
    <col min="3" max="3" width="23.28515625" bestFit="1" customWidth="1" collapsed="1"/>
    <col min="5" max="5" width="13.5703125" bestFit="1" customWidth="1" collapsed="1"/>
    <col min="6" max="6" width="16.28515625" bestFit="1" customWidth="1" collapsed="1"/>
    <col min="7" max="7" width="19.28515625" bestFit="1" customWidth="1" collapsed="1"/>
    <col min="8" max="8" width="10.5703125" bestFit="1" customWidth="1" collapsed="1"/>
    <col min="9" max="9" width="10.28515625" bestFit="1" customWidth="1" collapsed="1"/>
    <col min="11" max="11" width="23.28515625" bestFit="1" customWidth="1" collapsed="1"/>
  </cols>
  <sheetData>
    <row r="1" spans="1:11" x14ac:dyDescent="0.25">
      <c r="A1" s="15" t="s">
        <v>57</v>
      </c>
      <c r="B1" s="15" t="s">
        <v>6</v>
      </c>
      <c r="C1" s="15" t="s">
        <v>516</v>
      </c>
      <c r="D1" s="16"/>
      <c r="E1" s="16"/>
      <c r="F1" s="16"/>
      <c r="G1" s="15"/>
      <c r="H1" s="15"/>
      <c r="I1" s="15"/>
      <c r="J1" s="15"/>
      <c r="K1" s="16"/>
    </row>
    <row r="2" spans="1:11" x14ac:dyDescent="0.25">
      <c r="A2" s="15" t="s">
        <v>72</v>
      </c>
      <c r="B2" s="7" t="s">
        <v>73</v>
      </c>
      <c r="C2" s="16" t="s">
        <v>517</v>
      </c>
      <c r="D2" s="7"/>
      <c r="E2" s="16"/>
      <c r="F2" s="7"/>
      <c r="G2" s="15"/>
      <c r="H2" s="15"/>
      <c r="I2" s="15"/>
      <c r="J2" s="15"/>
      <c r="K2" s="1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RowHeight="15" x14ac:dyDescent="0.25"/>
  <cols>
    <col min="2" max="2" width="26.140625" bestFit="1" customWidth="1" collapsed="1"/>
    <col min="3" max="3" width="22" bestFit="1" customWidth="1" collapsed="1"/>
    <col min="4" max="4" width="10.5703125" bestFit="1" customWidth="1" collapsed="1"/>
  </cols>
  <sheetData>
    <row r="1" spans="1:4" x14ac:dyDescent="0.25">
      <c r="A1" s="15" t="s">
        <v>6</v>
      </c>
      <c r="B1" s="15" t="s">
        <v>123</v>
      </c>
      <c r="C1" s="15" t="s">
        <v>117</v>
      </c>
      <c r="D1" s="15" t="s">
        <v>118</v>
      </c>
    </row>
    <row r="2" spans="1:4" x14ac:dyDescent="0.25">
      <c r="A2" s="7" t="s">
        <v>73</v>
      </c>
      <c r="B2" s="15" t="s">
        <v>626</v>
      </c>
      <c r="C2" s="16" t="s">
        <v>122</v>
      </c>
      <c r="D2" s="15" t="s">
        <v>119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E2" sqref="E2"/>
    </sheetView>
  </sheetViews>
  <sheetFormatPr defaultRowHeight="15" x14ac:dyDescent="0.25"/>
  <cols>
    <col min="1" max="1" width="23.7109375" bestFit="1" customWidth="1" collapsed="1"/>
    <col min="2" max="2" width="21.140625" bestFit="1" customWidth="1" collapsed="1"/>
    <col min="3" max="3" width="19.5703125" customWidth="1" collapsed="1"/>
    <col min="4" max="4" width="27.140625" bestFit="1" customWidth="1" collapsed="1"/>
    <col min="5" max="5" width="33.85546875" bestFit="1" customWidth="1" collapsed="1"/>
    <col min="6" max="6" width="26.7109375" customWidth="1" collapsed="1"/>
    <col min="7" max="7" width="18.140625" bestFit="1" customWidth="1" collapsed="1"/>
    <col min="9" max="9" width="13.7109375" style="15" bestFit="1" customWidth="1" collapsed="1"/>
    <col min="10" max="10" width="10.28515625" bestFit="1" customWidth="1" collapsed="1"/>
  </cols>
  <sheetData>
    <row r="1" spans="1:10" x14ac:dyDescent="0.25">
      <c r="A1" s="16" t="s">
        <v>0</v>
      </c>
      <c r="B1" s="1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41</v>
      </c>
      <c r="H1" s="16" t="s">
        <v>6</v>
      </c>
      <c r="I1" s="16" t="s">
        <v>123</v>
      </c>
      <c r="J1" s="16" t="s">
        <v>42</v>
      </c>
    </row>
    <row r="2" spans="1:10" x14ac:dyDescent="0.25">
      <c r="A2" s="1" t="s">
        <v>7</v>
      </c>
      <c r="B2" s="1" t="s">
        <v>244</v>
      </c>
      <c r="C2" s="1" t="s">
        <v>102</v>
      </c>
      <c r="D2" s="1" t="s">
        <v>85</v>
      </c>
      <c r="E2" s="1" t="s">
        <v>267</v>
      </c>
      <c r="F2" s="1" t="s">
        <v>103</v>
      </c>
      <c r="G2" s="1">
        <v>100</v>
      </c>
      <c r="H2" s="9" t="s">
        <v>39</v>
      </c>
      <c r="I2" s="7" t="s">
        <v>125</v>
      </c>
      <c r="J2" s="1" t="s">
        <v>43</v>
      </c>
    </row>
    <row r="3" spans="1:10" x14ac:dyDescent="0.25">
      <c r="A3" t="s">
        <v>7</v>
      </c>
      <c r="B3" s="1">
        <v>6111</v>
      </c>
      <c r="C3" s="1" t="s">
        <v>102</v>
      </c>
      <c r="D3" s="1" t="s">
        <v>85</v>
      </c>
      <c r="E3" t="s">
        <v>268</v>
      </c>
      <c r="F3" s="1" t="s">
        <v>106</v>
      </c>
      <c r="H3" s="9" t="s">
        <v>70</v>
      </c>
      <c r="I3" s="7" t="s">
        <v>129</v>
      </c>
      <c r="J3" t="s">
        <v>43</v>
      </c>
    </row>
    <row r="4" spans="1:10" x14ac:dyDescent="0.25">
      <c r="A4" t="s">
        <v>7</v>
      </c>
      <c r="B4" s="1">
        <v>6111</v>
      </c>
      <c r="C4" s="1" t="s">
        <v>102</v>
      </c>
      <c r="D4" s="1" t="s">
        <v>85</v>
      </c>
      <c r="E4" s="16" t="s">
        <v>272</v>
      </c>
      <c r="F4" s="1" t="s">
        <v>105</v>
      </c>
      <c r="H4" s="9" t="s">
        <v>71</v>
      </c>
      <c r="I4" s="7" t="s">
        <v>126</v>
      </c>
      <c r="J4" t="s">
        <v>43</v>
      </c>
    </row>
    <row r="5" spans="1:10" x14ac:dyDescent="0.25">
      <c r="A5" t="s">
        <v>7</v>
      </c>
      <c r="B5" s="1">
        <v>6111</v>
      </c>
      <c r="C5" s="1" t="s">
        <v>102</v>
      </c>
      <c r="D5" s="1" t="s">
        <v>85</v>
      </c>
      <c r="E5" s="15" t="s">
        <v>273</v>
      </c>
      <c r="F5" s="1" t="s">
        <v>104</v>
      </c>
      <c r="H5" s="9" t="s">
        <v>79</v>
      </c>
      <c r="I5" s="7" t="s">
        <v>157</v>
      </c>
      <c r="J5" t="s">
        <v>43</v>
      </c>
    </row>
    <row r="6" spans="1:10" x14ac:dyDescent="0.25">
      <c r="A6" t="s">
        <v>7</v>
      </c>
      <c r="B6" s="1">
        <v>6111</v>
      </c>
      <c r="C6" s="1" t="s">
        <v>102</v>
      </c>
      <c r="D6" s="1" t="s">
        <v>85</v>
      </c>
      <c r="E6" s="16" t="s">
        <v>274</v>
      </c>
      <c r="F6" s="1" t="s">
        <v>107</v>
      </c>
      <c r="H6" s="9" t="s">
        <v>109</v>
      </c>
      <c r="I6" s="7" t="s">
        <v>127</v>
      </c>
      <c r="J6" t="s">
        <v>43</v>
      </c>
    </row>
    <row r="7" spans="1:10" x14ac:dyDescent="0.25">
      <c r="A7" s="15" t="s">
        <v>7</v>
      </c>
      <c r="B7" s="16">
        <v>6111</v>
      </c>
      <c r="C7" s="16" t="s">
        <v>102</v>
      </c>
      <c r="D7" s="16" t="s">
        <v>85</v>
      </c>
      <c r="E7" s="16" t="s">
        <v>275</v>
      </c>
      <c r="F7" s="16" t="s">
        <v>108</v>
      </c>
      <c r="G7" s="15"/>
      <c r="H7" s="9" t="s">
        <v>110</v>
      </c>
      <c r="I7" s="7" t="s">
        <v>128</v>
      </c>
      <c r="J7" s="15" t="s">
        <v>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D14" sqref="D14"/>
    </sheetView>
  </sheetViews>
  <sheetFormatPr defaultRowHeight="15" x14ac:dyDescent="0.25"/>
  <cols>
    <col min="1" max="1" width="12" bestFit="1" customWidth="1" collapsed="1"/>
    <col min="6" max="6" width="16.42578125" style="15" bestFit="1" customWidth="1" collapsed="1"/>
    <col min="7" max="7" width="10.28515625" bestFit="1" customWidth="1" collapsed="1"/>
    <col min="8" max="8" width="19.42578125" style="6" customWidth="1" collapsed="1"/>
    <col min="9" max="9" width="13.5703125" style="6" bestFit="1" customWidth="1" collapsed="1"/>
    <col min="10" max="10" width="19" style="6" bestFit="1" customWidth="1" collapsed="1"/>
    <col min="11" max="11" width="22.140625" bestFit="1" customWidth="1" collapsed="1"/>
    <col min="12" max="12" width="12" bestFit="1" customWidth="1" collapsed="1"/>
  </cols>
  <sheetData>
    <row r="1" spans="1:12" x14ac:dyDescent="0.25">
      <c r="A1" s="1" t="s">
        <v>69</v>
      </c>
      <c r="B1" s="1" t="s">
        <v>8</v>
      </c>
      <c r="C1" s="1" t="s">
        <v>44</v>
      </c>
      <c r="D1" s="1" t="s">
        <v>9</v>
      </c>
      <c r="E1" s="1" t="s">
        <v>6</v>
      </c>
      <c r="F1" s="16" t="s">
        <v>123</v>
      </c>
      <c r="G1" t="s">
        <v>42</v>
      </c>
      <c r="H1" s="6" t="s">
        <v>95</v>
      </c>
      <c r="I1" s="6" t="s">
        <v>89</v>
      </c>
      <c r="J1" s="16" t="s">
        <v>200</v>
      </c>
      <c r="K1" s="2" t="s">
        <v>117</v>
      </c>
      <c r="L1" s="2" t="s">
        <v>118</v>
      </c>
    </row>
    <row r="2" spans="1:12" x14ac:dyDescent="0.25">
      <c r="A2" s="1" t="s">
        <v>261</v>
      </c>
      <c r="B2" s="4">
        <v>5</v>
      </c>
      <c r="C2" s="4" t="s">
        <v>10</v>
      </c>
      <c r="D2" s="16" t="s">
        <v>78</v>
      </c>
      <c r="E2" s="10" t="s">
        <v>73</v>
      </c>
      <c r="F2" s="7" t="s">
        <v>130</v>
      </c>
      <c r="G2" s="6" t="s">
        <v>43</v>
      </c>
      <c r="H2" s="14" t="s">
        <v>269</v>
      </c>
      <c r="I2" s="14" t="s">
        <v>270</v>
      </c>
      <c r="J2" s="16" t="s">
        <v>193</v>
      </c>
      <c r="L2" t="s">
        <v>119</v>
      </c>
    </row>
    <row r="3" spans="1:12" x14ac:dyDescent="0.25">
      <c r="A3" s="5">
        <v>68736075</v>
      </c>
      <c r="B3" s="4" t="s">
        <v>55</v>
      </c>
      <c r="C3" s="4">
        <v>0</v>
      </c>
      <c r="D3" s="4" t="s">
        <v>10</v>
      </c>
      <c r="E3" s="10" t="s">
        <v>74</v>
      </c>
      <c r="F3" s="7" t="s">
        <v>141</v>
      </c>
      <c r="G3" t="s">
        <v>43</v>
      </c>
      <c r="H3" s="14" t="s">
        <v>269</v>
      </c>
      <c r="I3" s="14" t="s">
        <v>271</v>
      </c>
      <c r="J3" s="15" t="s">
        <v>193</v>
      </c>
      <c r="L3" t="s">
        <v>119</v>
      </c>
    </row>
    <row r="4" spans="1:12" x14ac:dyDescent="0.25">
      <c r="A4" s="16" t="s">
        <v>261</v>
      </c>
      <c r="B4" s="4" t="s">
        <v>55</v>
      </c>
      <c r="C4" s="4">
        <v>0</v>
      </c>
      <c r="D4" s="4" t="s">
        <v>78</v>
      </c>
      <c r="E4" s="10" t="s">
        <v>96</v>
      </c>
      <c r="F4" s="7" t="s">
        <v>131</v>
      </c>
      <c r="G4" t="s">
        <v>43</v>
      </c>
      <c r="H4" s="14" t="s">
        <v>269</v>
      </c>
      <c r="I4" s="14" t="s">
        <v>270</v>
      </c>
      <c r="J4" s="16" t="s">
        <v>193</v>
      </c>
      <c r="L4" t="s">
        <v>119</v>
      </c>
    </row>
    <row r="5" spans="1:12" x14ac:dyDescent="0.25">
      <c r="A5" s="5">
        <v>68736075</v>
      </c>
      <c r="B5" s="4" t="s">
        <v>55</v>
      </c>
      <c r="C5" s="4">
        <v>0</v>
      </c>
      <c r="D5" s="4" t="s">
        <v>10</v>
      </c>
      <c r="E5" s="10" t="s">
        <v>97</v>
      </c>
      <c r="F5" s="7" t="s">
        <v>132</v>
      </c>
      <c r="G5" t="s">
        <v>43</v>
      </c>
      <c r="H5" s="14" t="s">
        <v>269</v>
      </c>
      <c r="I5" s="14" t="s">
        <v>271</v>
      </c>
      <c r="J5" s="15" t="s">
        <v>193</v>
      </c>
      <c r="L5" t="s">
        <v>119</v>
      </c>
    </row>
    <row r="6" spans="1:12" x14ac:dyDescent="0.25">
      <c r="A6" s="16" t="s">
        <v>261</v>
      </c>
      <c r="B6" s="4" t="s">
        <v>55</v>
      </c>
      <c r="C6" s="4">
        <v>0</v>
      </c>
      <c r="D6" s="4" t="s">
        <v>78</v>
      </c>
      <c r="E6" s="10" t="s">
        <v>98</v>
      </c>
      <c r="F6" s="7" t="s">
        <v>133</v>
      </c>
      <c r="G6" t="s">
        <v>43</v>
      </c>
      <c r="H6" s="14" t="s">
        <v>269</v>
      </c>
      <c r="I6" s="14" t="s">
        <v>270</v>
      </c>
      <c r="J6" s="16" t="s">
        <v>193</v>
      </c>
      <c r="L6" t="s">
        <v>119</v>
      </c>
    </row>
    <row r="7" spans="1:12" x14ac:dyDescent="0.25">
      <c r="A7" s="5">
        <v>68736075</v>
      </c>
      <c r="B7" s="4" t="s">
        <v>55</v>
      </c>
      <c r="C7" s="4">
        <v>0</v>
      </c>
      <c r="D7" s="4" t="s">
        <v>10</v>
      </c>
      <c r="E7" s="10" t="s">
        <v>99</v>
      </c>
      <c r="F7" s="7" t="s">
        <v>134</v>
      </c>
      <c r="G7" t="s">
        <v>43</v>
      </c>
      <c r="H7" s="14" t="s">
        <v>269</v>
      </c>
      <c r="I7" s="14" t="s">
        <v>271</v>
      </c>
      <c r="J7" s="15" t="s">
        <v>193</v>
      </c>
      <c r="L7" t="s">
        <v>119</v>
      </c>
    </row>
    <row r="8" spans="1:12" x14ac:dyDescent="0.25">
      <c r="A8" s="16" t="s">
        <v>261</v>
      </c>
      <c r="B8" s="4" t="s">
        <v>55</v>
      </c>
      <c r="C8" s="4">
        <v>0</v>
      </c>
      <c r="D8" s="4" t="s">
        <v>78</v>
      </c>
      <c r="E8" s="10" t="s">
        <v>100</v>
      </c>
      <c r="F8" s="7" t="s">
        <v>135</v>
      </c>
      <c r="G8" t="s">
        <v>43</v>
      </c>
      <c r="H8" s="14" t="s">
        <v>269</v>
      </c>
      <c r="I8" s="14" t="s">
        <v>270</v>
      </c>
      <c r="J8" s="16" t="s">
        <v>193</v>
      </c>
      <c r="L8" t="s">
        <v>119</v>
      </c>
    </row>
    <row r="9" spans="1:12" x14ac:dyDescent="0.25">
      <c r="A9" s="5">
        <v>68736075</v>
      </c>
      <c r="B9" s="4" t="s">
        <v>55</v>
      </c>
      <c r="C9" s="4">
        <v>0</v>
      </c>
      <c r="D9" s="4" t="s">
        <v>10</v>
      </c>
      <c r="E9" s="10" t="s">
        <v>101</v>
      </c>
      <c r="F9" s="7" t="s">
        <v>136</v>
      </c>
      <c r="G9" t="s">
        <v>43</v>
      </c>
      <c r="H9" s="14" t="s">
        <v>269</v>
      </c>
      <c r="I9" s="14" t="s">
        <v>271</v>
      </c>
      <c r="J9" s="15" t="s">
        <v>193</v>
      </c>
      <c r="L9" t="s">
        <v>119</v>
      </c>
    </row>
    <row r="10" spans="1:12" x14ac:dyDescent="0.25">
      <c r="A10" s="16" t="s">
        <v>261</v>
      </c>
      <c r="B10" s="4" t="s">
        <v>55</v>
      </c>
      <c r="C10" s="4">
        <v>0</v>
      </c>
      <c r="D10" s="4" t="s">
        <v>78</v>
      </c>
      <c r="E10" s="10" t="s">
        <v>112</v>
      </c>
      <c r="F10" s="7" t="s">
        <v>137</v>
      </c>
      <c r="G10" t="s">
        <v>43</v>
      </c>
      <c r="H10" s="14" t="s">
        <v>269</v>
      </c>
      <c r="I10" s="14" t="s">
        <v>270</v>
      </c>
      <c r="J10" s="16" t="s">
        <v>193</v>
      </c>
      <c r="L10" t="s">
        <v>119</v>
      </c>
    </row>
    <row r="11" spans="1:12" x14ac:dyDescent="0.25">
      <c r="A11" s="5">
        <v>68736075</v>
      </c>
      <c r="B11" s="4" t="s">
        <v>55</v>
      </c>
      <c r="C11" s="4">
        <v>0</v>
      </c>
      <c r="D11" s="4" t="s">
        <v>10</v>
      </c>
      <c r="E11" s="10" t="s">
        <v>113</v>
      </c>
      <c r="F11" s="7" t="s">
        <v>138</v>
      </c>
      <c r="G11" t="s">
        <v>43</v>
      </c>
      <c r="H11" s="14" t="s">
        <v>269</v>
      </c>
      <c r="I11" s="14" t="s">
        <v>271</v>
      </c>
      <c r="J11" s="15" t="s">
        <v>193</v>
      </c>
      <c r="L11" t="s">
        <v>119</v>
      </c>
    </row>
    <row r="12" spans="1:12" s="15" customFormat="1" x14ac:dyDescent="0.25">
      <c r="A12" s="16" t="s">
        <v>261</v>
      </c>
      <c r="B12" s="4" t="s">
        <v>55</v>
      </c>
      <c r="C12" s="4">
        <v>0</v>
      </c>
      <c r="D12" s="4" t="s">
        <v>78</v>
      </c>
      <c r="E12" s="17" t="s">
        <v>114</v>
      </c>
      <c r="F12" s="7" t="s">
        <v>139</v>
      </c>
      <c r="G12" s="15" t="s">
        <v>43</v>
      </c>
      <c r="H12" s="14" t="s">
        <v>269</v>
      </c>
      <c r="I12" s="14" t="s">
        <v>270</v>
      </c>
      <c r="J12" s="16" t="s">
        <v>193</v>
      </c>
      <c r="L12" s="15" t="s">
        <v>119</v>
      </c>
    </row>
    <row r="13" spans="1:12" s="15" customFormat="1" x14ac:dyDescent="0.25">
      <c r="A13" s="5">
        <v>68736075</v>
      </c>
      <c r="B13" s="4" t="s">
        <v>55</v>
      </c>
      <c r="C13" s="4">
        <v>0</v>
      </c>
      <c r="D13" s="4" t="s">
        <v>317</v>
      </c>
      <c r="E13" s="17" t="s">
        <v>115</v>
      </c>
      <c r="F13" s="7" t="s">
        <v>140</v>
      </c>
      <c r="G13" s="15" t="s">
        <v>43</v>
      </c>
      <c r="H13" s="14" t="s">
        <v>269</v>
      </c>
      <c r="I13" s="14" t="s">
        <v>271</v>
      </c>
      <c r="J13" s="15" t="s">
        <v>193</v>
      </c>
      <c r="L13" s="15" t="s">
        <v>119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F11" sqref="F11"/>
    </sheetView>
  </sheetViews>
  <sheetFormatPr defaultRowHeight="15" x14ac:dyDescent="0.25"/>
  <cols>
    <col min="2" max="2" width="23.5703125" style="15" bestFit="1" customWidth="1" collapsed="1"/>
    <col min="3" max="3" width="10.28515625" bestFit="1" customWidth="1" collapsed="1"/>
    <col min="4" max="4" width="13.5703125" bestFit="1" customWidth="1" collapsed="1"/>
    <col min="5" max="5" width="8.140625" style="15" bestFit="1" customWidth="1" collapsed="1"/>
    <col min="6" max="6" width="11.7109375" bestFit="1" customWidth="1" collapsed="1"/>
    <col min="7" max="7" width="9.140625" style="15" bestFit="1" customWidth="1" collapsed="1"/>
    <col min="9" max="9" width="11.85546875" bestFit="1" customWidth="1" collapsed="1"/>
    <col min="10" max="10" width="19" bestFit="1" customWidth="1" collapsed="1"/>
  </cols>
  <sheetData>
    <row r="1" spans="1:10" x14ac:dyDescent="0.25">
      <c r="A1" s="9" t="s">
        <v>6</v>
      </c>
      <c r="B1" s="9" t="s">
        <v>123</v>
      </c>
      <c r="C1" s="9" t="s">
        <v>42</v>
      </c>
      <c r="D1" s="9" t="s">
        <v>89</v>
      </c>
      <c r="E1" s="9" t="s">
        <v>277</v>
      </c>
      <c r="F1" s="9" t="s">
        <v>90</v>
      </c>
      <c r="G1" s="15" t="s">
        <v>276</v>
      </c>
      <c r="H1" s="9" t="s">
        <v>91</v>
      </c>
      <c r="I1" s="9" t="s">
        <v>92</v>
      </c>
      <c r="J1" s="16" t="s">
        <v>200</v>
      </c>
    </row>
    <row r="2" spans="1:10" x14ac:dyDescent="0.25">
      <c r="A2" s="9" t="s">
        <v>39</v>
      </c>
      <c r="B2" s="7" t="s">
        <v>142</v>
      </c>
      <c r="C2" s="9" t="s">
        <v>43</v>
      </c>
      <c r="D2" s="9" t="s">
        <v>278</v>
      </c>
      <c r="E2" s="23" t="s">
        <v>10</v>
      </c>
      <c r="F2" s="7" t="s">
        <v>527</v>
      </c>
      <c r="G2" s="7" t="s">
        <v>528</v>
      </c>
      <c r="H2" s="9" t="s">
        <v>529</v>
      </c>
      <c r="I2" s="9" t="s">
        <v>530</v>
      </c>
      <c r="J2" s="16" t="s">
        <v>193</v>
      </c>
    </row>
    <row r="3" spans="1:10" x14ac:dyDescent="0.25">
      <c r="A3" s="9" t="s">
        <v>70</v>
      </c>
      <c r="B3" s="7" t="s">
        <v>143</v>
      </c>
      <c r="C3" s="9" t="s">
        <v>43</v>
      </c>
      <c r="D3" s="9" t="s">
        <v>278</v>
      </c>
      <c r="E3" s="23" t="s">
        <v>279</v>
      </c>
      <c r="F3" s="7" t="s">
        <v>280</v>
      </c>
      <c r="G3" s="7" t="s">
        <v>281</v>
      </c>
      <c r="H3" s="9" t="s">
        <v>282</v>
      </c>
      <c r="I3" s="9" t="s">
        <v>283</v>
      </c>
      <c r="J3" t="s">
        <v>193</v>
      </c>
    </row>
    <row r="4" spans="1:10" x14ac:dyDescent="0.25">
      <c r="A4" s="9" t="s">
        <v>71</v>
      </c>
      <c r="B4" s="7" t="s">
        <v>144</v>
      </c>
      <c r="C4" s="9" t="s">
        <v>43</v>
      </c>
      <c r="D4" s="9" t="s">
        <v>278</v>
      </c>
      <c r="E4" s="23" t="s">
        <v>279</v>
      </c>
      <c r="F4" s="7" t="s">
        <v>280</v>
      </c>
      <c r="G4" s="7" t="s">
        <v>281</v>
      </c>
      <c r="H4" s="9" t="s">
        <v>282</v>
      </c>
      <c r="I4" s="9" t="s">
        <v>283</v>
      </c>
      <c r="J4" s="16" t="s">
        <v>193</v>
      </c>
    </row>
    <row r="5" spans="1:10" x14ac:dyDescent="0.25">
      <c r="A5" s="9" t="s">
        <v>79</v>
      </c>
      <c r="B5" s="7" t="s">
        <v>145</v>
      </c>
      <c r="C5" s="9" t="s">
        <v>43</v>
      </c>
      <c r="D5" s="9" t="s">
        <v>278</v>
      </c>
      <c r="E5" s="23" t="s">
        <v>10</v>
      </c>
      <c r="F5" s="7" t="s">
        <v>527</v>
      </c>
      <c r="G5" s="7" t="s">
        <v>528</v>
      </c>
      <c r="H5" s="9" t="s">
        <v>529</v>
      </c>
      <c r="I5" s="9" t="s">
        <v>530</v>
      </c>
      <c r="J5" s="15" t="s">
        <v>193</v>
      </c>
    </row>
    <row r="6" spans="1:10" s="15" customFormat="1" x14ac:dyDescent="0.25">
      <c r="A6" s="9" t="s">
        <v>109</v>
      </c>
      <c r="B6" s="7" t="s">
        <v>146</v>
      </c>
      <c r="C6" s="9" t="s">
        <v>43</v>
      </c>
      <c r="D6" s="9" t="s">
        <v>278</v>
      </c>
      <c r="E6" s="23" t="s">
        <v>10</v>
      </c>
      <c r="F6" s="7" t="s">
        <v>527</v>
      </c>
      <c r="G6" s="7" t="s">
        <v>528</v>
      </c>
      <c r="H6" s="9" t="s">
        <v>529</v>
      </c>
      <c r="I6" s="9" t="s">
        <v>530</v>
      </c>
      <c r="J6" s="16" t="s">
        <v>193</v>
      </c>
    </row>
    <row r="7" spans="1:10" s="15" customFormat="1" x14ac:dyDescent="0.25">
      <c r="A7" s="9" t="s">
        <v>110</v>
      </c>
      <c r="B7" s="7" t="s">
        <v>147</v>
      </c>
      <c r="C7" s="9" t="s">
        <v>43</v>
      </c>
      <c r="D7" s="9" t="s">
        <v>278</v>
      </c>
      <c r="E7" s="23" t="s">
        <v>10</v>
      </c>
      <c r="F7" s="7" t="s">
        <v>527</v>
      </c>
      <c r="G7" s="7" t="s">
        <v>528</v>
      </c>
      <c r="H7" s="9" t="s">
        <v>529</v>
      </c>
      <c r="I7" s="9" t="s">
        <v>530</v>
      </c>
      <c r="J7" s="15" t="s">
        <v>193</v>
      </c>
    </row>
    <row r="8" spans="1:10" s="15" customFormat="1" x14ac:dyDescent="0.25">
      <c r="A8" s="9" t="s">
        <v>111</v>
      </c>
      <c r="B8" s="7" t="s">
        <v>148</v>
      </c>
      <c r="C8" s="9" t="s">
        <v>43</v>
      </c>
      <c r="D8" s="9" t="s">
        <v>278</v>
      </c>
      <c r="E8" s="23" t="s">
        <v>522</v>
      </c>
      <c r="F8" s="7" t="s">
        <v>523</v>
      </c>
      <c r="G8" s="7" t="s">
        <v>524</v>
      </c>
      <c r="H8" s="9" t="s">
        <v>525</v>
      </c>
      <c r="I8" s="9" t="s">
        <v>526</v>
      </c>
      <c r="J8" s="16" t="s">
        <v>193</v>
      </c>
    </row>
    <row r="9" spans="1:10" s="15" customFormat="1" x14ac:dyDescent="0.25">
      <c r="A9" s="9" t="s">
        <v>217</v>
      </c>
      <c r="B9" s="7" t="s">
        <v>218</v>
      </c>
      <c r="C9" s="9" t="s">
        <v>43</v>
      </c>
      <c r="D9" s="9" t="s">
        <v>278</v>
      </c>
      <c r="E9" s="23" t="s">
        <v>522</v>
      </c>
      <c r="F9" s="7" t="s">
        <v>523</v>
      </c>
      <c r="G9" s="7" t="s">
        <v>524</v>
      </c>
      <c r="H9" s="9" t="s">
        <v>525</v>
      </c>
      <c r="I9" s="9" t="s">
        <v>526</v>
      </c>
      <c r="J9" s="15" t="s">
        <v>193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2" sqref="B2:B9"/>
    </sheetView>
  </sheetViews>
  <sheetFormatPr defaultColWidth="9.140625" defaultRowHeight="15" x14ac:dyDescent="0.25"/>
  <cols>
    <col min="1" max="1" width="15.28515625" style="15" customWidth="1" collapsed="1"/>
    <col min="2" max="2" width="22.85546875" style="15" bestFit="1" customWidth="1" collapsed="1"/>
    <col min="3" max="3" width="21.7109375" style="15" customWidth="1" collapsed="1"/>
    <col min="4" max="4" width="17.285156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5" t="s">
        <v>118</v>
      </c>
    </row>
    <row r="2" spans="1:4" x14ac:dyDescent="0.25">
      <c r="A2" s="17" t="s">
        <v>74</v>
      </c>
      <c r="B2" s="7" t="s">
        <v>149</v>
      </c>
      <c r="C2" s="16" t="s">
        <v>120</v>
      </c>
      <c r="D2" s="15" t="s">
        <v>119</v>
      </c>
    </row>
    <row r="3" spans="1:4" x14ac:dyDescent="0.25">
      <c r="A3" s="17" t="s">
        <v>97</v>
      </c>
      <c r="B3" s="7" t="s">
        <v>150</v>
      </c>
      <c r="C3" s="16" t="s">
        <v>120</v>
      </c>
      <c r="D3" s="15" t="s">
        <v>119</v>
      </c>
    </row>
    <row r="4" spans="1:4" x14ac:dyDescent="0.25">
      <c r="A4" s="17" t="s">
        <v>99</v>
      </c>
      <c r="B4" s="7" t="s">
        <v>151</v>
      </c>
      <c r="C4" s="16" t="s">
        <v>120</v>
      </c>
      <c r="D4" s="15" t="s">
        <v>119</v>
      </c>
    </row>
    <row r="5" spans="1:4" x14ac:dyDescent="0.25">
      <c r="A5" s="17" t="s">
        <v>101</v>
      </c>
      <c r="B5" s="7" t="s">
        <v>152</v>
      </c>
      <c r="C5" s="16" t="s">
        <v>120</v>
      </c>
      <c r="D5" s="15" t="s">
        <v>119</v>
      </c>
    </row>
    <row r="6" spans="1:4" x14ac:dyDescent="0.25">
      <c r="A6" s="17" t="s">
        <v>113</v>
      </c>
      <c r="B6" s="7" t="s">
        <v>153</v>
      </c>
      <c r="C6" s="16" t="s">
        <v>120</v>
      </c>
      <c r="D6" s="15" t="s">
        <v>119</v>
      </c>
    </row>
    <row r="7" spans="1:4" x14ac:dyDescent="0.25">
      <c r="A7" s="17" t="s">
        <v>115</v>
      </c>
      <c r="B7" s="7" t="s">
        <v>154</v>
      </c>
      <c r="C7" s="16" t="s">
        <v>120</v>
      </c>
      <c r="D7" s="15" t="s">
        <v>119</v>
      </c>
    </row>
    <row r="8" spans="1:4" x14ac:dyDescent="0.25">
      <c r="A8" s="17" t="s">
        <v>116</v>
      </c>
      <c r="B8" s="7" t="s">
        <v>155</v>
      </c>
      <c r="C8" s="16" t="s">
        <v>120</v>
      </c>
      <c r="D8" s="15" t="s">
        <v>119</v>
      </c>
    </row>
    <row r="9" spans="1:4" x14ac:dyDescent="0.25">
      <c r="A9" s="17" t="s">
        <v>219</v>
      </c>
      <c r="B9" s="7" t="s">
        <v>220</v>
      </c>
      <c r="C9" s="16" t="s">
        <v>120</v>
      </c>
      <c r="D9" s="15" t="s">
        <v>119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5" bestFit="1" customWidth="1" collapsed="1"/>
    <col min="2" max="2" width="16.140625" bestFit="1" customWidth="1" collapsed="1"/>
    <col min="3" max="3" width="20" bestFit="1" customWidth="1" collapsed="1"/>
    <col min="4" max="4" width="17.5703125" bestFit="1" customWidth="1" collapsed="1"/>
    <col min="6" max="6" width="10.28515625" bestFit="1" customWidth="1" collapsed="1"/>
    <col min="7" max="7" width="11" bestFit="1" customWidth="1" collapsed="1"/>
  </cols>
  <sheetData>
    <row r="1" spans="1:7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</v>
      </c>
      <c r="F1" s="15" t="s">
        <v>42</v>
      </c>
      <c r="G1" s="16" t="s">
        <v>57</v>
      </c>
    </row>
    <row r="2" spans="1:7" x14ac:dyDescent="0.25">
      <c r="A2" s="16" t="s">
        <v>284</v>
      </c>
      <c r="B2" s="16" t="s">
        <v>63</v>
      </c>
      <c r="C2" s="14" t="str">
        <f ca="1">TEXT(NOW(),"YYYY-MM-DD")</f>
        <v>2026-09-15</v>
      </c>
      <c r="D2" s="14" t="str">
        <f ca="1">TEXT(NOW(),"YYYY-MM-DD")</f>
        <v>2026-09-15</v>
      </c>
      <c r="E2" s="7" t="s">
        <v>39</v>
      </c>
      <c r="F2" s="16" t="s">
        <v>43</v>
      </c>
      <c r="G2" s="16" t="s">
        <v>285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I17" sqref="I17"/>
    </sheetView>
  </sheetViews>
  <sheetFormatPr defaultRowHeight="15" x14ac:dyDescent="0.25"/>
  <cols>
    <col min="1" max="1" width="13.5703125" bestFit="1" customWidth="1" collapsed="1"/>
    <col min="2" max="2" width="13.5703125" style="15" customWidth="1" collapsed="1"/>
    <col min="3" max="3" width="12.7109375" bestFit="1" customWidth="1" collapsed="1"/>
    <col min="4" max="4" width="12.7109375" style="15" customWidth="1" collapsed="1"/>
    <col min="5" max="5" width="12" bestFit="1" customWidth="1" collapsed="1"/>
    <col min="6" max="6" width="13.28515625" bestFit="1" customWidth="1" collapsed="1"/>
    <col min="8" max="8" width="38.7109375" bestFit="1" customWidth="1" collapsed="1"/>
    <col min="9" max="9" width="10.28515625" bestFit="1" customWidth="1" collapsed="1"/>
    <col min="10" max="10" width="19" bestFit="1" customWidth="1" collapsed="1"/>
    <col min="11" max="11" width="19.28515625" bestFit="1" customWidth="1" collapsed="1"/>
  </cols>
  <sheetData>
    <row r="1" spans="1:11" x14ac:dyDescent="0.25">
      <c r="A1" s="9" t="s">
        <v>89</v>
      </c>
      <c r="B1" s="15" t="s">
        <v>277</v>
      </c>
      <c r="C1" s="9" t="s">
        <v>90</v>
      </c>
      <c r="D1" s="9" t="s">
        <v>276</v>
      </c>
      <c r="E1" s="9" t="s">
        <v>91</v>
      </c>
      <c r="F1" s="9" t="s">
        <v>92</v>
      </c>
      <c r="G1" s="9" t="s">
        <v>6</v>
      </c>
      <c r="H1" s="9" t="s">
        <v>123</v>
      </c>
      <c r="I1" s="9" t="s">
        <v>42</v>
      </c>
      <c r="J1" s="16" t="s">
        <v>200</v>
      </c>
      <c r="K1" s="15" t="s">
        <v>117</v>
      </c>
    </row>
    <row r="2" spans="1:11" x14ac:dyDescent="0.25">
      <c r="A2" s="15" t="s">
        <v>270</v>
      </c>
      <c r="B2" s="15" t="s">
        <v>10</v>
      </c>
      <c r="C2" s="14" t="s">
        <v>558</v>
      </c>
      <c r="D2" s="23" t="s">
        <v>559</v>
      </c>
      <c r="E2" s="14" t="s">
        <v>560</v>
      </c>
      <c r="F2" s="14" t="s">
        <v>561</v>
      </c>
      <c r="G2" s="9" t="s">
        <v>73</v>
      </c>
      <c r="H2" s="7" t="s">
        <v>286</v>
      </c>
      <c r="I2" s="9" t="s">
        <v>43</v>
      </c>
      <c r="J2" s="16" t="s">
        <v>193</v>
      </c>
      <c r="K2" s="15"/>
    </row>
    <row r="3" spans="1:11" x14ac:dyDescent="0.25">
      <c r="A3" s="15" t="s">
        <v>271</v>
      </c>
      <c r="B3" s="15" t="s">
        <v>10</v>
      </c>
      <c r="C3" s="14" t="s">
        <v>562</v>
      </c>
      <c r="D3" s="23" t="s">
        <v>563</v>
      </c>
      <c r="E3" s="15" t="s">
        <v>564</v>
      </c>
      <c r="F3" s="14" t="s">
        <v>565</v>
      </c>
      <c r="G3" s="9" t="s">
        <v>74</v>
      </c>
      <c r="H3" s="7" t="s">
        <v>295</v>
      </c>
      <c r="I3" s="9" t="s">
        <v>43</v>
      </c>
      <c r="J3" s="16" t="s">
        <v>193</v>
      </c>
      <c r="K3" s="1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E2" sqref="E2"/>
    </sheetView>
  </sheetViews>
  <sheetFormatPr defaultRowHeight="15" x14ac:dyDescent="0.25"/>
  <cols>
    <col min="1" max="1" width="5.7109375" bestFit="1" customWidth="1" collapsed="1"/>
    <col min="2" max="2" width="35.7109375" bestFit="1" customWidth="1" collapsed="1"/>
    <col min="3" max="3" width="10.28515625" bestFit="1" customWidth="1" collapsed="1"/>
    <col min="4" max="4" width="13.5703125" bestFit="1" customWidth="1" collapsed="1"/>
    <col min="5" max="5" width="12.140625" bestFit="1" customWidth="1" collapsed="1"/>
    <col min="6" max="6" width="12.85546875" bestFit="1" customWidth="1" collapsed="1"/>
    <col min="7" max="7" width="7.5703125" style="15" bestFit="1" customWidth="1" collapsed="1"/>
    <col min="8" max="8" width="12.140625" style="15" bestFit="1" customWidth="1" collapsed="1"/>
    <col min="9" max="9" width="13.28515625" bestFit="1" customWidth="1" collapsed="1"/>
    <col min="10" max="10" width="19" bestFit="1" customWidth="1" collapsed="1"/>
    <col min="11" max="11" width="19.28515625" bestFit="1" customWidth="1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15" t="s">
        <v>277</v>
      </c>
      <c r="F1" s="9" t="s">
        <v>90</v>
      </c>
      <c r="G1" s="9" t="s">
        <v>276</v>
      </c>
      <c r="H1" s="9" t="s">
        <v>91</v>
      </c>
      <c r="I1" s="9" t="s">
        <v>92</v>
      </c>
      <c r="J1" s="16" t="s">
        <v>200</v>
      </c>
      <c r="K1" s="15" t="s">
        <v>117</v>
      </c>
    </row>
    <row r="2" spans="1:11" x14ac:dyDescent="0.25">
      <c r="A2" s="9" t="s">
        <v>73</v>
      </c>
      <c r="B2" s="7" t="s">
        <v>287</v>
      </c>
      <c r="C2" s="9" t="s">
        <v>43</v>
      </c>
      <c r="D2" s="15" t="s">
        <v>296</v>
      </c>
      <c r="E2" s="15" t="s">
        <v>10</v>
      </c>
      <c r="F2" s="14" t="s">
        <v>566</v>
      </c>
      <c r="G2" s="23" t="s">
        <v>528</v>
      </c>
      <c r="H2" s="14" t="s">
        <v>567</v>
      </c>
      <c r="I2" s="14" t="s">
        <v>568</v>
      </c>
      <c r="J2" s="16" t="s">
        <v>193</v>
      </c>
      <c r="K2" s="1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6" sqref="A6"/>
    </sheetView>
  </sheetViews>
  <sheetFormatPr defaultRowHeight="15" x14ac:dyDescent="0.25"/>
  <cols>
    <col min="1" max="1" width="11.7109375" bestFit="1" customWidth="1" collapsed="1"/>
    <col min="2" max="2" width="12.140625" bestFit="1" customWidth="1" collapsed="1"/>
    <col min="4" max="4" width="37.42578125" bestFit="1" customWidth="1" collapsed="1"/>
    <col min="5" max="5" width="10.28515625" bestFit="1" customWidth="1" collapsed="1"/>
    <col min="6" max="6" width="19" bestFit="1" customWidth="1" collapsed="1"/>
    <col min="7" max="7" width="19.28515625" bestFit="1" customWidth="1" collapsed="1"/>
  </cols>
  <sheetData>
    <row r="1" spans="1:7" x14ac:dyDescent="0.25">
      <c r="A1" s="6" t="s">
        <v>90</v>
      </c>
      <c r="B1" s="9" t="s">
        <v>330</v>
      </c>
      <c r="C1" s="9" t="s">
        <v>6</v>
      </c>
      <c r="D1" s="9" t="s">
        <v>123</v>
      </c>
      <c r="E1" s="9" t="s">
        <v>42</v>
      </c>
      <c r="F1" s="16" t="s">
        <v>200</v>
      </c>
      <c r="G1" s="15" t="s">
        <v>117</v>
      </c>
    </row>
    <row r="2" spans="1:7" x14ac:dyDescent="0.25">
      <c r="A2" s="14" t="s">
        <v>569</v>
      </c>
      <c r="B2" s="14" t="s">
        <v>331</v>
      </c>
      <c r="C2" s="9" t="s">
        <v>73</v>
      </c>
      <c r="D2" s="7" t="s">
        <v>289</v>
      </c>
      <c r="E2" s="9" t="s">
        <v>43</v>
      </c>
      <c r="F2" s="16" t="s">
        <v>193</v>
      </c>
      <c r="G2" s="15"/>
    </row>
    <row r="3" spans="1:7" x14ac:dyDescent="0.25">
      <c r="A3" s="14" t="s">
        <v>298</v>
      </c>
      <c r="B3" s="14" t="s">
        <v>331</v>
      </c>
      <c r="C3" s="9" t="s">
        <v>74</v>
      </c>
      <c r="D3" s="7" t="s">
        <v>290</v>
      </c>
      <c r="E3" s="9" t="s">
        <v>43</v>
      </c>
      <c r="F3" s="16" t="s">
        <v>193</v>
      </c>
      <c r="G3" s="15"/>
    </row>
    <row r="4" spans="1:7" x14ac:dyDescent="0.25">
      <c r="A4" s="14" t="s">
        <v>500</v>
      </c>
      <c r="B4" s="14" t="s">
        <v>331</v>
      </c>
      <c r="C4" s="9" t="s">
        <v>227</v>
      </c>
      <c r="D4" s="7" t="s">
        <v>291</v>
      </c>
      <c r="E4" s="9" t="s">
        <v>43</v>
      </c>
      <c r="F4" s="16" t="s">
        <v>193</v>
      </c>
      <c r="G4" s="15"/>
    </row>
    <row r="5" spans="1:7" x14ac:dyDescent="0.25">
      <c r="A5" s="14" t="s">
        <v>570</v>
      </c>
      <c r="B5" s="14" t="s">
        <v>331</v>
      </c>
      <c r="C5" s="9" t="s">
        <v>228</v>
      </c>
      <c r="D5" s="7" t="s">
        <v>292</v>
      </c>
      <c r="E5" s="9" t="s">
        <v>43</v>
      </c>
      <c r="F5" s="16" t="s">
        <v>193</v>
      </c>
      <c r="G5" s="15"/>
    </row>
    <row r="6" spans="1:7" x14ac:dyDescent="0.25">
      <c r="A6" s="14" t="s">
        <v>571</v>
      </c>
      <c r="B6" s="14" t="s">
        <v>331</v>
      </c>
      <c r="C6" s="9" t="s">
        <v>288</v>
      </c>
      <c r="D6" s="7" t="s">
        <v>293</v>
      </c>
      <c r="E6" s="9" t="s">
        <v>43</v>
      </c>
      <c r="F6" s="16" t="s">
        <v>193</v>
      </c>
      <c r="G6" s="1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2" sqref="B2"/>
    </sheetView>
  </sheetViews>
  <sheetFormatPr defaultRowHeight="15" x14ac:dyDescent="0.25"/>
  <cols>
    <col min="1" max="1" width="15.7109375" bestFit="1" customWidth="1" collapsed="1"/>
    <col min="3" max="3" width="32.140625" bestFit="1" customWidth="1" collapsed="1"/>
    <col min="4" max="4" width="10.28515625" bestFit="1" customWidth="1" collapsed="1"/>
    <col min="5" max="5" width="19" bestFit="1" customWidth="1" collapsed="1"/>
    <col min="6" max="6" width="19.28515625" bestFit="1" customWidth="1" collapsed="1"/>
  </cols>
  <sheetData>
    <row r="1" spans="1:6" x14ac:dyDescent="0.25">
      <c r="A1" s="15" t="s">
        <v>294</v>
      </c>
      <c r="B1" s="9" t="s">
        <v>6</v>
      </c>
      <c r="C1" s="9" t="s">
        <v>123</v>
      </c>
      <c r="D1" s="9" t="s">
        <v>42</v>
      </c>
      <c r="E1" s="16" t="s">
        <v>200</v>
      </c>
      <c r="F1" s="15" t="s">
        <v>117</v>
      </c>
    </row>
    <row r="2" spans="1:6" x14ac:dyDescent="0.25">
      <c r="A2" s="15" t="s">
        <v>567</v>
      </c>
      <c r="B2" s="9" t="s">
        <v>73</v>
      </c>
      <c r="C2" s="7" t="s">
        <v>299</v>
      </c>
      <c r="D2" s="9" t="s">
        <v>43</v>
      </c>
      <c r="E2" s="16" t="s">
        <v>193</v>
      </c>
      <c r="F2" s="1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10" sqref="B10"/>
    </sheetView>
  </sheetViews>
  <sheetFormatPr defaultRowHeight="15" x14ac:dyDescent="0.25"/>
  <cols>
    <col min="1" max="1" width="10.7109375" bestFit="1" customWidth="1" collapsed="1"/>
    <col min="2" max="2" width="21.5703125" bestFit="1" customWidth="1" collapsed="1"/>
    <col min="3" max="3" width="27.140625" bestFit="1" customWidth="1" collapsed="1"/>
    <col min="4" max="4" width="27.140625" style="15" customWidth="1" collapsed="1"/>
  </cols>
  <sheetData>
    <row r="1" spans="1:6" x14ac:dyDescent="0.25">
      <c r="A1" t="s">
        <v>16</v>
      </c>
      <c r="B1" t="s">
        <v>17</v>
      </c>
      <c r="C1" t="s">
        <v>3</v>
      </c>
      <c r="D1" s="15" t="s">
        <v>172</v>
      </c>
      <c r="E1" t="s">
        <v>6</v>
      </c>
      <c r="F1" t="s">
        <v>42</v>
      </c>
    </row>
    <row r="2" spans="1:6" x14ac:dyDescent="0.25">
      <c r="A2" s="6" t="str">
        <f ca="1">TEXT(NOW(),"YYYY-MM-DD")</f>
        <v>2026-09-15</v>
      </c>
      <c r="B2" t="s">
        <v>300</v>
      </c>
      <c r="C2" s="1" t="s">
        <v>85</v>
      </c>
      <c r="D2" s="16" t="s">
        <v>172</v>
      </c>
      <c r="E2" s="9" t="s">
        <v>39</v>
      </c>
      <c r="F2" s="1" t="s">
        <v>43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1" sqref="B1:B2"/>
    </sheetView>
  </sheetViews>
  <sheetFormatPr defaultColWidth="9.140625" defaultRowHeight="15" x14ac:dyDescent="0.25"/>
  <cols>
    <col min="1" max="1" width="9.85546875" style="15" customWidth="1" collapsed="1"/>
    <col min="2" max="2" width="23.42578125" style="15" bestFit="1" customWidth="1" collapsed="1"/>
    <col min="3" max="3" width="29.28515625" style="15" bestFit="1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182</v>
      </c>
      <c r="C2" s="18" t="s">
        <v>181</v>
      </c>
      <c r="D2" s="15" t="s">
        <v>119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2" sqref="D2"/>
    </sheetView>
  </sheetViews>
  <sheetFormatPr defaultRowHeight="15" x14ac:dyDescent="0.25"/>
  <cols>
    <col min="1" max="1" width="21.5703125" bestFit="1" customWidth="1" collapsed="1"/>
    <col min="2" max="2" width="21.5703125" customWidth="1" collapsed="1"/>
    <col min="3" max="3" width="29.5703125" customWidth="1" collapsed="1"/>
    <col min="4" max="4" width="32.7109375" bestFit="1" customWidth="1" collapsed="1"/>
    <col min="5" max="5" width="14.42578125" customWidth="1" collapsed="1"/>
    <col min="6" max="6" width="14.28515625" customWidth="1" collapsed="1"/>
    <col min="8" max="8" width="23.140625" style="15" bestFit="1" customWidth="1" collapsed="1"/>
    <col min="9" max="9" width="10.28515625" bestFit="1" customWidth="1" collapsed="1"/>
  </cols>
  <sheetData>
    <row r="1" spans="1:9" x14ac:dyDescent="0.25">
      <c r="A1" s="2" t="s">
        <v>1</v>
      </c>
      <c r="B1" s="2" t="s">
        <v>45</v>
      </c>
      <c r="C1" s="2" t="s">
        <v>3</v>
      </c>
      <c r="D1" s="2" t="s">
        <v>4</v>
      </c>
      <c r="E1" s="2" t="s">
        <v>34</v>
      </c>
      <c r="F1" s="2" t="s">
        <v>35</v>
      </c>
      <c r="G1" s="2" t="s">
        <v>6</v>
      </c>
      <c r="H1" s="2" t="s">
        <v>123</v>
      </c>
      <c r="I1" s="2" t="s">
        <v>42</v>
      </c>
    </row>
    <row r="2" spans="1:9" x14ac:dyDescent="0.25">
      <c r="A2" s="16" t="s">
        <v>300</v>
      </c>
      <c r="B2" s="1" t="s">
        <v>102</v>
      </c>
      <c r="C2" s="1" t="s">
        <v>85</v>
      </c>
      <c r="D2" t="s">
        <v>267</v>
      </c>
      <c r="E2" s="6" t="str">
        <f ca="1">TEXT(NOW(),"YYYY-MM-DD")</f>
        <v>2026-09-15</v>
      </c>
      <c r="F2" s="6" t="str">
        <f ca="1">TEXT(NOW(),"YYYY-MM-DD")</f>
        <v>2026-09-15</v>
      </c>
      <c r="G2" s="9" t="s">
        <v>39</v>
      </c>
      <c r="H2" s="14" t="s">
        <v>156</v>
      </c>
      <c r="I2" s="1" t="s">
        <v>43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D2" sqref="D2"/>
    </sheetView>
  </sheetViews>
  <sheetFormatPr defaultRowHeight="15" x14ac:dyDescent="0.25"/>
  <cols>
    <col min="3" max="3" width="17.28515625" bestFit="1" customWidth="1" collapsed="1"/>
    <col min="5" max="5" width="37.140625" style="15" bestFit="1" customWidth="1" collapsed="1"/>
    <col min="7" max="7" width="13.5703125" bestFit="1" customWidth="1" collapsed="1"/>
    <col min="8" max="8" width="19" bestFit="1" customWidth="1" collapsed="1"/>
    <col min="9" max="9" width="19.28515625" bestFit="1" customWidth="1" collapsed="1"/>
    <col min="10" max="10" width="10.5703125" bestFit="1" customWidth="1" collapsed="1"/>
  </cols>
  <sheetData>
    <row r="1" spans="1:10" x14ac:dyDescent="0.25">
      <c r="A1" s="2" t="s">
        <v>8</v>
      </c>
      <c r="B1" s="2" t="s">
        <v>9</v>
      </c>
      <c r="C1" s="2" t="s">
        <v>20</v>
      </c>
      <c r="D1" s="2" t="s">
        <v>6</v>
      </c>
      <c r="E1" s="2" t="s">
        <v>123</v>
      </c>
      <c r="F1" s="2" t="s">
        <v>42</v>
      </c>
      <c r="G1" s="9" t="s">
        <v>89</v>
      </c>
      <c r="H1" s="16" t="s">
        <v>200</v>
      </c>
      <c r="I1" s="2" t="s">
        <v>117</v>
      </c>
      <c r="J1" s="2" t="s">
        <v>118</v>
      </c>
    </row>
    <row r="2" spans="1:10" x14ac:dyDescent="0.25">
      <c r="A2" s="7" t="s">
        <v>55</v>
      </c>
      <c r="B2" s="16" t="s">
        <v>10</v>
      </c>
      <c r="C2" s="15" t="s">
        <v>301</v>
      </c>
      <c r="D2" s="9" t="s">
        <v>73</v>
      </c>
      <c r="E2" s="14" t="s">
        <v>302</v>
      </c>
      <c r="F2" s="16" t="s">
        <v>43</v>
      </c>
      <c r="G2" s="15" t="s">
        <v>271</v>
      </c>
      <c r="H2" s="16" t="s">
        <v>193</v>
      </c>
      <c r="I2" s="15"/>
      <c r="J2" s="15" t="s">
        <v>119</v>
      </c>
    </row>
    <row r="3" spans="1:10" x14ac:dyDescent="0.25">
      <c r="A3" s="7" t="s">
        <v>55</v>
      </c>
      <c r="B3" s="16" t="s">
        <v>317</v>
      </c>
      <c r="C3" s="15" t="s">
        <v>301</v>
      </c>
      <c r="D3" s="9" t="s">
        <v>74</v>
      </c>
      <c r="E3" s="14" t="s">
        <v>303</v>
      </c>
      <c r="F3" s="16" t="s">
        <v>43</v>
      </c>
      <c r="G3" s="16" t="s">
        <v>270</v>
      </c>
      <c r="H3" s="16" t="s">
        <v>193</v>
      </c>
      <c r="I3" s="15"/>
      <c r="J3" s="15" t="s">
        <v>119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2" sqref="D2"/>
    </sheetView>
  </sheetViews>
  <sheetFormatPr defaultRowHeight="15" x14ac:dyDescent="0.25"/>
  <cols>
    <col min="2" max="2" width="10.28515625" bestFit="1" customWidth="1" collapsed="1"/>
    <col min="3" max="3" width="13.5703125" bestFit="1" customWidth="1" collapsed="1"/>
    <col min="4" max="4" width="9.28515625" bestFit="1" customWidth="1" collapsed="1"/>
    <col min="5" max="5" width="8.5703125" bestFit="1" customWidth="1" collapsed="1"/>
    <col min="6" max="6" width="11.85546875" bestFit="1" customWidth="1" collapsed="1"/>
    <col min="7" max="7" width="19" bestFit="1" customWidth="1" collapsed="1"/>
    <col min="8" max="8" width="19.28515625" bestFit="1" customWidth="1" collapsed="1"/>
  </cols>
  <sheetData>
    <row r="1" spans="1:8" x14ac:dyDescent="0.25">
      <c r="A1" s="9" t="s">
        <v>6</v>
      </c>
      <c r="B1" s="9" t="s">
        <v>42</v>
      </c>
      <c r="C1" s="9" t="s">
        <v>89</v>
      </c>
      <c r="D1" s="9" t="s">
        <v>90</v>
      </c>
      <c r="E1" s="9" t="s">
        <v>91</v>
      </c>
      <c r="F1" s="9" t="s">
        <v>92</v>
      </c>
      <c r="G1" s="16" t="s">
        <v>200</v>
      </c>
      <c r="H1" s="2" t="s">
        <v>117</v>
      </c>
    </row>
    <row r="2" spans="1:8" x14ac:dyDescent="0.25">
      <c r="A2" s="9" t="s">
        <v>39</v>
      </c>
      <c r="B2" s="9" t="s">
        <v>43</v>
      </c>
      <c r="C2" s="14" t="s">
        <v>278</v>
      </c>
      <c r="D2" s="14" t="s">
        <v>572</v>
      </c>
      <c r="E2" s="14" t="s">
        <v>573</v>
      </c>
      <c r="F2" s="14" t="s">
        <v>574</v>
      </c>
      <c r="G2" s="16" t="s">
        <v>193</v>
      </c>
      <c r="H2" s="15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3" sqref="A3"/>
    </sheetView>
  </sheetViews>
  <sheetFormatPr defaultColWidth="9.140625" defaultRowHeight="15" x14ac:dyDescent="0.25"/>
  <cols>
    <col min="1" max="1" width="9.140625" style="15" collapsed="1"/>
    <col min="2" max="2" width="39" style="15" customWidth="1" collapsed="1"/>
    <col min="3" max="3" width="24.42578125" style="15" bestFit="1" customWidth="1" collapsed="1"/>
    <col min="4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5" t="s">
        <v>118</v>
      </c>
    </row>
    <row r="2" spans="1:4" x14ac:dyDescent="0.25">
      <c r="A2" s="17" t="s">
        <v>73</v>
      </c>
      <c r="B2" s="7" t="s">
        <v>158</v>
      </c>
      <c r="C2" s="7" t="s">
        <v>160</v>
      </c>
      <c r="D2" s="15" t="s">
        <v>119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140625" style="15" collapsed="1"/>
    <col min="2" max="2" width="39" style="15" customWidth="1" collapsed="1"/>
    <col min="3" max="3" width="22.140625" style="15" bestFit="1" customWidth="1" collapsed="1"/>
    <col min="4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5" t="s">
        <v>118</v>
      </c>
    </row>
    <row r="2" spans="1:4" x14ac:dyDescent="0.25">
      <c r="A2" s="17" t="s">
        <v>73</v>
      </c>
      <c r="B2" s="7" t="s">
        <v>159</v>
      </c>
      <c r="C2" s="7" t="s">
        <v>120</v>
      </c>
      <c r="D2" s="15" t="s">
        <v>119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F30" sqref="F30"/>
    </sheetView>
  </sheetViews>
  <sheetFormatPr defaultRowHeight="15" x14ac:dyDescent="0.25"/>
  <cols>
    <col min="1" max="1" width="21.5703125" style="15" bestFit="1" customWidth="1" collapsed="1"/>
    <col min="2" max="2" width="21.5703125" style="15" customWidth="1" collapsed="1"/>
    <col min="3" max="3" width="29.5703125" style="15" customWidth="1" collapsed="1"/>
    <col min="4" max="4" width="32.7109375" style="15" bestFit="1" customWidth="1" collapsed="1"/>
    <col min="5" max="5" width="14.42578125" style="15" customWidth="1" collapsed="1"/>
    <col min="6" max="6" width="14.28515625" style="15" customWidth="1" collapsed="1"/>
    <col min="7" max="7" width="9.140625" style="15"/>
    <col min="8" max="8" width="23.140625" style="15" bestFit="1" customWidth="1" collapsed="1"/>
    <col min="9" max="9" width="10.28515625" style="15" bestFit="1" customWidth="1" collapsed="1"/>
    <col min="10" max="16384" width="9.140625" style="15"/>
  </cols>
  <sheetData>
    <row r="1" spans="1:9" x14ac:dyDescent="0.25">
      <c r="A1" s="2" t="s">
        <v>1</v>
      </c>
      <c r="B1" s="2" t="s">
        <v>45</v>
      </c>
      <c r="C1" s="2" t="s">
        <v>3</v>
      </c>
      <c r="D1" s="2" t="s">
        <v>4</v>
      </c>
      <c r="E1" s="2" t="s">
        <v>34</v>
      </c>
      <c r="F1" s="2" t="s">
        <v>35</v>
      </c>
      <c r="G1" s="2" t="s">
        <v>6</v>
      </c>
      <c r="H1" s="2" t="s">
        <v>123</v>
      </c>
      <c r="I1" s="2" t="s">
        <v>42</v>
      </c>
    </row>
    <row r="2" spans="1:9" x14ac:dyDescent="0.25">
      <c r="A2" s="16" t="s">
        <v>300</v>
      </c>
      <c r="B2" s="16" t="s">
        <v>102</v>
      </c>
      <c r="C2" s="16" t="s">
        <v>85</v>
      </c>
      <c r="D2" s="15" t="s">
        <v>275</v>
      </c>
      <c r="E2" s="6" t="str">
        <f ca="1">TEXT(NOW(),"YYYY-MM-DD")</f>
        <v>2026-09-15</v>
      </c>
      <c r="F2" s="6" t="str">
        <f ca="1">TEXT(NOW(),"YYYY-MM-DD")</f>
        <v>2026-09-15</v>
      </c>
      <c r="G2" s="9" t="s">
        <v>39</v>
      </c>
      <c r="H2" s="14" t="s">
        <v>156</v>
      </c>
      <c r="I2" s="16" t="s">
        <v>43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E7" sqref="E7"/>
    </sheetView>
  </sheetViews>
  <sheetFormatPr defaultRowHeight="15" x14ac:dyDescent="0.25"/>
  <cols>
    <col min="1" max="2" width="9.140625" style="15"/>
    <col min="3" max="3" width="17.28515625" style="15" bestFit="1" customWidth="1" collapsed="1"/>
    <col min="4" max="4" width="9.140625" style="15"/>
    <col min="5" max="5" width="37.140625" style="15" bestFit="1" customWidth="1" collapsed="1"/>
    <col min="6" max="6" width="9.140625" style="15"/>
    <col min="7" max="7" width="13.5703125" style="15" bestFit="1" customWidth="1" collapsed="1"/>
    <col min="8" max="8" width="19" style="15" bestFit="1" customWidth="1" collapsed="1"/>
    <col min="9" max="9" width="19.28515625" style="15" bestFit="1" customWidth="1" collapsed="1"/>
    <col min="10" max="10" width="10.5703125" style="15" bestFit="1" customWidth="1" collapsed="1"/>
    <col min="11" max="16384" width="9.140625" style="15"/>
  </cols>
  <sheetData>
    <row r="1" spans="1:10" x14ac:dyDescent="0.25">
      <c r="A1" s="2" t="s">
        <v>8</v>
      </c>
      <c r="B1" s="2" t="s">
        <v>9</v>
      </c>
      <c r="C1" s="2" t="s">
        <v>20</v>
      </c>
      <c r="D1" s="2" t="s">
        <v>6</v>
      </c>
      <c r="E1" s="2" t="s">
        <v>123</v>
      </c>
      <c r="F1" s="2" t="s">
        <v>42</v>
      </c>
      <c r="G1" s="9" t="s">
        <v>89</v>
      </c>
      <c r="H1" s="16" t="s">
        <v>200</v>
      </c>
      <c r="I1" s="2" t="s">
        <v>117</v>
      </c>
      <c r="J1" s="2" t="s">
        <v>118</v>
      </c>
    </row>
    <row r="2" spans="1:10" x14ac:dyDescent="0.25">
      <c r="A2" s="7" t="s">
        <v>55</v>
      </c>
      <c r="B2" s="16" t="s">
        <v>10</v>
      </c>
      <c r="C2" s="15" t="s">
        <v>301</v>
      </c>
      <c r="D2" s="9" t="s">
        <v>73</v>
      </c>
      <c r="E2" s="14" t="s">
        <v>303</v>
      </c>
      <c r="F2" s="16" t="s">
        <v>43</v>
      </c>
      <c r="G2" s="16" t="s">
        <v>270</v>
      </c>
      <c r="H2" s="16" t="s">
        <v>193</v>
      </c>
      <c r="J2" s="15" t="s">
        <v>119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2" sqref="D2"/>
    </sheetView>
  </sheetViews>
  <sheetFormatPr defaultRowHeight="15" x14ac:dyDescent="0.25"/>
  <cols>
    <col min="1" max="1" width="9.140625" style="15"/>
    <col min="2" max="2" width="10.28515625" style="15" bestFit="1" customWidth="1" collapsed="1"/>
    <col min="3" max="3" width="13.5703125" style="15" bestFit="1" customWidth="1" collapsed="1"/>
    <col min="4" max="4" width="9.28515625" style="15" bestFit="1" customWidth="1" collapsed="1"/>
    <col min="5" max="5" width="8.5703125" style="15" bestFit="1" customWidth="1" collapsed="1"/>
    <col min="6" max="6" width="11.85546875" style="15" bestFit="1" customWidth="1" collapsed="1"/>
    <col min="7" max="7" width="19" style="15" bestFit="1" customWidth="1" collapsed="1"/>
    <col min="8" max="8" width="19.28515625" style="15" bestFit="1" customWidth="1" collapsed="1"/>
    <col min="9" max="16384" width="9.140625" style="15"/>
  </cols>
  <sheetData>
    <row r="1" spans="1:8" x14ac:dyDescent="0.25">
      <c r="A1" s="9" t="s">
        <v>6</v>
      </c>
      <c r="B1" s="9" t="s">
        <v>42</v>
      </c>
      <c r="C1" s="9" t="s">
        <v>89</v>
      </c>
      <c r="D1" s="9" t="s">
        <v>90</v>
      </c>
      <c r="E1" s="9" t="s">
        <v>91</v>
      </c>
      <c r="F1" s="9" t="s">
        <v>92</v>
      </c>
      <c r="G1" s="16" t="s">
        <v>200</v>
      </c>
      <c r="H1" s="2" t="s">
        <v>117</v>
      </c>
    </row>
    <row r="2" spans="1:8" x14ac:dyDescent="0.25">
      <c r="A2" s="9" t="s">
        <v>39</v>
      </c>
      <c r="B2" s="9" t="s">
        <v>43</v>
      </c>
      <c r="C2" s="14" t="s">
        <v>278</v>
      </c>
      <c r="D2" s="14" t="s">
        <v>572</v>
      </c>
      <c r="E2" s="14" t="s">
        <v>573</v>
      </c>
      <c r="F2" s="14" t="s">
        <v>574</v>
      </c>
      <c r="G2" s="16" t="s">
        <v>193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2"/>
    </sheetView>
  </sheetViews>
  <sheetFormatPr defaultRowHeight="15" x14ac:dyDescent="0.25"/>
  <cols>
    <col min="1" max="1" width="15" bestFit="1" customWidth="1" collapsed="1"/>
    <col min="2" max="2" width="16.140625" bestFit="1" customWidth="1" collapsed="1"/>
    <col min="3" max="3" width="20" bestFit="1" customWidth="1" collapsed="1"/>
    <col min="4" max="4" width="17.5703125" bestFit="1" customWidth="1" collapsed="1"/>
    <col min="6" max="6" width="10.28515625" bestFit="1" customWidth="1" collapsed="1"/>
    <col min="7" max="7" width="8" bestFit="1" customWidth="1" collapsed="1"/>
  </cols>
  <sheetData>
    <row r="1" spans="1:7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</v>
      </c>
      <c r="F1" s="15" t="s">
        <v>42</v>
      </c>
      <c r="G1" s="16" t="s">
        <v>57</v>
      </c>
    </row>
    <row r="2" spans="1:7" x14ac:dyDescent="0.25">
      <c r="A2" s="16" t="s">
        <v>284</v>
      </c>
      <c r="B2" s="16" t="s">
        <v>63</v>
      </c>
      <c r="C2" s="14" t="str">
        <f ca="1">TEXT(NOW(),"YYYY-MM-DD")</f>
        <v>2026-09-15</v>
      </c>
      <c r="D2" s="14" t="str">
        <f ca="1">TEXT(NOW(),"YYYY-MM-DD")</f>
        <v>2026-09-15</v>
      </c>
      <c r="E2" s="7" t="s">
        <v>39</v>
      </c>
      <c r="F2" s="16" t="s">
        <v>43</v>
      </c>
      <c r="G2" s="16" t="s">
        <v>285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F3" sqref="F3"/>
    </sheetView>
  </sheetViews>
  <sheetFormatPr defaultRowHeight="15" x14ac:dyDescent="0.25"/>
  <cols>
    <col min="1" max="1" width="13.5703125" bestFit="1" customWidth="1" collapsed="1"/>
    <col min="2" max="2" width="12.140625" bestFit="1" customWidth="1" collapsed="1"/>
    <col min="3" max="3" width="12.85546875" bestFit="1" customWidth="1" collapsed="1"/>
    <col min="5" max="5" width="12.140625" bestFit="1" customWidth="1" collapsed="1"/>
    <col min="6" max="6" width="13.28515625" bestFit="1" customWidth="1" collapsed="1"/>
    <col min="8" max="8" width="38.7109375" bestFit="1" customWidth="1" collapsed="1"/>
    <col min="9" max="9" width="10.28515625" bestFit="1" customWidth="1" collapsed="1"/>
    <col min="10" max="10" width="19" bestFit="1" customWidth="1" collapsed="1"/>
    <col min="11" max="11" width="19.28515625" bestFit="1" customWidth="1" collapsed="1"/>
  </cols>
  <sheetData>
    <row r="1" spans="1:11" x14ac:dyDescent="0.25">
      <c r="A1" s="9" t="s">
        <v>89</v>
      </c>
      <c r="B1" s="15" t="s">
        <v>277</v>
      </c>
      <c r="C1" s="9" t="s">
        <v>90</v>
      </c>
      <c r="D1" s="9" t="s">
        <v>276</v>
      </c>
      <c r="E1" s="9" t="s">
        <v>91</v>
      </c>
      <c r="F1" s="9" t="s">
        <v>92</v>
      </c>
      <c r="G1" s="9" t="s">
        <v>6</v>
      </c>
      <c r="H1" s="9" t="s">
        <v>123</v>
      </c>
      <c r="I1" s="9" t="s">
        <v>42</v>
      </c>
      <c r="J1" s="16" t="s">
        <v>200</v>
      </c>
      <c r="K1" s="15" t="s">
        <v>117</v>
      </c>
    </row>
    <row r="2" spans="1:11" x14ac:dyDescent="0.25">
      <c r="A2" s="15" t="s">
        <v>271</v>
      </c>
      <c r="B2" s="15" t="s">
        <v>10</v>
      </c>
      <c r="C2" s="14" t="s">
        <v>575</v>
      </c>
      <c r="D2" s="23" t="s">
        <v>576</v>
      </c>
      <c r="E2" s="14" t="s">
        <v>577</v>
      </c>
      <c r="F2" s="14" t="s">
        <v>578</v>
      </c>
      <c r="G2" s="9" t="s">
        <v>73</v>
      </c>
      <c r="H2" s="7" t="s">
        <v>286</v>
      </c>
      <c r="I2" s="9" t="s">
        <v>43</v>
      </c>
      <c r="J2" s="16" t="s">
        <v>193</v>
      </c>
      <c r="K2" s="15"/>
    </row>
    <row r="3" spans="1:11" x14ac:dyDescent="0.25">
      <c r="A3" s="15" t="s">
        <v>270</v>
      </c>
      <c r="B3" s="15" t="s">
        <v>10</v>
      </c>
      <c r="C3" s="14" t="s">
        <v>579</v>
      </c>
      <c r="D3" s="23" t="s">
        <v>580</v>
      </c>
      <c r="E3" s="15" t="s">
        <v>581</v>
      </c>
      <c r="F3" s="14" t="s">
        <v>582</v>
      </c>
      <c r="G3" s="9" t="s">
        <v>74</v>
      </c>
      <c r="H3" s="7" t="s">
        <v>295</v>
      </c>
      <c r="I3" s="9" t="s">
        <v>43</v>
      </c>
      <c r="J3" s="16" t="s">
        <v>193</v>
      </c>
      <c r="K3" s="15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2" sqref="B2"/>
    </sheetView>
  </sheetViews>
  <sheetFormatPr defaultRowHeight="15" x14ac:dyDescent="0.25"/>
  <cols>
    <col min="2" max="2" width="35.7109375" bestFit="1" customWidth="1" collapsed="1"/>
    <col min="3" max="3" width="10.28515625" bestFit="1" customWidth="1" collapsed="1"/>
    <col min="4" max="4" width="13.5703125" bestFit="1" customWidth="1" collapsed="1"/>
    <col min="5" max="5" width="12.140625" bestFit="1" customWidth="1" collapsed="1"/>
    <col min="6" max="6" width="12.85546875" bestFit="1" customWidth="1" collapsed="1"/>
    <col min="8" max="8" width="12.140625" bestFit="1" customWidth="1" collapsed="1"/>
    <col min="9" max="9" width="13.28515625" bestFit="1" customWidth="1" collapsed="1"/>
    <col min="10" max="10" width="19" bestFit="1" customWidth="1" collapsed="1"/>
    <col min="11" max="11" width="19.28515625" bestFit="1" customWidth="1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15" t="s">
        <v>277</v>
      </c>
      <c r="F1" s="9" t="s">
        <v>90</v>
      </c>
      <c r="G1" s="9" t="s">
        <v>276</v>
      </c>
      <c r="H1" s="9" t="s">
        <v>91</v>
      </c>
      <c r="I1" s="9" t="s">
        <v>92</v>
      </c>
      <c r="J1" s="16" t="s">
        <v>200</v>
      </c>
      <c r="K1" s="15" t="s">
        <v>117</v>
      </c>
    </row>
    <row r="2" spans="1:11" x14ac:dyDescent="0.25">
      <c r="A2" s="9" t="s">
        <v>73</v>
      </c>
      <c r="B2" s="7" t="s">
        <v>305</v>
      </c>
      <c r="C2" s="9" t="s">
        <v>43</v>
      </c>
      <c r="D2" s="15" t="s">
        <v>296</v>
      </c>
      <c r="E2" s="15" t="s">
        <v>10</v>
      </c>
      <c r="F2" s="14" t="s">
        <v>583</v>
      </c>
      <c r="G2" s="23" t="s">
        <v>584</v>
      </c>
      <c r="H2" s="14" t="s">
        <v>585</v>
      </c>
      <c r="I2" s="14" t="s">
        <v>586</v>
      </c>
      <c r="J2" s="16" t="s">
        <v>193</v>
      </c>
      <c r="K2" s="15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4" sqref="A4"/>
    </sheetView>
  </sheetViews>
  <sheetFormatPr defaultRowHeight="15" x14ac:dyDescent="0.25"/>
  <cols>
    <col min="1" max="1" width="11.28515625" bestFit="1" customWidth="1" collapsed="1"/>
    <col min="2" max="2" width="12.140625" bestFit="1" customWidth="1" collapsed="1"/>
    <col min="4" max="4" width="51" bestFit="1" customWidth="1" collapsed="1"/>
    <col min="6" max="6" width="19" bestFit="1" customWidth="1" collapsed="1"/>
    <col min="7" max="7" width="19.28515625" bestFit="1" customWidth="1" collapsed="1"/>
  </cols>
  <sheetData>
    <row r="1" spans="1:7" x14ac:dyDescent="0.25">
      <c r="A1" s="6" t="s">
        <v>90</v>
      </c>
      <c r="B1" s="9" t="s">
        <v>330</v>
      </c>
      <c r="C1" s="9" t="s">
        <v>6</v>
      </c>
      <c r="D1" s="9" t="s">
        <v>123</v>
      </c>
      <c r="E1" s="9" t="s">
        <v>42</v>
      </c>
      <c r="F1" s="16" t="s">
        <v>200</v>
      </c>
      <c r="G1" s="15" t="s">
        <v>117</v>
      </c>
    </row>
    <row r="2" spans="1:7" x14ac:dyDescent="0.25">
      <c r="A2" s="14" t="s">
        <v>587</v>
      </c>
      <c r="B2" s="14" t="s">
        <v>331</v>
      </c>
      <c r="C2" s="9" t="s">
        <v>73</v>
      </c>
      <c r="D2" s="7" t="s">
        <v>306</v>
      </c>
      <c r="E2" s="9" t="s">
        <v>43</v>
      </c>
      <c r="F2" s="16" t="s">
        <v>193</v>
      </c>
      <c r="G2" s="15"/>
    </row>
    <row r="3" spans="1:7" x14ac:dyDescent="0.25">
      <c r="A3" s="14" t="s">
        <v>298</v>
      </c>
      <c r="B3" s="14" t="s">
        <v>331</v>
      </c>
      <c r="C3" s="9" t="s">
        <v>74</v>
      </c>
      <c r="D3" s="7" t="s">
        <v>307</v>
      </c>
      <c r="E3" s="9" t="s">
        <v>43</v>
      </c>
      <c r="F3" s="16" t="s">
        <v>193</v>
      </c>
      <c r="G3" s="15"/>
    </row>
    <row r="4" spans="1:7" s="15" customFormat="1" x14ac:dyDescent="0.25">
      <c r="A4" s="14" t="s">
        <v>500</v>
      </c>
      <c r="B4" s="14" t="s">
        <v>331</v>
      </c>
      <c r="C4" s="9" t="s">
        <v>227</v>
      </c>
      <c r="D4" s="7" t="s">
        <v>332</v>
      </c>
      <c r="E4" s="9" t="s">
        <v>43</v>
      </c>
      <c r="F4" s="16" t="s">
        <v>193</v>
      </c>
    </row>
    <row r="5" spans="1:7" x14ac:dyDescent="0.25">
      <c r="A5" s="14" t="s">
        <v>588</v>
      </c>
      <c r="B5" s="14" t="s">
        <v>331</v>
      </c>
      <c r="C5" s="9" t="s">
        <v>228</v>
      </c>
      <c r="D5" s="7" t="s">
        <v>308</v>
      </c>
      <c r="E5" s="9" t="s">
        <v>43</v>
      </c>
      <c r="F5" s="16" t="s">
        <v>193</v>
      </c>
      <c r="G5" s="15"/>
    </row>
    <row r="6" spans="1:7" x14ac:dyDescent="0.25">
      <c r="A6" s="14" t="s">
        <v>589</v>
      </c>
      <c r="B6" s="14" t="s">
        <v>331</v>
      </c>
      <c r="C6" s="9" t="s">
        <v>288</v>
      </c>
      <c r="D6" s="7" t="s">
        <v>309</v>
      </c>
      <c r="E6" s="9" t="s">
        <v>43</v>
      </c>
      <c r="F6" s="16" t="s">
        <v>193</v>
      </c>
      <c r="G6" s="15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5" x14ac:dyDescent="0.25"/>
  <cols>
    <col min="1" max="1" width="15.7109375" bestFit="1" customWidth="1" collapsed="1"/>
    <col min="3" max="3" width="21.85546875" bestFit="1" customWidth="1" collapsed="1"/>
    <col min="4" max="4" width="10.28515625" bestFit="1" customWidth="1" collapsed="1"/>
    <col min="5" max="5" width="19" bestFit="1" customWidth="1" collapsed="1"/>
    <col min="6" max="6" width="19.28515625" bestFit="1" customWidth="1" collapsed="1"/>
  </cols>
  <sheetData>
    <row r="1" spans="1:6" x14ac:dyDescent="0.25">
      <c r="A1" s="15" t="s">
        <v>294</v>
      </c>
      <c r="B1" s="9" t="s">
        <v>6</v>
      </c>
      <c r="C1" s="9" t="s">
        <v>123</v>
      </c>
      <c r="D1" s="9" t="s">
        <v>42</v>
      </c>
      <c r="E1" s="16" t="s">
        <v>200</v>
      </c>
      <c r="F1" s="15" t="s">
        <v>117</v>
      </c>
    </row>
    <row r="2" spans="1:6" x14ac:dyDescent="0.25">
      <c r="A2" s="15" t="s">
        <v>585</v>
      </c>
      <c r="B2" s="9" t="s">
        <v>73</v>
      </c>
      <c r="C2" s="7" t="s">
        <v>310</v>
      </c>
      <c r="D2" s="9" t="s">
        <v>43</v>
      </c>
      <c r="E2" s="16" t="s">
        <v>193</v>
      </c>
      <c r="F2" s="15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B12" sqref="B12"/>
    </sheetView>
  </sheetViews>
  <sheetFormatPr defaultColWidth="9.140625" defaultRowHeight="15" x14ac:dyDescent="0.25"/>
  <cols>
    <col min="1" max="1" width="10.7109375" style="15" bestFit="1" customWidth="1" collapsed="1"/>
    <col min="2" max="2" width="21.5703125" style="15" bestFit="1" customWidth="1" collapsed="1"/>
    <col min="3" max="3" width="27.140625" style="15" bestFit="1" customWidth="1" collapsed="1"/>
    <col min="4" max="4" width="27.140625" style="15" customWidth="1" collapsed="1"/>
    <col min="5" max="16384" width="9.140625" style="15" collapsed="1"/>
  </cols>
  <sheetData>
    <row r="1" spans="1:6" x14ac:dyDescent="0.25">
      <c r="A1" s="15" t="s">
        <v>16</v>
      </c>
      <c r="B1" s="15" t="s">
        <v>17</v>
      </c>
      <c r="C1" s="15" t="s">
        <v>3</v>
      </c>
      <c r="D1" s="15" t="s">
        <v>172</v>
      </c>
      <c r="E1" s="15" t="s">
        <v>6</v>
      </c>
      <c r="F1" s="15" t="s">
        <v>42</v>
      </c>
    </row>
    <row r="2" spans="1:6" x14ac:dyDescent="0.25">
      <c r="A2" s="6" t="str">
        <f ca="1">TEXT(NOW(),"YYYY-MM-DD")</f>
        <v>2026-09-15</v>
      </c>
      <c r="B2" s="15" t="s">
        <v>300</v>
      </c>
      <c r="C2" s="16" t="s">
        <v>85</v>
      </c>
      <c r="D2" s="16" t="s">
        <v>172</v>
      </c>
      <c r="E2" s="9" t="s">
        <v>39</v>
      </c>
      <c r="F2" s="16" t="s">
        <v>43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L22" sqref="L22"/>
    </sheetView>
  </sheetViews>
  <sheetFormatPr defaultColWidth="9.140625" defaultRowHeight="15" x14ac:dyDescent="0.25"/>
  <cols>
    <col min="1" max="1" width="9.85546875" style="15" customWidth="1" collapsed="1"/>
    <col min="2" max="2" width="23.42578125" style="15" bestFit="1" customWidth="1" collapsed="1"/>
    <col min="3" max="3" width="29.28515625" style="15" bestFit="1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182</v>
      </c>
      <c r="C2" s="18" t="s">
        <v>181</v>
      </c>
      <c r="D2" s="15" t="s">
        <v>119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1" sqref="B1:B2"/>
    </sheetView>
  </sheetViews>
  <sheetFormatPr defaultRowHeight="15" x14ac:dyDescent="0.25"/>
  <cols>
    <col min="2" max="3" width="29.28515625" bestFit="1" customWidth="1" collapsed="1"/>
    <col min="4" max="4" width="10.5703125" bestFit="1" customWidth="1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329</v>
      </c>
      <c r="C2" s="18" t="s">
        <v>181</v>
      </c>
      <c r="D2" s="15" t="s">
        <v>119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C2" sqref="C2"/>
    </sheetView>
  </sheetViews>
  <sheetFormatPr defaultRowHeight="15" x14ac:dyDescent="0.25"/>
  <cols>
    <col min="1" max="1" width="22.140625" bestFit="1" customWidth="1" collapsed="1"/>
    <col min="2" max="2" width="27" customWidth="1" collapsed="1"/>
    <col min="3" max="3" width="23.42578125" bestFit="1" customWidth="1" collapsed="1"/>
    <col min="4" max="5" width="10.42578125" bestFit="1" customWidth="1" collapsed="1"/>
    <col min="7" max="7" width="22.85546875" style="15" bestFit="1" customWidth="1" collapsed="1"/>
    <col min="8" max="8" width="10.28515625" bestFit="1" customWidth="1" collapsed="1"/>
  </cols>
  <sheetData>
    <row r="1" spans="1:8" x14ac:dyDescent="0.25">
      <c r="A1" s="1" t="s">
        <v>1</v>
      </c>
      <c r="B1" s="2" t="s">
        <v>3</v>
      </c>
      <c r="C1" s="2" t="s">
        <v>4</v>
      </c>
      <c r="D1" s="2" t="s">
        <v>18</v>
      </c>
      <c r="E1" s="2" t="s">
        <v>19</v>
      </c>
      <c r="F1" s="2" t="s">
        <v>6</v>
      </c>
      <c r="G1" s="2" t="s">
        <v>123</v>
      </c>
      <c r="H1" t="s">
        <v>42</v>
      </c>
    </row>
    <row r="2" spans="1:8" x14ac:dyDescent="0.25">
      <c r="A2" s="16" t="s">
        <v>312</v>
      </c>
      <c r="B2" s="1" t="s">
        <v>85</v>
      </c>
      <c r="C2" t="s">
        <v>311</v>
      </c>
      <c r="D2" s="6" t="str">
        <f ca="1">TEXT(NOW(),"YYYY-MM-DD")</f>
        <v>2026-09-15</v>
      </c>
      <c r="E2" s="6" t="str">
        <f ca="1">TEXT(NOW(),"YYYY-MM-DD")</f>
        <v>2026-09-15</v>
      </c>
      <c r="F2" s="7" t="s">
        <v>39</v>
      </c>
      <c r="G2" s="7" t="s">
        <v>174</v>
      </c>
      <c r="H2" s="1" t="s">
        <v>43</v>
      </c>
    </row>
    <row r="3" spans="1:8" x14ac:dyDescent="0.25">
      <c r="G3"/>
    </row>
    <row r="4" spans="1:8" x14ac:dyDescent="0.25">
      <c r="G4"/>
    </row>
    <row r="5" spans="1:8" x14ac:dyDescent="0.25">
      <c r="G5"/>
    </row>
    <row r="6" spans="1:8" x14ac:dyDescent="0.25">
      <c r="G6"/>
    </row>
    <row r="7" spans="1:8" x14ac:dyDescent="0.25">
      <c r="G7"/>
    </row>
    <row r="8" spans="1:8" x14ac:dyDescent="0.25">
      <c r="G8"/>
    </row>
    <row r="9" spans="1:8" x14ac:dyDescent="0.25">
      <c r="G9"/>
    </row>
    <row r="10" spans="1:8" x14ac:dyDescent="0.25">
      <c r="G10"/>
    </row>
    <row r="11" spans="1:8" x14ac:dyDescent="0.25">
      <c r="G11"/>
    </row>
    <row r="12" spans="1:8" x14ac:dyDescent="0.25">
      <c r="G12"/>
    </row>
    <row r="13" spans="1:8" x14ac:dyDescent="0.25">
      <c r="G13"/>
    </row>
    <row r="14" spans="1:8" x14ac:dyDescent="0.25">
      <c r="G14"/>
    </row>
    <row r="15" spans="1:8" x14ac:dyDescent="0.25">
      <c r="G15"/>
    </row>
    <row r="16" spans="1:8" x14ac:dyDescent="0.25">
      <c r="G16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11" sqref="E11"/>
    </sheetView>
  </sheetViews>
  <sheetFormatPr defaultRowHeight="15" x14ac:dyDescent="0.25"/>
  <cols>
    <col min="1" max="1" width="20.7109375" customWidth="1" collapsed="1"/>
    <col min="3" max="3" width="23.42578125" customWidth="1" collapsed="1"/>
    <col min="4" max="4" width="32.28515625" bestFit="1" customWidth="1" collapsed="1"/>
    <col min="5" max="5" width="28" customWidth="1" collapsed="1"/>
    <col min="6" max="6" width="12.28515625" customWidth="1" collapsed="1"/>
  </cols>
  <sheetData>
    <row r="1" spans="1:6" x14ac:dyDescent="0.25">
      <c r="A1" s="1" t="s">
        <v>40</v>
      </c>
      <c r="B1" s="1" t="s">
        <v>6</v>
      </c>
      <c r="C1" s="2" t="s">
        <v>123</v>
      </c>
      <c r="D1" t="s">
        <v>42</v>
      </c>
      <c r="E1" s="15" t="s">
        <v>117</v>
      </c>
      <c r="F1" s="15" t="s">
        <v>118</v>
      </c>
    </row>
    <row r="2" spans="1:6" x14ac:dyDescent="0.25">
      <c r="A2" s="1" t="s">
        <v>313</v>
      </c>
      <c r="B2" s="7" t="s">
        <v>73</v>
      </c>
      <c r="C2" s="7" t="s">
        <v>174</v>
      </c>
      <c r="D2" s="1" t="s">
        <v>43</v>
      </c>
      <c r="E2" s="15" t="s">
        <v>161</v>
      </c>
      <c r="F2" s="15" t="s">
        <v>119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" sqref="A2"/>
    </sheetView>
  </sheetViews>
  <sheetFormatPr defaultRowHeight="15" x14ac:dyDescent="0.25"/>
  <cols>
    <col min="1" max="1" width="13.28515625" bestFit="1" customWidth="1" collapsed="1"/>
    <col min="3" max="3" width="38.140625" bestFit="1" customWidth="1" collapsed="1"/>
    <col min="4" max="4" width="10.28515625" bestFit="1" customWidth="1" collapsed="1"/>
    <col min="5" max="5" width="19" bestFit="1" customWidth="1" collapsed="1"/>
    <col min="6" max="6" width="10.5703125" bestFit="1" customWidth="1" collapsed="1"/>
    <col min="7" max="7" width="19.28515625" bestFit="1" customWidth="1" collapsed="1"/>
  </cols>
  <sheetData>
    <row r="1" spans="1:7" x14ac:dyDescent="0.25">
      <c r="A1" s="15" t="s">
        <v>92</v>
      </c>
      <c r="B1" s="9" t="s">
        <v>6</v>
      </c>
      <c r="C1" s="9" t="s">
        <v>123</v>
      </c>
      <c r="D1" s="9" t="s">
        <v>42</v>
      </c>
      <c r="E1" s="16" t="s">
        <v>200</v>
      </c>
      <c r="F1" s="15" t="s">
        <v>118</v>
      </c>
      <c r="G1" s="2" t="s">
        <v>117</v>
      </c>
    </row>
    <row r="2" spans="1:7" x14ac:dyDescent="0.25">
      <c r="A2" s="9" t="s">
        <v>568</v>
      </c>
      <c r="B2" s="9" t="s">
        <v>39</v>
      </c>
      <c r="C2" s="7" t="s">
        <v>314</v>
      </c>
      <c r="D2" s="9" t="s">
        <v>43</v>
      </c>
      <c r="E2" s="16" t="s">
        <v>193</v>
      </c>
      <c r="F2" s="15" t="s">
        <v>119</v>
      </c>
      <c r="G2" s="15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2" sqref="C2"/>
    </sheetView>
  </sheetViews>
  <sheetFormatPr defaultRowHeight="15" x14ac:dyDescent="0.25"/>
  <cols>
    <col min="1" max="1" width="10.7109375" style="6" bestFit="1" customWidth="1" collapsed="1"/>
    <col min="2" max="2" width="13.140625" style="6" bestFit="1" customWidth="1" collapsed="1"/>
    <col min="3" max="3" width="21.5703125" bestFit="1" customWidth="1" collapsed="1"/>
  </cols>
  <sheetData>
    <row r="1" spans="1:5" x14ac:dyDescent="0.25">
      <c r="A1" s="6" t="s">
        <v>16</v>
      </c>
      <c r="B1" s="6" t="s">
        <v>13</v>
      </c>
      <c r="C1" t="s">
        <v>17</v>
      </c>
      <c r="D1" s="1" t="s">
        <v>6</v>
      </c>
      <c r="E1" t="s">
        <v>42</v>
      </c>
    </row>
    <row r="2" spans="1:5" x14ac:dyDescent="0.25">
      <c r="A2" s="6" t="str">
        <f ca="1">TEXT(NOW(),"YYYY-MM-DD")</f>
        <v>2026-09-15</v>
      </c>
      <c r="B2" s="6" t="str">
        <f ca="1">TEXT(NOW(),"YYYY-MM-DD")</f>
        <v>2026-09-15</v>
      </c>
      <c r="C2" t="s">
        <v>300</v>
      </c>
      <c r="D2" s="7" t="s">
        <v>39</v>
      </c>
      <c r="E2" s="1" t="s">
        <v>43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RowHeight="15" x14ac:dyDescent="0.25"/>
  <cols>
    <col min="1" max="1" width="21" bestFit="1" customWidth="1" collapsed="1"/>
    <col min="2" max="2" width="13.140625" bestFit="1" customWidth="1" collapsed="1"/>
  </cols>
  <sheetData>
    <row r="1" spans="1:4" x14ac:dyDescent="0.25">
      <c r="A1" s="1" t="s">
        <v>11</v>
      </c>
      <c r="B1" s="1" t="s">
        <v>13</v>
      </c>
      <c r="C1" s="1" t="s">
        <v>6</v>
      </c>
      <c r="D1" t="s">
        <v>42</v>
      </c>
    </row>
    <row r="2" spans="1:4" x14ac:dyDescent="0.25">
      <c r="A2" s="1" t="s">
        <v>315</v>
      </c>
      <c r="B2" s="6" t="str">
        <f ca="1">TEXT(NOW(),"YYYY-MM-DD")</f>
        <v>2026-09-15</v>
      </c>
      <c r="C2" s="7" t="s">
        <v>39</v>
      </c>
      <c r="D2" s="1" t="s">
        <v>43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cols>
    <col min="2" max="2" width="16.5703125" bestFit="1" customWidth="1" collapsed="1"/>
    <col min="3" max="3" width="19.28515625" bestFit="1" customWidth="1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73</v>
      </c>
      <c r="B2" s="17" t="s">
        <v>164</v>
      </c>
      <c r="C2" s="16" t="s">
        <v>163</v>
      </c>
      <c r="D2" s="15" t="s">
        <v>119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.140625" defaultRowHeight="15" x14ac:dyDescent="0.25"/>
  <cols>
    <col min="1" max="1" width="9.140625" style="15" collapsed="1"/>
    <col min="2" max="2" width="10.140625" style="15" bestFit="1" customWidth="1" collapsed="1"/>
    <col min="3" max="16384" width="9.140625" style="15" collapsed="1"/>
  </cols>
  <sheetData>
    <row r="1" spans="1:3" x14ac:dyDescent="0.25">
      <c r="A1" s="16" t="s">
        <v>6</v>
      </c>
      <c r="B1" s="15" t="s">
        <v>177</v>
      </c>
      <c r="C1" s="15" t="s">
        <v>42</v>
      </c>
    </row>
    <row r="2" spans="1:3" x14ac:dyDescent="0.25">
      <c r="A2" s="17" t="s">
        <v>39</v>
      </c>
      <c r="B2" s="15" t="s">
        <v>57</v>
      </c>
      <c r="C2" s="15" t="s">
        <v>43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12" sqref="E12"/>
    </sheetView>
  </sheetViews>
  <sheetFormatPr defaultRowHeight="15" x14ac:dyDescent="0.25"/>
  <cols>
    <col min="2" max="2" width="9.28515625" bestFit="1" customWidth="1" collapsed="1"/>
    <col min="3" max="3" width="15.5703125" style="15" bestFit="1" customWidth="1" collapsed="1"/>
    <col min="4" max="4" width="8.42578125" customWidth="1" collapsed="1"/>
    <col min="5" max="5" width="10.28515625" bestFit="1" customWidth="1" collapsed="1"/>
    <col min="6" max="6" width="19.28515625" bestFit="1" customWidth="1" collapsed="1"/>
    <col min="7" max="7" width="10.5703125" bestFit="1" customWidth="1" collapsed="1"/>
  </cols>
  <sheetData>
    <row r="1" spans="1:7" x14ac:dyDescent="0.25">
      <c r="A1" s="16" t="s">
        <v>14</v>
      </c>
      <c r="B1" s="16" t="s">
        <v>15</v>
      </c>
      <c r="C1" s="15" t="s">
        <v>241</v>
      </c>
      <c r="D1" s="16" t="s">
        <v>6</v>
      </c>
      <c r="E1" s="15" t="s">
        <v>42</v>
      </c>
      <c r="F1" s="15" t="s">
        <v>117</v>
      </c>
      <c r="G1" s="16" t="s">
        <v>118</v>
      </c>
    </row>
    <row r="2" spans="1:7" x14ac:dyDescent="0.25">
      <c r="A2" s="16" t="s">
        <v>317</v>
      </c>
      <c r="B2" s="7" t="s">
        <v>77</v>
      </c>
      <c r="C2" s="16" t="s">
        <v>593</v>
      </c>
      <c r="D2" s="7" t="s">
        <v>73</v>
      </c>
      <c r="E2" s="16" t="s">
        <v>43</v>
      </c>
      <c r="F2" s="15"/>
      <c r="G2" s="15" t="s">
        <v>119</v>
      </c>
    </row>
    <row r="3" spans="1:7" x14ac:dyDescent="0.25">
      <c r="A3" s="16" t="s">
        <v>317</v>
      </c>
      <c r="B3" s="7" t="s">
        <v>78</v>
      </c>
      <c r="C3" s="16" t="s">
        <v>593</v>
      </c>
      <c r="D3" s="7" t="s">
        <v>74</v>
      </c>
      <c r="E3" s="16" t="s">
        <v>43</v>
      </c>
      <c r="F3" s="15"/>
      <c r="G3" s="15" t="s">
        <v>119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" width="6.28515625" customWidth="1" collapsed="1"/>
    <col min="2" max="2" width="37.7109375" bestFit="1" customWidth="1" collapsed="1"/>
    <col min="3" max="3" width="19.28515625" bestFit="1" customWidth="1" collapsed="1"/>
    <col min="4" max="4" width="10.5703125" bestFit="1" customWidth="1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323</v>
      </c>
      <c r="C2" s="18" t="s">
        <v>324</v>
      </c>
      <c r="D2" s="15" t="s">
        <v>119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B3" sqref="B3"/>
    </sheetView>
  </sheetViews>
  <sheetFormatPr defaultRowHeight="15" x14ac:dyDescent="0.25"/>
  <cols>
    <col min="1" max="1" width="14.140625" bestFit="1" customWidth="1" collapsed="1"/>
    <col min="2" max="2" width="11.42578125" bestFit="1" customWidth="1" collapsed="1"/>
    <col min="4" max="4" width="10.28515625" bestFit="1" customWidth="1" collapsed="1"/>
    <col min="5" max="5" width="19" bestFit="1" customWidth="1" collapsed="1"/>
    <col min="6" max="6" width="19.28515625" bestFit="1" customWidth="1" collapsed="1"/>
    <col min="7" max="7" width="10.5703125" bestFit="1" customWidth="1" collapsed="1"/>
  </cols>
  <sheetData>
    <row r="1" spans="1:7" x14ac:dyDescent="0.25">
      <c r="A1" s="16" t="s">
        <v>89</v>
      </c>
      <c r="B1" s="16" t="s">
        <v>316</v>
      </c>
      <c r="C1" s="16" t="s">
        <v>6</v>
      </c>
      <c r="D1" s="15" t="s">
        <v>42</v>
      </c>
      <c r="E1" s="15" t="s">
        <v>200</v>
      </c>
      <c r="F1" s="15" t="s">
        <v>117</v>
      </c>
      <c r="G1" s="16" t="s">
        <v>118</v>
      </c>
    </row>
    <row r="2" spans="1:7" x14ac:dyDescent="0.25">
      <c r="A2" s="9" t="s">
        <v>318</v>
      </c>
      <c r="B2" s="14" t="s">
        <v>590</v>
      </c>
      <c r="C2" s="7" t="s">
        <v>73</v>
      </c>
      <c r="D2" s="16" t="s">
        <v>43</v>
      </c>
      <c r="E2" s="16" t="s">
        <v>193</v>
      </c>
      <c r="F2" s="15"/>
      <c r="G2" s="15" t="s">
        <v>119</v>
      </c>
    </row>
    <row r="3" spans="1:7" x14ac:dyDescent="0.25">
      <c r="A3" s="9" t="s">
        <v>321</v>
      </c>
      <c r="B3" s="14" t="s">
        <v>319</v>
      </c>
      <c r="C3" s="7" t="s">
        <v>74</v>
      </c>
      <c r="D3" s="16" t="s">
        <v>43</v>
      </c>
      <c r="E3" s="16" t="s">
        <v>193</v>
      </c>
      <c r="F3" s="15"/>
      <c r="G3" s="15" t="s">
        <v>119</v>
      </c>
    </row>
    <row r="4" spans="1:7" x14ac:dyDescent="0.25">
      <c r="A4" s="9" t="s">
        <v>320</v>
      </c>
      <c r="B4" s="14" t="s">
        <v>322</v>
      </c>
      <c r="C4" s="7" t="s">
        <v>227</v>
      </c>
      <c r="D4" s="16" t="s">
        <v>43</v>
      </c>
      <c r="E4" s="16" t="s">
        <v>193</v>
      </c>
      <c r="F4" s="15"/>
      <c r="G4" s="15" t="s">
        <v>119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A2"/>
    </sheetView>
  </sheetViews>
  <sheetFormatPr defaultColWidth="9.140625" defaultRowHeight="15" x14ac:dyDescent="0.25"/>
  <cols>
    <col min="1" max="1" width="20.28515625" style="15" bestFit="1" customWidth="1" collapsed="1"/>
    <col min="2" max="16384" width="9.140625" style="15" collapsed="1"/>
  </cols>
  <sheetData>
    <row r="1" spans="1:3" x14ac:dyDescent="0.25">
      <c r="A1" s="15" t="s">
        <v>56</v>
      </c>
      <c r="B1" s="15" t="s">
        <v>42</v>
      </c>
      <c r="C1" s="15" t="s">
        <v>6</v>
      </c>
    </row>
    <row r="2" spans="1:3" x14ac:dyDescent="0.25">
      <c r="A2" s="15" t="s">
        <v>72</v>
      </c>
      <c r="B2" s="16" t="s">
        <v>43</v>
      </c>
      <c r="C2" s="9" t="s">
        <v>39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140625" style="15" collapsed="1"/>
    <col min="2" max="2" width="20.140625" style="15" customWidth="1" collapsed="1"/>
    <col min="3" max="3" width="22" style="15" bestFit="1" customWidth="1" collapsed="1"/>
    <col min="4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165</v>
      </c>
      <c r="C2" s="16" t="s">
        <v>122</v>
      </c>
      <c r="D2" s="15" t="s">
        <v>119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5" x14ac:dyDescent="0.25"/>
  <cols>
    <col min="2" max="2" width="24.42578125" bestFit="1" customWidth="1" collapsed="1"/>
    <col min="3" max="3" width="10.28515625" bestFit="1" customWidth="1" collapsed="1"/>
    <col min="4" max="4" width="10.5703125" bestFit="1" customWidth="1" collapsed="1"/>
    <col min="5" max="5" width="11.5703125" bestFit="1" customWidth="1" collapsed="1"/>
    <col min="6" max="6" width="12.42578125" bestFit="1" customWidth="1" collapsed="1"/>
    <col min="7" max="7" width="8.85546875" bestFit="1" customWidth="1" collapsed="1"/>
    <col min="8" max="8" width="6.140625" bestFit="1" customWidth="1" collapsed="1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14" t="s">
        <v>622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F2"/>
    </sheetView>
  </sheetViews>
  <sheetFormatPr defaultRowHeight="15" x14ac:dyDescent="0.25"/>
  <cols>
    <col min="2" max="2" width="10.28515625" bestFit="1" customWidth="1" collapsed="1"/>
    <col min="3" max="3" width="10.5703125" bestFit="1" customWidth="1" collapsed="1"/>
    <col min="4" max="4" width="9" bestFit="1" customWidth="1" collapsed="1"/>
    <col min="5" max="5" width="24.28515625" bestFit="1" customWidth="1" collapsed="1"/>
    <col min="6" max="6" width="6.5703125" bestFit="1" customWidth="1" collapsed="1"/>
  </cols>
  <sheetData>
    <row r="1" spans="1:6" x14ac:dyDescent="0.25">
      <c r="A1" s="2" t="s">
        <v>6</v>
      </c>
      <c r="B1" s="2" t="s">
        <v>42</v>
      </c>
      <c r="C1" s="2" t="s">
        <v>118</v>
      </c>
      <c r="D1" s="2" t="s">
        <v>57</v>
      </c>
      <c r="E1" s="2" t="s">
        <v>212</v>
      </c>
      <c r="F1" s="2" t="s">
        <v>216</v>
      </c>
    </row>
    <row r="2" spans="1:6" x14ac:dyDescent="0.25">
      <c r="A2" s="7" t="s">
        <v>39</v>
      </c>
      <c r="B2" s="16" t="s">
        <v>43</v>
      </c>
      <c r="C2" s="16" t="s">
        <v>119</v>
      </c>
      <c r="D2" s="9" t="s">
        <v>261</v>
      </c>
      <c r="E2" s="15" t="s">
        <v>615</v>
      </c>
      <c r="F2" s="15" t="s">
        <v>49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sqref="A1:J2"/>
    </sheetView>
  </sheetViews>
  <sheetFormatPr defaultRowHeight="15" x14ac:dyDescent="0.25"/>
  <cols>
    <col min="2" max="2" width="30.7109375" bestFit="1" customWidth="1" collapsed="1"/>
    <col min="3" max="3" width="10.28515625" bestFit="1" customWidth="1" collapsed="1"/>
    <col min="4" max="4" width="10.5703125" bestFit="1" customWidth="1" collapsed="1"/>
    <col min="8" max="8" width="7" bestFit="1" customWidth="1" collapsed="1"/>
    <col min="9" max="9" width="19" bestFit="1" customWidth="1" collapsed="1"/>
    <col min="10" max="10" width="19.28515625" bestFit="1" customWidth="1" collapsed="1"/>
  </cols>
  <sheetData>
    <row r="1" spans="1:10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611</v>
      </c>
      <c r="F1" s="2" t="s">
        <v>612</v>
      </c>
      <c r="G1" s="2" t="s">
        <v>618</v>
      </c>
      <c r="H1" s="2" t="s">
        <v>619</v>
      </c>
      <c r="I1" s="16" t="s">
        <v>200</v>
      </c>
      <c r="J1" s="2" t="s">
        <v>117</v>
      </c>
    </row>
    <row r="2" spans="1:10" x14ac:dyDescent="0.25">
      <c r="A2" s="7" t="s">
        <v>39</v>
      </c>
      <c r="B2" s="7" t="s">
        <v>621</v>
      </c>
      <c r="C2" s="16" t="s">
        <v>43</v>
      </c>
      <c r="D2" s="16" t="s">
        <v>119</v>
      </c>
      <c r="E2" s="7" t="s">
        <v>620</v>
      </c>
      <c r="F2" s="7" t="s">
        <v>614</v>
      </c>
      <c r="G2" s="7" t="s">
        <v>10</v>
      </c>
      <c r="H2" s="7" t="s">
        <v>37</v>
      </c>
      <c r="I2" s="16" t="s">
        <v>193</v>
      </c>
      <c r="J2" s="15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K26" sqref="K26"/>
    </sheetView>
  </sheetViews>
  <sheetFormatPr defaultRowHeight="15" x14ac:dyDescent="0.25"/>
  <cols>
    <col min="2" max="2" width="19.28515625" bestFit="1" customWidth="1" collapsed="1"/>
    <col min="3" max="3" width="10.5703125" bestFit="1" customWidth="1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7" t="s">
        <v>39</v>
      </c>
      <c r="B2" s="15"/>
      <c r="C2" s="15" t="s">
        <v>119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5" bestFit="1" customWidth="1" collapsed="1"/>
    <col min="2" max="2" width="16.140625" bestFit="1" customWidth="1" collapsed="1"/>
    <col min="3" max="3" width="20" bestFit="1" customWidth="1" collapsed="1"/>
    <col min="4" max="4" width="17.5703125" bestFit="1" customWidth="1" collapsed="1"/>
    <col min="6" max="6" width="10.28515625" bestFit="1" customWidth="1" collapsed="1"/>
    <col min="7" max="7" width="8" bestFit="1" customWidth="1" collapsed="1"/>
  </cols>
  <sheetData>
    <row r="1" spans="1:7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</v>
      </c>
      <c r="F1" s="15" t="s">
        <v>42</v>
      </c>
      <c r="G1" s="16" t="s">
        <v>57</v>
      </c>
    </row>
    <row r="2" spans="1:7" x14ac:dyDescent="0.25">
      <c r="A2" s="16" t="s">
        <v>284</v>
      </c>
      <c r="B2" s="16" t="s">
        <v>63</v>
      </c>
      <c r="C2" s="14" t="str">
        <f ca="1">TEXT(NOW(),"YYYY-MM-DD")</f>
        <v>2026-09-15</v>
      </c>
      <c r="D2" s="14" t="str">
        <f ca="1">TEXT(NOW(),"YYYY-MM-DD")</f>
        <v>2026-09-15</v>
      </c>
      <c r="E2" s="7" t="s">
        <v>39</v>
      </c>
      <c r="F2" s="16" t="s">
        <v>43</v>
      </c>
      <c r="G2" s="16" t="s">
        <v>285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F3" sqref="F3"/>
    </sheetView>
  </sheetViews>
  <sheetFormatPr defaultRowHeight="15" x14ac:dyDescent="0.25"/>
  <cols>
    <col min="1" max="1" width="13.5703125" bestFit="1" customWidth="1" collapsed="1"/>
    <col min="2" max="2" width="12.140625" bestFit="1" customWidth="1" collapsed="1"/>
    <col min="3" max="3" width="12.85546875" bestFit="1" customWidth="1" collapsed="1"/>
    <col min="5" max="5" width="12.140625" bestFit="1" customWidth="1" collapsed="1"/>
    <col min="6" max="6" width="13.28515625" bestFit="1" customWidth="1" collapsed="1"/>
    <col min="8" max="8" width="38.7109375" bestFit="1" customWidth="1" collapsed="1"/>
    <col min="9" max="9" width="10.28515625" bestFit="1" customWidth="1" collapsed="1"/>
    <col min="10" max="10" width="19" bestFit="1" customWidth="1" collapsed="1"/>
    <col min="11" max="11" width="19.28515625" bestFit="1" customWidth="1" collapsed="1"/>
  </cols>
  <sheetData>
    <row r="1" spans="1:11" x14ac:dyDescent="0.25">
      <c r="A1" s="9" t="s">
        <v>89</v>
      </c>
      <c r="B1" s="15" t="s">
        <v>277</v>
      </c>
      <c r="C1" s="9" t="s">
        <v>90</v>
      </c>
      <c r="D1" s="9" t="s">
        <v>276</v>
      </c>
      <c r="E1" s="9" t="s">
        <v>91</v>
      </c>
      <c r="F1" s="9" t="s">
        <v>92</v>
      </c>
      <c r="G1" s="9" t="s">
        <v>6</v>
      </c>
      <c r="H1" s="9" t="s">
        <v>123</v>
      </c>
      <c r="I1" s="9" t="s">
        <v>42</v>
      </c>
      <c r="J1" s="16" t="s">
        <v>200</v>
      </c>
      <c r="K1" s="15" t="s">
        <v>117</v>
      </c>
    </row>
    <row r="2" spans="1:11" x14ac:dyDescent="0.25">
      <c r="A2" s="15" t="s">
        <v>271</v>
      </c>
      <c r="B2" s="15" t="s">
        <v>10</v>
      </c>
      <c r="C2" s="14" t="s">
        <v>575</v>
      </c>
      <c r="D2" s="23" t="s">
        <v>576</v>
      </c>
      <c r="E2" s="14" t="s">
        <v>577</v>
      </c>
      <c r="F2" s="14" t="s">
        <v>578</v>
      </c>
      <c r="G2" s="9" t="s">
        <v>73</v>
      </c>
      <c r="H2" s="7" t="s">
        <v>333</v>
      </c>
      <c r="I2" s="9" t="s">
        <v>43</v>
      </c>
      <c r="J2" s="16" t="s">
        <v>193</v>
      </c>
      <c r="K2" s="15"/>
    </row>
    <row r="3" spans="1:11" x14ac:dyDescent="0.25">
      <c r="A3" s="15" t="s">
        <v>270</v>
      </c>
      <c r="B3" s="15" t="s">
        <v>10</v>
      </c>
      <c r="C3" s="14" t="s">
        <v>579</v>
      </c>
      <c r="D3" s="23" t="s">
        <v>580</v>
      </c>
      <c r="E3" s="15" t="s">
        <v>581</v>
      </c>
      <c r="F3" s="14" t="s">
        <v>582</v>
      </c>
      <c r="G3" s="9" t="s">
        <v>74</v>
      </c>
      <c r="H3" s="7" t="s">
        <v>334</v>
      </c>
      <c r="I3" s="9" t="s">
        <v>43</v>
      </c>
      <c r="J3" s="16" t="s">
        <v>193</v>
      </c>
      <c r="K3" s="15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sqref="A1:K2"/>
    </sheetView>
  </sheetViews>
  <sheetFormatPr defaultRowHeight="15" x14ac:dyDescent="0.25"/>
  <cols>
    <col min="2" max="2" width="29.140625" bestFit="1" customWidth="1" collapsed="1"/>
    <col min="3" max="3" width="10.28515625" bestFit="1" customWidth="1" collapsed="1"/>
    <col min="4" max="4" width="13.5703125" bestFit="1" customWidth="1" collapsed="1"/>
    <col min="5" max="5" width="12.140625" bestFit="1" customWidth="1" collapsed="1"/>
    <col min="6" max="6" width="12.85546875" bestFit="1" customWidth="1" collapsed="1"/>
    <col min="8" max="8" width="12.140625" bestFit="1" customWidth="1" collapsed="1"/>
    <col min="9" max="9" width="13.28515625" bestFit="1" customWidth="1" collapsed="1"/>
    <col min="10" max="10" width="19" bestFit="1" customWidth="1" collapsed="1"/>
    <col min="11" max="11" width="19.28515625" bestFit="1" customWidth="1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15" t="s">
        <v>277</v>
      </c>
      <c r="F1" s="9" t="s">
        <v>90</v>
      </c>
      <c r="G1" s="9" t="s">
        <v>276</v>
      </c>
      <c r="H1" s="9" t="s">
        <v>91</v>
      </c>
      <c r="I1" s="9" t="s">
        <v>92</v>
      </c>
      <c r="J1" s="16" t="s">
        <v>200</v>
      </c>
      <c r="K1" s="15" t="s">
        <v>117</v>
      </c>
    </row>
    <row r="2" spans="1:11" x14ac:dyDescent="0.25">
      <c r="A2" s="9" t="s">
        <v>73</v>
      </c>
      <c r="B2" s="7" t="s">
        <v>335</v>
      </c>
      <c r="C2" s="9" t="s">
        <v>43</v>
      </c>
      <c r="D2" s="15" t="s">
        <v>296</v>
      </c>
      <c r="E2" s="15" t="s">
        <v>10</v>
      </c>
      <c r="F2" s="14" t="s">
        <v>583</v>
      </c>
      <c r="G2" s="23" t="s">
        <v>584</v>
      </c>
      <c r="H2" s="14" t="s">
        <v>585</v>
      </c>
      <c r="I2" s="14" t="s">
        <v>586</v>
      </c>
      <c r="J2" s="16" t="s">
        <v>193</v>
      </c>
      <c r="K2" s="15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B4" sqref="B4"/>
    </sheetView>
  </sheetViews>
  <sheetFormatPr defaultRowHeight="15" x14ac:dyDescent="0.25"/>
  <cols>
    <col min="1" max="1" width="11.28515625" bestFit="1" customWidth="1" collapsed="1"/>
    <col min="2" max="2" width="12.140625" bestFit="1" customWidth="1" collapsed="1"/>
    <col min="4" max="4" width="51" bestFit="1" customWidth="1" collapsed="1"/>
    <col min="6" max="6" width="19" bestFit="1" customWidth="1" collapsed="1"/>
    <col min="7" max="7" width="19.28515625" bestFit="1" customWidth="1" collapsed="1"/>
  </cols>
  <sheetData>
    <row r="1" spans="1:7" x14ac:dyDescent="0.25">
      <c r="A1" s="6" t="s">
        <v>90</v>
      </c>
      <c r="B1" s="9" t="s">
        <v>330</v>
      </c>
      <c r="C1" s="9" t="s">
        <v>6</v>
      </c>
      <c r="D1" s="9" t="s">
        <v>123</v>
      </c>
      <c r="E1" s="9" t="s">
        <v>42</v>
      </c>
      <c r="F1" s="16" t="s">
        <v>200</v>
      </c>
      <c r="G1" s="15" t="s">
        <v>117</v>
      </c>
    </row>
    <row r="2" spans="1:7" x14ac:dyDescent="0.25">
      <c r="A2" s="14" t="s">
        <v>587</v>
      </c>
      <c r="B2" s="14" t="s">
        <v>331</v>
      </c>
      <c r="C2" s="9" t="s">
        <v>73</v>
      </c>
      <c r="D2" s="7" t="s">
        <v>336</v>
      </c>
      <c r="E2" s="9" t="s">
        <v>43</v>
      </c>
      <c r="F2" s="16" t="s">
        <v>193</v>
      </c>
      <c r="G2" s="15"/>
    </row>
    <row r="3" spans="1:7" x14ac:dyDescent="0.25">
      <c r="A3" s="14" t="s">
        <v>298</v>
      </c>
      <c r="B3" s="14" t="s">
        <v>331</v>
      </c>
      <c r="C3" s="9" t="s">
        <v>74</v>
      </c>
      <c r="D3" s="7" t="s">
        <v>337</v>
      </c>
      <c r="E3" s="9" t="s">
        <v>43</v>
      </c>
      <c r="F3" s="16" t="s">
        <v>193</v>
      </c>
      <c r="G3" s="15"/>
    </row>
    <row r="4" spans="1:7" x14ac:dyDescent="0.25">
      <c r="A4" s="14" t="s">
        <v>500</v>
      </c>
      <c r="B4" s="14" t="s">
        <v>331</v>
      </c>
      <c r="C4" s="9" t="s">
        <v>227</v>
      </c>
      <c r="D4" s="7" t="s">
        <v>338</v>
      </c>
      <c r="E4" s="9" t="s">
        <v>43</v>
      </c>
      <c r="F4" s="16" t="s">
        <v>193</v>
      </c>
      <c r="G4" s="15"/>
    </row>
    <row r="5" spans="1:7" x14ac:dyDescent="0.25">
      <c r="A5" s="14" t="s">
        <v>588</v>
      </c>
      <c r="B5" s="14" t="s">
        <v>331</v>
      </c>
      <c r="C5" s="9" t="s">
        <v>228</v>
      </c>
      <c r="D5" s="7" t="s">
        <v>339</v>
      </c>
      <c r="E5" s="9" t="s">
        <v>43</v>
      </c>
      <c r="F5" s="16" t="s">
        <v>193</v>
      </c>
      <c r="G5" s="15"/>
    </row>
    <row r="6" spans="1:7" x14ac:dyDescent="0.25">
      <c r="A6" s="14" t="s">
        <v>589</v>
      </c>
      <c r="B6" s="14" t="s">
        <v>331</v>
      </c>
      <c r="C6" s="9" t="s">
        <v>288</v>
      </c>
      <c r="D6" s="7" t="s">
        <v>340</v>
      </c>
      <c r="E6" s="9" t="s">
        <v>43</v>
      </c>
      <c r="F6" s="16" t="s">
        <v>193</v>
      </c>
      <c r="G6" s="15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F2"/>
    </sheetView>
  </sheetViews>
  <sheetFormatPr defaultRowHeight="15" x14ac:dyDescent="0.25"/>
  <cols>
    <col min="1" max="1" width="15.7109375" bestFit="1" customWidth="1" collapsed="1"/>
    <col min="3" max="3" width="16.42578125" bestFit="1" customWidth="1" collapsed="1"/>
    <col min="4" max="4" width="10.28515625" bestFit="1" customWidth="1" collapsed="1"/>
    <col min="5" max="5" width="19" bestFit="1" customWidth="1" collapsed="1"/>
    <col min="6" max="6" width="19.28515625" bestFit="1" customWidth="1" collapsed="1"/>
  </cols>
  <sheetData>
    <row r="1" spans="1:6" x14ac:dyDescent="0.25">
      <c r="A1" s="15" t="s">
        <v>294</v>
      </c>
      <c r="B1" s="9" t="s">
        <v>6</v>
      </c>
      <c r="C1" s="9" t="s">
        <v>123</v>
      </c>
      <c r="D1" s="9" t="s">
        <v>42</v>
      </c>
      <c r="E1" s="16" t="s">
        <v>200</v>
      </c>
      <c r="F1" s="15" t="s">
        <v>117</v>
      </c>
    </row>
    <row r="2" spans="1:6" x14ac:dyDescent="0.25">
      <c r="A2" s="15" t="s">
        <v>585</v>
      </c>
      <c r="B2" s="9" t="s">
        <v>73</v>
      </c>
      <c r="C2" s="7" t="s">
        <v>310</v>
      </c>
      <c r="D2" s="9" t="s">
        <v>43</v>
      </c>
      <c r="E2" s="16" t="s">
        <v>193</v>
      </c>
      <c r="F2" s="15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A2"/>
    </sheetView>
  </sheetViews>
  <sheetFormatPr defaultRowHeight="15" x14ac:dyDescent="0.25"/>
  <cols>
    <col min="1" max="1" width="22.85546875" customWidth="1" collapsed="1"/>
    <col min="3" max="3" width="10.28515625" bestFit="1" customWidth="1" collapsed="1"/>
  </cols>
  <sheetData>
    <row r="1" spans="1:3" x14ac:dyDescent="0.25">
      <c r="A1" s="2" t="s">
        <v>17</v>
      </c>
      <c r="B1" s="1" t="s">
        <v>6</v>
      </c>
      <c r="C1" s="15" t="s">
        <v>42</v>
      </c>
    </row>
    <row r="2" spans="1:3" x14ac:dyDescent="0.25">
      <c r="A2" s="1" t="s">
        <v>315</v>
      </c>
      <c r="B2" s="1" t="s">
        <v>39</v>
      </c>
      <c r="C2" s="16" t="s">
        <v>43</v>
      </c>
    </row>
    <row r="3" spans="1:3" x14ac:dyDescent="0.25">
      <c r="B3" s="1"/>
    </row>
    <row r="4" spans="1:3" x14ac:dyDescent="0.25">
      <c r="B4" s="1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85546875" style="15" customWidth="1" collapsed="1"/>
    <col min="2" max="2" width="29.42578125" style="15" bestFit="1" customWidth="1" collapsed="1"/>
    <col min="3" max="3" width="19.28515625" style="15" bestFit="1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180</v>
      </c>
      <c r="C2" s="16" t="s">
        <v>179</v>
      </c>
      <c r="D2" s="15" t="s">
        <v>119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D6" sqref="D6"/>
    </sheetView>
  </sheetViews>
  <sheetFormatPr defaultRowHeight="15" x14ac:dyDescent="0.25"/>
  <cols>
    <col min="1" max="1" width="13.5703125" bestFit="1" customWidth="1" collapsed="1"/>
    <col min="2" max="2" width="12.140625" bestFit="1" customWidth="1" collapsed="1"/>
    <col min="3" max="3" width="13.28515625" bestFit="1" customWidth="1" collapsed="1"/>
    <col min="5" max="5" width="10.28515625" bestFit="1" customWidth="1" collapsed="1"/>
    <col min="6" max="6" width="19" bestFit="1" customWidth="1" collapsed="1"/>
    <col min="7" max="7" width="19.28515625" bestFit="1" customWidth="1" collapsed="1"/>
    <col min="8" max="8" width="10.5703125" bestFit="1" customWidth="1" collapsed="1"/>
  </cols>
  <sheetData>
    <row r="1" spans="1:8" x14ac:dyDescent="0.25">
      <c r="A1" s="9" t="s">
        <v>89</v>
      </c>
      <c r="B1" s="9" t="s">
        <v>91</v>
      </c>
      <c r="C1" s="9" t="s">
        <v>92</v>
      </c>
      <c r="D1" s="16" t="s">
        <v>6</v>
      </c>
      <c r="E1" s="15" t="s">
        <v>42</v>
      </c>
      <c r="F1" s="15" t="s">
        <v>200</v>
      </c>
      <c r="G1" s="15" t="s">
        <v>117</v>
      </c>
      <c r="H1" s="16" t="s">
        <v>118</v>
      </c>
    </row>
    <row r="2" spans="1:8" x14ac:dyDescent="0.25">
      <c r="A2" s="14" t="s">
        <v>296</v>
      </c>
      <c r="B2" s="9" t="s">
        <v>585</v>
      </c>
      <c r="C2" s="14" t="s">
        <v>586</v>
      </c>
      <c r="D2" s="16" t="s">
        <v>73</v>
      </c>
      <c r="E2" s="16" t="s">
        <v>43</v>
      </c>
      <c r="F2" s="16" t="s">
        <v>193</v>
      </c>
      <c r="G2" s="15"/>
      <c r="H2" s="15" t="s">
        <v>119</v>
      </c>
    </row>
    <row r="3" spans="1:8" x14ac:dyDescent="0.25">
      <c r="A3" s="14" t="s">
        <v>296</v>
      </c>
      <c r="B3" s="9" t="s">
        <v>326</v>
      </c>
      <c r="C3" s="14" t="s">
        <v>297</v>
      </c>
      <c r="D3" s="16" t="s">
        <v>74</v>
      </c>
      <c r="E3" s="16" t="s">
        <v>43</v>
      </c>
      <c r="F3" s="16" t="s">
        <v>193</v>
      </c>
      <c r="G3" s="15"/>
      <c r="H3" s="15" t="s">
        <v>119</v>
      </c>
    </row>
    <row r="4" spans="1:8" x14ac:dyDescent="0.25">
      <c r="A4" s="14" t="s">
        <v>296</v>
      </c>
      <c r="B4" s="9" t="s">
        <v>326</v>
      </c>
      <c r="C4" s="14" t="s">
        <v>297</v>
      </c>
      <c r="D4" s="16" t="s">
        <v>227</v>
      </c>
      <c r="E4" s="16" t="s">
        <v>43</v>
      </c>
      <c r="F4" s="16" t="s">
        <v>193</v>
      </c>
      <c r="G4" s="15"/>
      <c r="H4" s="15" t="s">
        <v>119</v>
      </c>
    </row>
    <row r="5" spans="1:8" x14ac:dyDescent="0.25">
      <c r="A5" s="14" t="s">
        <v>296</v>
      </c>
      <c r="B5" s="9" t="s">
        <v>326</v>
      </c>
      <c r="C5" s="14" t="s">
        <v>297</v>
      </c>
      <c r="D5" s="16" t="s">
        <v>228</v>
      </c>
      <c r="E5" s="16" t="s">
        <v>43</v>
      </c>
      <c r="F5" s="16" t="s">
        <v>193</v>
      </c>
      <c r="G5" s="15"/>
      <c r="H5" s="15" t="s">
        <v>119</v>
      </c>
    </row>
    <row r="6" spans="1:8" x14ac:dyDescent="0.25">
      <c r="A6" s="14" t="s">
        <v>325</v>
      </c>
      <c r="B6" s="9" t="s">
        <v>327</v>
      </c>
      <c r="C6" s="14" t="s">
        <v>328</v>
      </c>
      <c r="D6" s="16" t="s">
        <v>288</v>
      </c>
      <c r="E6" s="16" t="s">
        <v>43</v>
      </c>
      <c r="F6" s="16" t="s">
        <v>193</v>
      </c>
      <c r="G6" s="15"/>
      <c r="H6" s="15" t="s">
        <v>119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ColWidth="9.140625" defaultRowHeight="15" x14ac:dyDescent="0.25"/>
  <cols>
    <col min="1" max="1" width="20.28515625" style="15" bestFit="1" customWidth="1" collapsed="1"/>
    <col min="2" max="16384" width="9.140625" style="15" collapsed="1"/>
  </cols>
  <sheetData>
    <row r="1" spans="1:3" x14ac:dyDescent="0.25">
      <c r="A1" s="15" t="s">
        <v>56</v>
      </c>
      <c r="B1" s="15" t="s">
        <v>42</v>
      </c>
      <c r="C1" s="15" t="s">
        <v>6</v>
      </c>
    </row>
    <row r="2" spans="1:3" x14ac:dyDescent="0.25">
      <c r="A2" s="15" t="s">
        <v>72</v>
      </c>
      <c r="B2" s="16" t="s">
        <v>43</v>
      </c>
      <c r="C2" s="9" t="s">
        <v>39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ColWidth="9.140625" defaultRowHeight="15" x14ac:dyDescent="0.25"/>
  <cols>
    <col min="1" max="1" width="9.140625" style="15" collapsed="1"/>
    <col min="2" max="2" width="20.140625" style="15" customWidth="1" collapsed="1"/>
    <col min="3" max="3" width="22" style="15" bestFit="1" customWidth="1" collapsed="1"/>
    <col min="4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188</v>
      </c>
      <c r="C2" s="16" t="s">
        <v>122</v>
      </c>
      <c r="D2" s="15" t="s">
        <v>119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140625" style="15" collapsed="1"/>
    <col min="2" max="2" width="20.140625" style="15" customWidth="1" collapsed="1"/>
    <col min="3" max="3" width="19.28515625" style="15" bestFit="1" customWidth="1" collapsed="1"/>
    <col min="4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73</v>
      </c>
      <c r="B2" s="17" t="s">
        <v>164</v>
      </c>
      <c r="C2" s="16" t="s">
        <v>163</v>
      </c>
      <c r="D2" s="15" t="s">
        <v>119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cols>
    <col min="1" max="1" width="19.42578125" bestFit="1" customWidth="1" collapsed="1"/>
    <col min="2" max="3" width="10.42578125" bestFit="1" customWidth="1" collapsed="1"/>
    <col min="4" max="4" width="33.85546875" bestFit="1" customWidth="1" collapsed="1"/>
    <col min="6" max="6" width="10.28515625" bestFit="1" customWidth="1" collapsed="1"/>
  </cols>
  <sheetData>
    <row r="1" spans="1:6" x14ac:dyDescent="0.25">
      <c r="A1" s="15" t="s">
        <v>17</v>
      </c>
      <c r="B1" s="15" t="s">
        <v>18</v>
      </c>
      <c r="C1" s="15" t="s">
        <v>19</v>
      </c>
      <c r="D1" s="15" t="s">
        <v>4</v>
      </c>
      <c r="E1" s="15" t="s">
        <v>6</v>
      </c>
      <c r="F1" s="15" t="s">
        <v>42</v>
      </c>
    </row>
    <row r="2" spans="1:6" x14ac:dyDescent="0.25">
      <c r="A2" s="15" t="s">
        <v>315</v>
      </c>
      <c r="B2" s="15" t="str">
        <f ca="1">TEXT(NOW(),"YYYY-MM-DD")</f>
        <v>2026-09-15</v>
      </c>
      <c r="C2" s="15" t="str">
        <f ca="1">TEXT(NOW(),"YYYY-MM-DD")</f>
        <v>2026-09-15</v>
      </c>
      <c r="D2" s="15" t="s">
        <v>274</v>
      </c>
      <c r="E2" s="9" t="s">
        <v>39</v>
      </c>
      <c r="F2" s="15" t="s">
        <v>43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cols>
    <col min="2" max="2" width="26.85546875" bestFit="1" customWidth="1" collapsed="1"/>
    <col min="3" max="3" width="10.5703125" bestFit="1" customWidth="1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7" t="s">
        <v>39</v>
      </c>
      <c r="B2" s="15" t="s">
        <v>166</v>
      </c>
      <c r="C2" s="15" t="s">
        <v>119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G8" sqref="G8"/>
    </sheetView>
  </sheetViews>
  <sheetFormatPr defaultRowHeight="15" x14ac:dyDescent="0.25"/>
  <cols>
    <col min="3" max="3" width="15.5703125" bestFit="1" customWidth="1" collapsed="1"/>
    <col min="4" max="5" width="15.5703125" style="15" customWidth="1" collapsed="1"/>
    <col min="7" max="7" width="10.28515625" bestFit="1" customWidth="1" collapsed="1"/>
    <col min="8" max="8" width="19" bestFit="1" customWidth="1" collapsed="1"/>
    <col min="9" max="9" width="19.28515625" bestFit="1" customWidth="1" collapsed="1"/>
    <col min="10" max="10" width="10.5703125" bestFit="1" customWidth="1" collapsed="1"/>
  </cols>
  <sheetData>
    <row r="1" spans="1:10" x14ac:dyDescent="0.25">
      <c r="A1" s="16" t="s">
        <v>36</v>
      </c>
      <c r="B1" s="16" t="s">
        <v>21</v>
      </c>
      <c r="C1" s="16" t="s">
        <v>20</v>
      </c>
      <c r="D1" s="15" t="s">
        <v>89</v>
      </c>
      <c r="E1" s="15" t="s">
        <v>277</v>
      </c>
      <c r="F1" s="16" t="s">
        <v>6</v>
      </c>
      <c r="G1" s="16" t="s">
        <v>42</v>
      </c>
      <c r="H1" s="15" t="s">
        <v>200</v>
      </c>
      <c r="I1" s="15" t="s">
        <v>117</v>
      </c>
      <c r="J1" s="16" t="s">
        <v>118</v>
      </c>
    </row>
    <row r="2" spans="1:10" x14ac:dyDescent="0.25">
      <c r="A2" s="16">
        <v>1</v>
      </c>
      <c r="B2" s="7" t="s">
        <v>10</v>
      </c>
      <c r="C2" s="16" t="s">
        <v>301</v>
      </c>
      <c r="D2" s="15" t="s">
        <v>304</v>
      </c>
      <c r="E2" s="7" t="s">
        <v>10</v>
      </c>
      <c r="F2" s="7" t="s">
        <v>73</v>
      </c>
      <c r="G2" s="16" t="s">
        <v>43</v>
      </c>
      <c r="H2" s="16" t="s">
        <v>193</v>
      </c>
      <c r="I2" s="15"/>
      <c r="J2" s="15" t="s">
        <v>119</v>
      </c>
    </row>
    <row r="3" spans="1:10" x14ac:dyDescent="0.25">
      <c r="A3" s="16" t="s">
        <v>77</v>
      </c>
      <c r="B3" s="7" t="s">
        <v>10</v>
      </c>
      <c r="C3" s="16" t="s">
        <v>301</v>
      </c>
      <c r="D3" s="15" t="s">
        <v>342</v>
      </c>
      <c r="E3" s="7" t="s">
        <v>10</v>
      </c>
      <c r="F3" s="7" t="s">
        <v>74</v>
      </c>
      <c r="G3" s="16" t="s">
        <v>43</v>
      </c>
      <c r="H3" s="16" t="s">
        <v>193</v>
      </c>
      <c r="I3" s="15"/>
      <c r="J3" s="15" t="s">
        <v>119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I2" sqref="I2"/>
    </sheetView>
  </sheetViews>
  <sheetFormatPr defaultRowHeight="15" x14ac:dyDescent="0.25"/>
  <cols>
    <col min="2" max="2" width="43.5703125" bestFit="1" customWidth="1" collapsed="1"/>
    <col min="3" max="3" width="10.28515625" bestFit="1" customWidth="1" collapsed="1"/>
    <col min="4" max="4" width="13.5703125" bestFit="1" customWidth="1" collapsed="1"/>
    <col min="5" max="5" width="7.7109375" bestFit="1" customWidth="1" collapsed="1"/>
    <col min="6" max="6" width="8.7109375" bestFit="1" customWidth="1" collapsed="1"/>
    <col min="7" max="7" width="6.5703125" bestFit="1" customWidth="1" collapsed="1"/>
    <col min="8" max="8" width="11.85546875" bestFit="1" customWidth="1" collapsed="1"/>
    <col min="9" max="9" width="19" bestFit="1" customWidth="1" collapsed="1"/>
    <col min="10" max="10" width="10.5703125" bestFit="1" customWidth="1" collapsed="1"/>
    <col min="11" max="11" width="19.28515625" bestFit="1" customWidth="1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9" t="s">
        <v>277</v>
      </c>
      <c r="F1" s="9" t="s">
        <v>90</v>
      </c>
      <c r="G1" s="9" t="s">
        <v>91</v>
      </c>
      <c r="H1" s="9" t="s">
        <v>92</v>
      </c>
      <c r="I1" s="16" t="s">
        <v>200</v>
      </c>
      <c r="J1" s="15" t="s">
        <v>118</v>
      </c>
      <c r="K1" s="2" t="s">
        <v>117</v>
      </c>
    </row>
    <row r="2" spans="1:11" x14ac:dyDescent="0.25">
      <c r="A2" s="9" t="s">
        <v>39</v>
      </c>
      <c r="B2" s="7" t="s">
        <v>341</v>
      </c>
      <c r="C2" s="9" t="s">
        <v>43</v>
      </c>
      <c r="D2" s="9" t="s">
        <v>343</v>
      </c>
      <c r="E2" s="7" t="s">
        <v>403</v>
      </c>
      <c r="F2" s="7" t="s">
        <v>531</v>
      </c>
      <c r="G2" s="7" t="s">
        <v>532</v>
      </c>
      <c r="H2" s="7" t="s">
        <v>533</v>
      </c>
      <c r="I2" s="16" t="s">
        <v>193</v>
      </c>
      <c r="J2" s="15" t="s">
        <v>119</v>
      </c>
      <c r="K2" s="15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0" sqref="F20"/>
    </sheetView>
  </sheetViews>
  <sheetFormatPr defaultRowHeight="15" x14ac:dyDescent="0.25"/>
  <cols>
    <col min="1" max="1" width="19.42578125" bestFit="1" customWidth="1" collapsed="1"/>
    <col min="2" max="3" width="10.42578125" bestFit="1" customWidth="1" collapsed="1"/>
    <col min="4" max="4" width="33.85546875" bestFit="1" customWidth="1" collapsed="1"/>
    <col min="5" max="5" width="9.28515625" customWidth="1" collapsed="1"/>
    <col min="6" max="6" width="10.28515625" bestFit="1" customWidth="1" collapsed="1"/>
  </cols>
  <sheetData>
    <row r="1" spans="1:6" x14ac:dyDescent="0.25">
      <c r="A1" s="15" t="s">
        <v>17</v>
      </c>
      <c r="B1" s="15" t="s">
        <v>18</v>
      </c>
      <c r="C1" s="15" t="s">
        <v>19</v>
      </c>
      <c r="D1" s="15" t="s">
        <v>4</v>
      </c>
      <c r="E1" s="15" t="s">
        <v>6</v>
      </c>
      <c r="F1" s="15" t="s">
        <v>42</v>
      </c>
    </row>
    <row r="2" spans="1:6" x14ac:dyDescent="0.25">
      <c r="A2" s="15" t="s">
        <v>315</v>
      </c>
      <c r="B2" s="15" t="str">
        <f ca="1">TEXT(NOW(),"YYYY-MM-DD")</f>
        <v>2026-09-15</v>
      </c>
      <c r="C2" s="15" t="str">
        <f ca="1">TEXT(NOW(),"YYYY-MM-DD")</f>
        <v>2026-09-15</v>
      </c>
      <c r="D2" s="15" t="s">
        <v>273</v>
      </c>
      <c r="E2" s="9" t="s">
        <v>39</v>
      </c>
      <c r="F2" s="15" t="s">
        <v>43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cols>
    <col min="2" max="2" width="25.140625" bestFit="1" customWidth="1" collapsed="1"/>
    <col min="3" max="3" width="10.5703125" bestFit="1" customWidth="1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7" t="s">
        <v>39</v>
      </c>
      <c r="B2" s="15" t="s">
        <v>166</v>
      </c>
      <c r="C2" s="15" t="s">
        <v>119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A2"/>
    </sheetView>
  </sheetViews>
  <sheetFormatPr defaultRowHeight="15" x14ac:dyDescent="0.25"/>
  <cols>
    <col min="1" max="1" width="15.42578125" bestFit="1" customWidth="1" collapsed="1"/>
    <col min="3" max="3" width="10.28515625" bestFit="1" customWidth="1" collapsed="1"/>
  </cols>
  <sheetData>
    <row r="1" spans="1:3" x14ac:dyDescent="0.25">
      <c r="A1" t="s">
        <v>57</v>
      </c>
      <c r="B1" s="16" t="s">
        <v>6</v>
      </c>
      <c r="C1" s="16" t="s">
        <v>42</v>
      </c>
    </row>
    <row r="2" spans="1:3" x14ac:dyDescent="0.25">
      <c r="A2" t="s">
        <v>301</v>
      </c>
      <c r="B2" s="7" t="s">
        <v>39</v>
      </c>
      <c r="C2" s="16" t="s">
        <v>43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D2" sqref="D2"/>
    </sheetView>
  </sheetViews>
  <sheetFormatPr defaultRowHeight="15" x14ac:dyDescent="0.25"/>
  <cols>
    <col min="2" max="2" width="43.5703125" bestFit="1" customWidth="1" collapsed="1"/>
    <col min="3" max="3" width="10.28515625" bestFit="1" customWidth="1" collapsed="1"/>
    <col min="4" max="4" width="13.5703125" bestFit="1" customWidth="1" collapsed="1"/>
    <col min="5" max="5" width="8.140625" bestFit="1" customWidth="1" collapsed="1"/>
    <col min="6" max="6" width="8.7109375" bestFit="1" customWidth="1" collapsed="1"/>
    <col min="7" max="7" width="8.140625" bestFit="1" customWidth="1" collapsed="1"/>
    <col min="8" max="8" width="11.85546875" bestFit="1" customWidth="1" collapsed="1"/>
    <col min="9" max="9" width="19" bestFit="1" customWidth="1" collapsed="1"/>
    <col min="10" max="10" width="10.5703125" bestFit="1" customWidth="1" collapsed="1"/>
    <col min="11" max="11" width="19.28515625" bestFit="1" customWidth="1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9" t="s">
        <v>277</v>
      </c>
      <c r="F1" s="9" t="s">
        <v>90</v>
      </c>
      <c r="G1" s="9" t="s">
        <v>91</v>
      </c>
      <c r="H1" s="9" t="s">
        <v>92</v>
      </c>
      <c r="I1" s="16" t="s">
        <v>200</v>
      </c>
      <c r="J1" s="15" t="s">
        <v>118</v>
      </c>
      <c r="K1" s="2" t="s">
        <v>117</v>
      </c>
    </row>
    <row r="2" spans="1:11" x14ac:dyDescent="0.25">
      <c r="A2" s="9" t="s">
        <v>39</v>
      </c>
      <c r="B2" s="7" t="s">
        <v>344</v>
      </c>
      <c r="C2" s="9" t="s">
        <v>43</v>
      </c>
      <c r="D2" s="9" t="s">
        <v>278</v>
      </c>
      <c r="E2" s="7" t="s">
        <v>403</v>
      </c>
      <c r="F2" s="7" t="s">
        <v>534</v>
      </c>
      <c r="G2" s="7" t="s">
        <v>529</v>
      </c>
      <c r="H2" s="7" t="s">
        <v>535</v>
      </c>
      <c r="I2" s="16" t="s">
        <v>193</v>
      </c>
      <c r="J2" s="15" t="s">
        <v>119</v>
      </c>
      <c r="K2" s="15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2" sqref="G2"/>
    </sheetView>
  </sheetViews>
  <sheetFormatPr defaultRowHeight="15" x14ac:dyDescent="0.25"/>
  <cols>
    <col min="1" max="1" width="17.5703125" bestFit="1" customWidth="1" collapsed="1"/>
    <col min="2" max="2" width="16.140625" bestFit="1" customWidth="1" collapsed="1"/>
    <col min="3" max="3" width="20" bestFit="1" customWidth="1" collapsed="1"/>
    <col min="4" max="4" width="17.5703125" bestFit="1" customWidth="1" collapsed="1"/>
    <col min="7" max="7" width="11" bestFit="1" customWidth="1" collapsed="1"/>
  </cols>
  <sheetData>
    <row r="1" spans="1:7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</v>
      </c>
      <c r="F1" s="15" t="s">
        <v>42</v>
      </c>
      <c r="G1" s="16" t="s">
        <v>57</v>
      </c>
    </row>
    <row r="2" spans="1:7" x14ac:dyDescent="0.25">
      <c r="A2" s="16" t="s">
        <v>347</v>
      </c>
      <c r="B2" s="16" t="s">
        <v>63</v>
      </c>
      <c r="C2" s="6" t="str">
        <f ca="1">TEXT(NOW(),"YYYY-MM-DD")</f>
        <v>2026-09-15</v>
      </c>
      <c r="D2" s="6" t="str">
        <f ca="1">TEXT(NOW(),"YYYY-MM-DD")</f>
        <v>2026-09-15</v>
      </c>
      <c r="E2" s="7" t="s">
        <v>39</v>
      </c>
      <c r="F2" s="16" t="s">
        <v>43</v>
      </c>
      <c r="G2" s="16" t="s">
        <v>348</v>
      </c>
    </row>
    <row r="3" spans="1:7" x14ac:dyDescent="0.25">
      <c r="A3" s="16" t="s">
        <v>347</v>
      </c>
      <c r="B3" s="16" t="s">
        <v>63</v>
      </c>
      <c r="C3" s="6" t="str">
        <f ca="1">TEXT(NOW(),"YYYY-MM-DD")</f>
        <v>2026-09-15</v>
      </c>
      <c r="D3" s="6" t="str">
        <f ca="1">TEXT(NOW(),"YYYY-MM-DD")</f>
        <v>2026-09-15</v>
      </c>
      <c r="E3" s="7" t="s">
        <v>70</v>
      </c>
      <c r="F3" s="16" t="s">
        <v>43</v>
      </c>
      <c r="G3" s="16" t="s">
        <v>349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A4" sqref="A4"/>
    </sheetView>
  </sheetViews>
  <sheetFormatPr defaultRowHeight="15" x14ac:dyDescent="0.25"/>
  <cols>
    <col min="1" max="1" width="13.5703125" bestFit="1" customWidth="1" collapsed="1"/>
    <col min="2" max="2" width="12.85546875" style="15" bestFit="1" customWidth="1" collapsed="1"/>
    <col min="3" max="3" width="12" bestFit="1" customWidth="1" collapsed="1"/>
    <col min="4" max="4" width="9.85546875" bestFit="1" customWidth="1" collapsed="1"/>
    <col min="5" max="5" width="12.7109375" bestFit="1" customWidth="1" collapsed="1"/>
    <col min="6" max="6" width="14" bestFit="1" customWidth="1" collapsed="1"/>
    <col min="7" max="7" width="8.5703125" customWidth="1" collapsed="1"/>
    <col min="8" max="8" width="37.140625" bestFit="1" customWidth="1" collapsed="1"/>
    <col min="9" max="9" width="19" bestFit="1" customWidth="1" collapsed="1"/>
    <col min="10" max="10" width="19.28515625" bestFit="1" customWidth="1" collapsed="1"/>
  </cols>
  <sheetData>
    <row r="1" spans="1:12" x14ac:dyDescent="0.25">
      <c r="A1" s="9" t="s">
        <v>89</v>
      </c>
      <c r="B1" s="15" t="s">
        <v>277</v>
      </c>
      <c r="C1" s="9" t="s">
        <v>90</v>
      </c>
      <c r="D1" s="9" t="s">
        <v>276</v>
      </c>
      <c r="E1" s="9" t="s">
        <v>91</v>
      </c>
      <c r="F1" s="9" t="s">
        <v>92</v>
      </c>
      <c r="G1" s="9" t="s">
        <v>6</v>
      </c>
      <c r="H1" s="9" t="s">
        <v>123</v>
      </c>
      <c r="I1" s="9" t="s">
        <v>42</v>
      </c>
      <c r="J1" s="16" t="s">
        <v>200</v>
      </c>
      <c r="K1" s="15" t="s">
        <v>117</v>
      </c>
    </row>
    <row r="2" spans="1:12" x14ac:dyDescent="0.25">
      <c r="A2" s="15" t="s">
        <v>352</v>
      </c>
      <c r="B2" s="15" t="s">
        <v>10</v>
      </c>
      <c r="C2" s="14" t="s">
        <v>536</v>
      </c>
      <c r="D2" s="23" t="s">
        <v>537</v>
      </c>
      <c r="E2" s="14" t="s">
        <v>538</v>
      </c>
      <c r="F2" s="14" t="s">
        <v>539</v>
      </c>
      <c r="G2" s="9" t="s">
        <v>73</v>
      </c>
      <c r="H2" s="7" t="s">
        <v>350</v>
      </c>
      <c r="I2" s="9" t="s">
        <v>43</v>
      </c>
      <c r="J2" s="16" t="s">
        <v>193</v>
      </c>
      <c r="K2" s="15"/>
    </row>
    <row r="3" spans="1:12" x14ac:dyDescent="0.25">
      <c r="A3" s="15" t="s">
        <v>358</v>
      </c>
      <c r="B3" s="15" t="s">
        <v>10</v>
      </c>
      <c r="C3" s="14" t="s">
        <v>540</v>
      </c>
      <c r="D3" s="23" t="s">
        <v>541</v>
      </c>
      <c r="E3" s="15" t="s">
        <v>542</v>
      </c>
      <c r="F3" s="14" t="s">
        <v>543</v>
      </c>
      <c r="G3" s="9" t="s">
        <v>74</v>
      </c>
      <c r="H3" s="7" t="s">
        <v>351</v>
      </c>
      <c r="I3" s="9" t="s">
        <v>43</v>
      </c>
      <c r="J3" s="16" t="s">
        <v>193</v>
      </c>
      <c r="K3" s="15"/>
    </row>
    <row r="4" spans="1:12" x14ac:dyDescent="0.25">
      <c r="A4" s="15" t="s">
        <v>364</v>
      </c>
      <c r="B4" s="15" t="s">
        <v>10</v>
      </c>
      <c r="C4" s="14" t="s">
        <v>550</v>
      </c>
      <c r="D4" s="23" t="s">
        <v>551</v>
      </c>
      <c r="E4" s="14" t="s">
        <v>552</v>
      </c>
      <c r="F4" s="14" t="s">
        <v>553</v>
      </c>
      <c r="G4" s="9" t="s">
        <v>96</v>
      </c>
      <c r="H4" s="7" t="s">
        <v>367</v>
      </c>
      <c r="I4" s="9" t="s">
        <v>43</v>
      </c>
      <c r="J4" s="16" t="s">
        <v>193</v>
      </c>
      <c r="K4" s="15"/>
      <c r="L4" s="15"/>
    </row>
    <row r="5" spans="1:12" x14ac:dyDescent="0.25">
      <c r="A5" s="15" t="s">
        <v>366</v>
      </c>
      <c r="B5" s="15" t="s">
        <v>10</v>
      </c>
      <c r="C5" s="14" t="s">
        <v>554</v>
      </c>
      <c r="D5" s="23" t="s">
        <v>555</v>
      </c>
      <c r="E5" s="15" t="s">
        <v>556</v>
      </c>
      <c r="F5" s="14" t="s">
        <v>557</v>
      </c>
      <c r="G5" s="9" t="s">
        <v>97</v>
      </c>
      <c r="H5" s="7" t="s">
        <v>368</v>
      </c>
      <c r="I5" s="9" t="s">
        <v>43</v>
      </c>
      <c r="J5" s="16" t="s">
        <v>193</v>
      </c>
      <c r="K5" s="15"/>
      <c r="L5" s="15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I3" sqref="I3"/>
    </sheetView>
  </sheetViews>
  <sheetFormatPr defaultRowHeight="15" x14ac:dyDescent="0.25"/>
  <cols>
    <col min="2" max="2" width="37.42578125" bestFit="1" customWidth="1" collapsed="1"/>
    <col min="3" max="3" width="10.28515625" bestFit="1" customWidth="1" collapsed="1"/>
    <col min="4" max="4" width="13.5703125" bestFit="1" customWidth="1" collapsed="1"/>
    <col min="5" max="6" width="12.85546875" bestFit="1" customWidth="1" collapsed="1"/>
    <col min="8" max="8" width="12.140625" bestFit="1" customWidth="1" collapsed="1"/>
    <col min="9" max="9" width="14" bestFit="1" customWidth="1" collapsed="1"/>
    <col min="10" max="10" width="19" bestFit="1" customWidth="1" collapsed="1"/>
    <col min="11" max="11" width="19.28515625" bestFit="1" customWidth="1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15" t="s">
        <v>277</v>
      </c>
      <c r="F1" s="9" t="s">
        <v>90</v>
      </c>
      <c r="G1" s="9" t="s">
        <v>276</v>
      </c>
      <c r="H1" s="9" t="s">
        <v>91</v>
      </c>
      <c r="I1" s="9" t="s">
        <v>92</v>
      </c>
      <c r="J1" s="16" t="s">
        <v>200</v>
      </c>
      <c r="K1" s="15" t="s">
        <v>117</v>
      </c>
    </row>
    <row r="2" spans="1:11" x14ac:dyDescent="0.25">
      <c r="A2" s="9" t="s">
        <v>39</v>
      </c>
      <c r="B2" s="7" t="s">
        <v>369</v>
      </c>
      <c r="C2" s="9" t="s">
        <v>43</v>
      </c>
      <c r="D2" s="15" t="s">
        <v>372</v>
      </c>
      <c r="E2" s="15" t="s">
        <v>371</v>
      </c>
      <c r="F2" s="14" t="s">
        <v>544</v>
      </c>
      <c r="G2" s="23" t="s">
        <v>374</v>
      </c>
      <c r="H2" s="14" t="s">
        <v>545</v>
      </c>
      <c r="I2" s="14" t="s">
        <v>546</v>
      </c>
      <c r="J2" s="16" t="s">
        <v>193</v>
      </c>
      <c r="K2" s="15"/>
    </row>
    <row r="3" spans="1:11" x14ac:dyDescent="0.25">
      <c r="A3" s="9" t="s">
        <v>70</v>
      </c>
      <c r="B3" s="7" t="s">
        <v>370</v>
      </c>
      <c r="C3" s="9" t="s">
        <v>43</v>
      </c>
      <c r="D3" s="15" t="s">
        <v>439</v>
      </c>
      <c r="E3" s="9" t="s">
        <v>10</v>
      </c>
      <c r="F3" s="14" t="s">
        <v>594</v>
      </c>
      <c r="G3" s="23">
        <v>-6543.83</v>
      </c>
      <c r="H3" s="14" t="s">
        <v>595</v>
      </c>
      <c r="I3" s="14" t="s">
        <v>596</v>
      </c>
      <c r="J3" s="16" t="s">
        <v>193</v>
      </c>
      <c r="K3" s="15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0" sqref="B10"/>
    </sheetView>
  </sheetViews>
  <sheetFormatPr defaultRowHeight="15" x14ac:dyDescent="0.25"/>
  <cols>
    <col min="1" max="1" width="11.28515625" bestFit="1" customWidth="1" collapsed="1"/>
    <col min="2" max="2" width="12.140625" bestFit="1" customWidth="1" collapsed="1"/>
    <col min="4" max="4" width="38" bestFit="1" customWidth="1" collapsed="1"/>
    <col min="5" max="5" width="10.28515625" bestFit="1" customWidth="1" collapsed="1"/>
    <col min="6" max="6" width="19" bestFit="1" customWidth="1" collapsed="1"/>
    <col min="7" max="7" width="19.28515625" bestFit="1" customWidth="1" collapsed="1"/>
  </cols>
  <sheetData>
    <row r="1" spans="1:7" x14ac:dyDescent="0.25">
      <c r="A1" s="6" t="s">
        <v>90</v>
      </c>
      <c r="B1" s="9" t="s">
        <v>330</v>
      </c>
      <c r="C1" s="9" t="s">
        <v>6</v>
      </c>
      <c r="D1" s="9" t="s">
        <v>123</v>
      </c>
      <c r="E1" s="9" t="s">
        <v>42</v>
      </c>
      <c r="F1" s="16" t="s">
        <v>200</v>
      </c>
      <c r="G1" s="15" t="s">
        <v>117</v>
      </c>
    </row>
    <row r="2" spans="1:7" x14ac:dyDescent="0.25">
      <c r="A2" s="14" t="s">
        <v>547</v>
      </c>
      <c r="B2" s="14" t="s">
        <v>331</v>
      </c>
      <c r="C2" s="9" t="s">
        <v>73</v>
      </c>
      <c r="D2" s="7" t="s">
        <v>380</v>
      </c>
      <c r="E2" s="9" t="s">
        <v>43</v>
      </c>
      <c r="F2" s="16" t="s">
        <v>193</v>
      </c>
      <c r="G2" s="15"/>
    </row>
    <row r="3" spans="1:7" x14ac:dyDescent="0.25">
      <c r="A3" s="14" t="s">
        <v>386</v>
      </c>
      <c r="B3" s="14" t="s">
        <v>331</v>
      </c>
      <c r="C3" s="9" t="s">
        <v>74</v>
      </c>
      <c r="D3" s="7" t="s">
        <v>381</v>
      </c>
      <c r="E3" s="9" t="s">
        <v>43</v>
      </c>
      <c r="F3" s="16" t="s">
        <v>193</v>
      </c>
      <c r="G3" s="15"/>
    </row>
    <row r="4" spans="1:7" x14ac:dyDescent="0.25">
      <c r="A4" s="14" t="s">
        <v>10</v>
      </c>
      <c r="B4" s="14" t="s">
        <v>331</v>
      </c>
      <c r="C4" s="9" t="s">
        <v>227</v>
      </c>
      <c r="D4" s="7" t="s">
        <v>382</v>
      </c>
      <c r="E4" s="9" t="s">
        <v>43</v>
      </c>
      <c r="F4" s="16" t="s">
        <v>193</v>
      </c>
      <c r="G4" s="15"/>
    </row>
    <row r="5" spans="1:7" x14ac:dyDescent="0.25">
      <c r="A5" s="14" t="s">
        <v>548</v>
      </c>
      <c r="B5" s="14" t="s">
        <v>331</v>
      </c>
      <c r="C5" s="9" t="s">
        <v>228</v>
      </c>
      <c r="D5" s="7" t="s">
        <v>383</v>
      </c>
      <c r="E5" s="9" t="s">
        <v>43</v>
      </c>
      <c r="F5" s="16" t="s">
        <v>193</v>
      </c>
      <c r="G5" s="15"/>
    </row>
    <row r="6" spans="1:7" x14ac:dyDescent="0.25">
      <c r="A6" s="14" t="s">
        <v>549</v>
      </c>
      <c r="B6" s="14" t="s">
        <v>331</v>
      </c>
      <c r="C6" s="9" t="s">
        <v>288</v>
      </c>
      <c r="D6" s="7" t="s">
        <v>384</v>
      </c>
      <c r="E6" s="9" t="s">
        <v>43</v>
      </c>
      <c r="F6" s="16" t="s">
        <v>193</v>
      </c>
      <c r="G6" s="15"/>
    </row>
    <row r="7" spans="1:7" x14ac:dyDescent="0.25">
      <c r="A7" s="14" t="s">
        <v>597</v>
      </c>
      <c r="B7" s="14" t="s">
        <v>78</v>
      </c>
      <c r="C7" s="9" t="s">
        <v>96</v>
      </c>
      <c r="D7" s="7" t="s">
        <v>380</v>
      </c>
      <c r="E7" s="9" t="s">
        <v>43</v>
      </c>
      <c r="F7" s="16" t="s">
        <v>193</v>
      </c>
      <c r="G7" s="15"/>
    </row>
    <row r="8" spans="1:7" x14ac:dyDescent="0.25">
      <c r="A8" s="14" t="s">
        <v>389</v>
      </c>
      <c r="B8" s="14" t="s">
        <v>78</v>
      </c>
      <c r="C8" s="9" t="s">
        <v>97</v>
      </c>
      <c r="D8" s="7" t="s">
        <v>381</v>
      </c>
      <c r="E8" s="9" t="s">
        <v>43</v>
      </c>
      <c r="F8" s="16" t="s">
        <v>193</v>
      </c>
      <c r="G8" s="15"/>
    </row>
    <row r="9" spans="1:7" x14ac:dyDescent="0.25">
      <c r="A9" s="14" t="s">
        <v>10</v>
      </c>
      <c r="B9" s="14" t="s">
        <v>78</v>
      </c>
      <c r="C9" s="9" t="s">
        <v>377</v>
      </c>
      <c r="D9" s="7" t="s">
        <v>382</v>
      </c>
      <c r="E9" s="9" t="s">
        <v>43</v>
      </c>
      <c r="F9" s="16" t="s">
        <v>193</v>
      </c>
      <c r="G9" s="15"/>
    </row>
    <row r="10" spans="1:7" x14ac:dyDescent="0.25">
      <c r="A10" s="14" t="s">
        <v>598</v>
      </c>
      <c r="B10" s="14" t="s">
        <v>78</v>
      </c>
      <c r="C10" s="9" t="s">
        <v>378</v>
      </c>
      <c r="D10" s="7" t="s">
        <v>383</v>
      </c>
      <c r="E10" s="9" t="s">
        <v>43</v>
      </c>
      <c r="F10" s="16" t="s">
        <v>193</v>
      </c>
      <c r="G10" s="15"/>
    </row>
    <row r="11" spans="1:7" x14ac:dyDescent="0.25">
      <c r="A11" s="14" t="s">
        <v>599</v>
      </c>
      <c r="B11" s="14" t="s">
        <v>78</v>
      </c>
      <c r="C11" s="9" t="s">
        <v>379</v>
      </c>
      <c r="D11" s="7" t="s">
        <v>384</v>
      </c>
      <c r="E11" s="9" t="s">
        <v>43</v>
      </c>
      <c r="F11" s="16" t="s">
        <v>193</v>
      </c>
      <c r="G11" s="15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A3" sqref="A3"/>
    </sheetView>
  </sheetViews>
  <sheetFormatPr defaultRowHeight="15" x14ac:dyDescent="0.25"/>
  <cols>
    <col min="1" max="1" width="15.7109375" bestFit="1" customWidth="1" collapsed="1"/>
    <col min="3" max="3" width="21.85546875" bestFit="1" customWidth="1" collapsed="1"/>
    <col min="4" max="4" width="10.28515625" bestFit="1" customWidth="1" collapsed="1"/>
    <col min="5" max="5" width="19" bestFit="1" customWidth="1" collapsed="1"/>
    <col min="6" max="6" width="19.28515625" bestFit="1" customWidth="1" collapsed="1"/>
  </cols>
  <sheetData>
    <row r="1" spans="1:6" x14ac:dyDescent="0.25">
      <c r="A1" s="15" t="s">
        <v>294</v>
      </c>
      <c r="B1" s="9" t="s">
        <v>6</v>
      </c>
      <c r="C1" s="9" t="s">
        <v>123</v>
      </c>
      <c r="D1" s="9" t="s">
        <v>42</v>
      </c>
      <c r="E1" s="16" t="s">
        <v>200</v>
      </c>
      <c r="F1" s="15" t="s">
        <v>117</v>
      </c>
    </row>
    <row r="2" spans="1:6" x14ac:dyDescent="0.25">
      <c r="A2" s="15" t="s">
        <v>545</v>
      </c>
      <c r="B2" s="9" t="s">
        <v>73</v>
      </c>
      <c r="C2" s="7" t="s">
        <v>299</v>
      </c>
      <c r="D2" s="9" t="s">
        <v>43</v>
      </c>
      <c r="E2" s="16" t="s">
        <v>193</v>
      </c>
      <c r="F2" s="15"/>
    </row>
    <row r="3" spans="1:6" x14ac:dyDescent="0.25">
      <c r="A3" s="15" t="s">
        <v>595</v>
      </c>
      <c r="B3" s="9" t="s">
        <v>96</v>
      </c>
      <c r="C3" s="7" t="s">
        <v>299</v>
      </c>
      <c r="D3" s="9" t="s">
        <v>43</v>
      </c>
      <c r="E3" s="16" t="s">
        <v>193</v>
      </c>
      <c r="F3" s="15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2" sqref="D2"/>
    </sheetView>
  </sheetViews>
  <sheetFormatPr defaultRowHeight="15" x14ac:dyDescent="0.25"/>
  <cols>
    <col min="1" max="1" width="18.7109375" bestFit="1" customWidth="1" collapsed="1"/>
    <col min="2" max="3" width="10.42578125" bestFit="1" customWidth="1" collapsed="1"/>
    <col min="4" max="4" width="31.42578125" bestFit="1" customWidth="1" collapsed="1"/>
    <col min="5" max="5" width="11.7109375" bestFit="1" customWidth="1" collapsed="1"/>
    <col min="8" max="8" width="25.140625" bestFit="1" customWidth="1" collapsed="1"/>
    <col min="9" max="9" width="10.5703125" bestFit="1" customWidth="1" collapsed="1"/>
  </cols>
  <sheetData>
    <row r="1" spans="1:9" x14ac:dyDescent="0.25">
      <c r="A1" s="16" t="s">
        <v>17</v>
      </c>
      <c r="B1" s="16" t="s">
        <v>18</v>
      </c>
      <c r="C1" s="16" t="s">
        <v>19</v>
      </c>
      <c r="D1" s="15" t="s">
        <v>4</v>
      </c>
      <c r="E1" s="15" t="s">
        <v>86</v>
      </c>
      <c r="F1" s="16" t="s">
        <v>6</v>
      </c>
      <c r="G1" s="15" t="s">
        <v>42</v>
      </c>
      <c r="H1" s="15" t="s">
        <v>117</v>
      </c>
      <c r="I1" s="16" t="s">
        <v>118</v>
      </c>
    </row>
    <row r="2" spans="1:9" x14ac:dyDescent="0.25">
      <c r="A2" s="16" t="s">
        <v>315</v>
      </c>
      <c r="B2" s="24" t="str">
        <f ca="1">TEXT(NOW(),"YYYY-MM-DD")</f>
        <v>2026-09-15</v>
      </c>
      <c r="C2" s="24" t="str">
        <f ca="1">TEXT(NOW(),"YYYY-MM-DD")</f>
        <v>2026-09-15</v>
      </c>
      <c r="D2" s="16" t="s">
        <v>268</v>
      </c>
      <c r="E2" s="16" t="s">
        <v>57</v>
      </c>
      <c r="F2" s="7" t="s">
        <v>39</v>
      </c>
      <c r="G2" s="16" t="s">
        <v>43</v>
      </c>
      <c r="H2" s="16" t="s">
        <v>166</v>
      </c>
      <c r="I2" s="16" t="s">
        <v>119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I13" sqref="I13"/>
    </sheetView>
  </sheetViews>
  <sheetFormatPr defaultRowHeight="15" x14ac:dyDescent="0.25"/>
  <cols>
    <col min="3" max="3" width="15.85546875" bestFit="1" customWidth="1" collapsed="1"/>
    <col min="4" max="4" width="13.5703125" style="15" bestFit="1" customWidth="1" collapsed="1"/>
    <col min="5" max="5" width="7.7109375" style="15" bestFit="1" customWidth="1" collapsed="1"/>
    <col min="7" max="7" width="10.28515625" bestFit="1" customWidth="1" collapsed="1"/>
    <col min="8" max="8" width="19" bestFit="1" customWidth="1" collapsed="1"/>
    <col min="9" max="9" width="19.28515625" bestFit="1" customWidth="1" collapsed="1"/>
    <col min="10" max="10" width="10.5703125" bestFit="1" customWidth="1" collapsed="1"/>
  </cols>
  <sheetData>
    <row r="1" spans="1:10" x14ac:dyDescent="0.25">
      <c r="A1" s="16" t="s">
        <v>36</v>
      </c>
      <c r="B1" s="16" t="s">
        <v>21</v>
      </c>
      <c r="C1" s="15" t="s">
        <v>20</v>
      </c>
      <c r="D1" s="15" t="s">
        <v>89</v>
      </c>
      <c r="E1" s="15" t="s">
        <v>277</v>
      </c>
      <c r="F1" s="16" t="s">
        <v>6</v>
      </c>
      <c r="G1" s="16" t="s">
        <v>42</v>
      </c>
      <c r="H1" s="15" t="s">
        <v>200</v>
      </c>
      <c r="I1" s="15" t="s">
        <v>117</v>
      </c>
      <c r="J1" s="16" t="s">
        <v>118</v>
      </c>
    </row>
    <row r="2" spans="1:10" x14ac:dyDescent="0.25">
      <c r="A2" s="16" t="s">
        <v>10</v>
      </c>
      <c r="B2" s="16" t="s">
        <v>78</v>
      </c>
      <c r="C2" s="16" t="s">
        <v>604</v>
      </c>
      <c r="D2" s="15" t="s">
        <v>390</v>
      </c>
      <c r="E2" s="7" t="s">
        <v>10</v>
      </c>
      <c r="F2" s="7" t="s">
        <v>73</v>
      </c>
      <c r="G2" s="16" t="s">
        <v>43</v>
      </c>
      <c r="H2" s="16" t="s">
        <v>193</v>
      </c>
      <c r="I2" s="15"/>
      <c r="J2" s="15" t="s">
        <v>119</v>
      </c>
    </row>
    <row r="3" spans="1:10" x14ac:dyDescent="0.25">
      <c r="A3" s="16" t="s">
        <v>37</v>
      </c>
      <c r="B3" s="16" t="s">
        <v>10</v>
      </c>
      <c r="C3" s="16" t="s">
        <v>84</v>
      </c>
      <c r="D3" s="15" t="s">
        <v>304</v>
      </c>
      <c r="E3" s="7" t="s">
        <v>10</v>
      </c>
      <c r="F3" s="7" t="s">
        <v>74</v>
      </c>
      <c r="G3" s="16" t="s">
        <v>43</v>
      </c>
      <c r="H3" s="16" t="s">
        <v>193</v>
      </c>
      <c r="I3" s="15"/>
      <c r="J3" s="15" t="s">
        <v>119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sqref="A1:K2"/>
    </sheetView>
  </sheetViews>
  <sheetFormatPr defaultRowHeight="15" x14ac:dyDescent="0.25"/>
  <cols>
    <col min="2" max="2" width="24.42578125" bestFit="1" customWidth="1" collapsed="1"/>
    <col min="3" max="3" width="10.28515625" bestFit="1" customWidth="1" collapsed="1"/>
    <col min="4" max="4" width="13.5703125" bestFit="1" customWidth="1" collapsed="1"/>
    <col min="5" max="5" width="7.7109375" bestFit="1" customWidth="1" collapsed="1"/>
    <col min="6" max="6" width="8.7109375" bestFit="1" customWidth="1" collapsed="1"/>
    <col min="7" max="7" width="6.5703125" bestFit="1" customWidth="1" collapsed="1"/>
    <col min="8" max="8" width="11.85546875" bestFit="1" customWidth="1" collapsed="1"/>
    <col min="9" max="9" width="19" bestFit="1" customWidth="1" collapsed="1"/>
    <col min="10" max="10" width="10.5703125" bestFit="1" customWidth="1" collapsed="1"/>
    <col min="11" max="11" width="19.28515625" bestFit="1" customWidth="1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9" t="s">
        <v>277</v>
      </c>
      <c r="F1" s="9" t="s">
        <v>90</v>
      </c>
      <c r="G1" s="9" t="s">
        <v>91</v>
      </c>
      <c r="H1" s="9" t="s">
        <v>92</v>
      </c>
      <c r="I1" s="16" t="s">
        <v>200</v>
      </c>
      <c r="J1" s="15" t="s">
        <v>118</v>
      </c>
      <c r="K1" s="2" t="s">
        <v>117</v>
      </c>
    </row>
    <row r="2" spans="1:11" x14ac:dyDescent="0.25">
      <c r="A2" s="9" t="s">
        <v>39</v>
      </c>
      <c r="B2" s="7" t="s">
        <v>391</v>
      </c>
      <c r="C2" s="9" t="s">
        <v>43</v>
      </c>
      <c r="D2" s="9" t="s">
        <v>392</v>
      </c>
      <c r="E2" s="7" t="s">
        <v>393</v>
      </c>
      <c r="F2" s="7" t="s">
        <v>394</v>
      </c>
      <c r="G2" s="7" t="s">
        <v>395</v>
      </c>
      <c r="H2" s="7" t="s">
        <v>396</v>
      </c>
      <c r="I2" s="16" t="s">
        <v>193</v>
      </c>
      <c r="J2" s="15" t="s">
        <v>119</v>
      </c>
      <c r="K2" s="15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D2" sqref="D2"/>
    </sheetView>
  </sheetViews>
  <sheetFormatPr defaultRowHeight="15" x14ac:dyDescent="0.25"/>
  <cols>
    <col min="1" max="1" width="18.7109375" bestFit="1" customWidth="1" collapsed="1"/>
    <col min="2" max="3" width="10.42578125" bestFit="1" customWidth="1" collapsed="1"/>
    <col min="4" max="5" width="13.5703125" bestFit="1" customWidth="1" collapsed="1"/>
    <col min="6" max="6" width="16.42578125" bestFit="1" customWidth="1" collapsed="1"/>
    <col min="7" max="7" width="12" bestFit="1" customWidth="1" collapsed="1"/>
    <col min="8" max="8" width="12.140625" bestFit="1" customWidth="1" collapsed="1"/>
    <col min="10" max="11" width="10.28515625" bestFit="1" customWidth="1" collapsed="1"/>
    <col min="12" max="12" width="19" bestFit="1" customWidth="1" collapsed="1"/>
    <col min="13" max="13" width="10.5703125" bestFit="1" customWidth="1" collapsed="1"/>
  </cols>
  <sheetData>
    <row r="1" spans="1:14" x14ac:dyDescent="0.25">
      <c r="A1" s="15" t="s">
        <v>17</v>
      </c>
      <c r="B1" s="15" t="s">
        <v>18</v>
      </c>
      <c r="C1" s="15" t="s">
        <v>19</v>
      </c>
      <c r="D1" s="9" t="s">
        <v>89</v>
      </c>
      <c r="E1" s="9" t="s">
        <v>277</v>
      </c>
      <c r="F1" s="9" t="s">
        <v>440</v>
      </c>
      <c r="G1" s="9" t="s">
        <v>91</v>
      </c>
      <c r="H1" s="9" t="s">
        <v>92</v>
      </c>
      <c r="I1" s="15" t="s">
        <v>6</v>
      </c>
      <c r="J1" s="15" t="s">
        <v>42</v>
      </c>
      <c r="K1" s="15" t="s">
        <v>200</v>
      </c>
      <c r="L1" s="15" t="s">
        <v>117</v>
      </c>
      <c r="M1" s="16" t="s">
        <v>118</v>
      </c>
      <c r="N1" s="15" t="s">
        <v>86</v>
      </c>
    </row>
    <row r="2" spans="1:14" x14ac:dyDescent="0.25">
      <c r="A2" s="15" t="s">
        <v>315</v>
      </c>
      <c r="B2" s="15" t="str">
        <f ca="1">TEXT(NOW(),"YYYY-MM-DD")</f>
        <v>2026-09-15</v>
      </c>
      <c r="C2" s="15" t="str">
        <f ca="1">TEXT(NOW(),"YYYY-MM-DD")</f>
        <v>2026-09-15</v>
      </c>
      <c r="D2" s="9" t="s">
        <v>398</v>
      </c>
      <c r="E2" s="7" t="s">
        <v>399</v>
      </c>
      <c r="F2" s="7" t="s">
        <v>400</v>
      </c>
      <c r="G2" s="7" t="s">
        <v>401</v>
      </c>
      <c r="H2" s="7" t="s">
        <v>402</v>
      </c>
      <c r="I2" s="9" t="s">
        <v>39</v>
      </c>
      <c r="J2" s="16" t="s">
        <v>43</v>
      </c>
      <c r="K2" s="16" t="s">
        <v>193</v>
      </c>
      <c r="L2" s="15"/>
      <c r="M2" s="15" t="s">
        <v>119</v>
      </c>
      <c r="N2" s="15" t="s">
        <v>57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C2" sqref="C2"/>
    </sheetView>
  </sheetViews>
  <sheetFormatPr defaultRowHeight="15" x14ac:dyDescent="0.25"/>
  <cols>
    <col min="3" max="3" width="15.85546875" bestFit="1" customWidth="1" collapsed="1"/>
    <col min="4" max="4" width="13.5703125" bestFit="1" customWidth="1" collapsed="1"/>
    <col min="5" max="5" width="13.5703125" style="15" customWidth="1" collapsed="1"/>
    <col min="7" max="7" width="10.28515625" bestFit="1" customWidth="1" collapsed="1"/>
    <col min="8" max="8" width="19" bestFit="1" customWidth="1" collapsed="1"/>
  </cols>
  <sheetData>
    <row r="1" spans="1:10" x14ac:dyDescent="0.25">
      <c r="A1" s="16" t="s">
        <v>36</v>
      </c>
      <c r="B1" s="16" t="s">
        <v>21</v>
      </c>
      <c r="C1" s="15" t="s">
        <v>20</v>
      </c>
      <c r="D1" s="15" t="s">
        <v>89</v>
      </c>
      <c r="E1" s="9" t="s">
        <v>277</v>
      </c>
      <c r="F1" s="16" t="s">
        <v>6</v>
      </c>
      <c r="G1" s="16" t="s">
        <v>42</v>
      </c>
      <c r="H1" s="16" t="s">
        <v>200</v>
      </c>
      <c r="I1" s="16" t="s">
        <v>118</v>
      </c>
      <c r="J1" s="15" t="s">
        <v>117</v>
      </c>
    </row>
    <row r="2" spans="1:10" x14ac:dyDescent="0.25">
      <c r="A2" s="16" t="s">
        <v>55</v>
      </c>
      <c r="B2" s="16" t="s">
        <v>37</v>
      </c>
      <c r="C2" s="16" t="s">
        <v>84</v>
      </c>
      <c r="D2" s="15" t="s">
        <v>441</v>
      </c>
      <c r="E2" s="7" t="s">
        <v>403</v>
      </c>
      <c r="F2" s="7" t="s">
        <v>73</v>
      </c>
      <c r="G2" s="16" t="s">
        <v>43</v>
      </c>
      <c r="H2" s="16" t="s">
        <v>193</v>
      </c>
      <c r="I2" s="15" t="s">
        <v>119</v>
      </c>
      <c r="J2" s="15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2" sqref="D2"/>
    </sheetView>
  </sheetViews>
  <sheetFormatPr defaultRowHeight="15" x14ac:dyDescent="0.25"/>
  <cols>
    <col min="1" max="1" width="9.140625" style="15" collapsed="1"/>
    <col min="2" max="2" width="40" style="15" bestFit="1" customWidth="1" collapsed="1"/>
    <col min="3" max="3" width="10.28515625" style="15" bestFit="1" customWidth="1" collapsed="1"/>
    <col min="4" max="4" width="13.5703125" style="15" bestFit="1" customWidth="1" collapsed="1"/>
    <col min="5" max="5" width="8.140625" style="15" bestFit="1" customWidth="1" collapsed="1"/>
    <col min="6" max="6" width="8.7109375" style="15" bestFit="1" customWidth="1" collapsed="1"/>
    <col min="7" max="7" width="8.140625" style="15" bestFit="1" customWidth="1" collapsed="1"/>
    <col min="8" max="8" width="11.85546875" style="15" bestFit="1" customWidth="1" collapsed="1"/>
    <col min="9" max="9" width="19" style="15" bestFit="1" customWidth="1" collapsed="1"/>
    <col min="10" max="10" width="10.5703125" style="15" bestFit="1" customWidth="1" collapsed="1"/>
    <col min="11" max="11" width="19.28515625" style="15" bestFit="1" customWidth="1" collapsed="1"/>
    <col min="12" max="12" width="20.28515625" style="15" bestFit="1" customWidth="1" collapsed="1"/>
    <col min="13" max="16384" width="9.140625" style="15" collapsed="1"/>
  </cols>
  <sheetData>
    <row r="1" spans="1:12" x14ac:dyDescent="0.25">
      <c r="A1" s="9" t="s">
        <v>6</v>
      </c>
      <c r="B1" s="9" t="s">
        <v>123</v>
      </c>
      <c r="C1" s="9" t="s">
        <v>42</v>
      </c>
      <c r="D1" s="9" t="s">
        <v>89</v>
      </c>
      <c r="E1" s="9" t="s">
        <v>277</v>
      </c>
      <c r="F1" s="9" t="s">
        <v>90</v>
      </c>
      <c r="G1" s="9" t="s">
        <v>91</v>
      </c>
      <c r="H1" s="9" t="s">
        <v>92</v>
      </c>
      <c r="I1" s="16" t="s">
        <v>200</v>
      </c>
      <c r="J1" s="15" t="s">
        <v>118</v>
      </c>
      <c r="K1" s="2" t="s">
        <v>117</v>
      </c>
      <c r="L1" s="15" t="s">
        <v>57</v>
      </c>
    </row>
    <row r="2" spans="1:12" x14ac:dyDescent="0.25">
      <c r="A2" s="9" t="s">
        <v>39</v>
      </c>
      <c r="B2" s="7" t="s">
        <v>404</v>
      </c>
      <c r="C2" s="9" t="s">
        <v>43</v>
      </c>
      <c r="D2" s="9" t="s">
        <v>405</v>
      </c>
      <c r="E2" s="7" t="s">
        <v>406</v>
      </c>
      <c r="F2" s="7" t="s">
        <v>407</v>
      </c>
      <c r="G2" s="7" t="s">
        <v>408</v>
      </c>
      <c r="H2" s="7" t="s">
        <v>409</v>
      </c>
      <c r="I2" s="16" t="s">
        <v>193</v>
      </c>
      <c r="J2" s="15" t="s">
        <v>119</v>
      </c>
      <c r="L2" s="15" t="s">
        <v>72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2" sqref="D2"/>
    </sheetView>
  </sheetViews>
  <sheetFormatPr defaultRowHeight="15" x14ac:dyDescent="0.25"/>
  <cols>
    <col min="2" max="2" width="40" bestFit="1" customWidth="1" collapsed="1"/>
    <col min="3" max="3" width="10.28515625" bestFit="1" customWidth="1" collapsed="1"/>
    <col min="4" max="4" width="26.5703125" bestFit="1" customWidth="1" collapsed="1"/>
    <col min="5" max="5" width="20.140625" bestFit="1" customWidth="1" collapsed="1"/>
    <col min="6" max="6" width="20.5703125" bestFit="1" customWidth="1" collapsed="1"/>
    <col min="7" max="7" width="15.7109375" bestFit="1" customWidth="1" collapsed="1"/>
    <col min="8" max="8" width="24.85546875" bestFit="1" customWidth="1" collapsed="1"/>
    <col min="9" max="9" width="19" bestFit="1" customWidth="1" collapsed="1"/>
    <col min="10" max="10" width="10.5703125" bestFit="1" customWidth="1" collapsed="1"/>
    <col min="11" max="11" width="19.28515625" bestFit="1" customWidth="1" collapsed="1"/>
    <col min="12" max="12" width="20.28515625" bestFit="1" customWidth="1" collapsed="1"/>
  </cols>
  <sheetData>
    <row r="1" spans="1:12" x14ac:dyDescent="0.25">
      <c r="A1" s="9" t="s">
        <v>6</v>
      </c>
      <c r="B1" s="9" t="s">
        <v>123</v>
      </c>
      <c r="C1" s="9" t="s">
        <v>42</v>
      </c>
      <c r="D1" s="9" t="s">
        <v>89</v>
      </c>
      <c r="E1" s="9" t="s">
        <v>277</v>
      </c>
      <c r="F1" s="9" t="s">
        <v>90</v>
      </c>
      <c r="G1" s="9" t="s">
        <v>91</v>
      </c>
      <c r="H1" s="9" t="s">
        <v>92</v>
      </c>
      <c r="I1" s="16" t="s">
        <v>200</v>
      </c>
      <c r="J1" s="15" t="s">
        <v>118</v>
      </c>
      <c r="K1" s="2" t="s">
        <v>117</v>
      </c>
      <c r="L1" t="s">
        <v>57</v>
      </c>
    </row>
    <row r="2" spans="1:12" x14ac:dyDescent="0.25">
      <c r="A2" s="9" t="s">
        <v>39</v>
      </c>
      <c r="B2" s="7" t="s">
        <v>404</v>
      </c>
      <c r="C2" s="9" t="s">
        <v>43</v>
      </c>
      <c r="D2" s="9" t="s">
        <v>502</v>
      </c>
      <c r="E2" s="7" t="s">
        <v>491</v>
      </c>
      <c r="F2" s="7" t="s">
        <v>503</v>
      </c>
      <c r="G2" s="7" t="s">
        <v>504</v>
      </c>
      <c r="H2" s="7" t="s">
        <v>505</v>
      </c>
      <c r="I2" s="16" t="s">
        <v>193</v>
      </c>
      <c r="J2" s="15" t="s">
        <v>119</v>
      </c>
      <c r="K2" s="15"/>
      <c r="L2" t="s">
        <v>72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RowHeight="15" x14ac:dyDescent="0.25"/>
  <cols>
    <col min="1" max="1" width="18.7109375" bestFit="1" customWidth="1" collapsed="1"/>
    <col min="2" max="3" width="10.42578125" bestFit="1" customWidth="1" collapsed="1"/>
    <col min="5" max="5" width="10.28515625" bestFit="1" customWidth="1" collapsed="1"/>
    <col min="6" max="6" width="19.28515625" style="15" bestFit="1" customWidth="1" collapsed="1"/>
    <col min="7" max="7" width="10.5703125" style="15" bestFit="1" customWidth="1" collapsed="1"/>
    <col min="8" max="8" width="20.28515625" bestFit="1" customWidth="1" collapsed="1"/>
    <col min="9" max="9" width="11.7109375" bestFit="1" customWidth="1" collapsed="1"/>
  </cols>
  <sheetData>
    <row r="1" spans="1:9" x14ac:dyDescent="0.25">
      <c r="A1" s="15" t="s">
        <v>17</v>
      </c>
      <c r="B1" s="15" t="s">
        <v>18</v>
      </c>
      <c r="C1" s="15" t="s">
        <v>19</v>
      </c>
      <c r="D1" s="15" t="s">
        <v>6</v>
      </c>
      <c r="E1" s="15" t="s">
        <v>42</v>
      </c>
      <c r="F1" s="15" t="s">
        <v>117</v>
      </c>
      <c r="G1" s="16" t="s">
        <v>118</v>
      </c>
      <c r="H1" s="15" t="s">
        <v>56</v>
      </c>
      <c r="I1" s="15" t="s">
        <v>86</v>
      </c>
    </row>
    <row r="2" spans="1:9" x14ac:dyDescent="0.25">
      <c r="A2" s="15" t="s">
        <v>315</v>
      </c>
      <c r="B2" s="15" t="str">
        <f ca="1">TEXT(NOW(),"YYYY-MM-DD")</f>
        <v>2026-09-15</v>
      </c>
      <c r="C2" s="15" t="str">
        <f ca="1">TEXT(NOW(),"YYYY-MM-DD")</f>
        <v>2026-09-15</v>
      </c>
      <c r="D2" s="9" t="s">
        <v>39</v>
      </c>
      <c r="E2" s="16" t="s">
        <v>43</v>
      </c>
      <c r="G2" s="15" t="s">
        <v>119</v>
      </c>
      <c r="H2" s="15" t="s">
        <v>397</v>
      </c>
      <c r="I2" s="15" t="s">
        <v>57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J3" sqref="J3"/>
    </sheetView>
  </sheetViews>
  <sheetFormatPr defaultRowHeight="15" x14ac:dyDescent="0.25"/>
  <cols>
    <col min="2" max="2" width="40.85546875" bestFit="1" customWidth="1" collapsed="1"/>
    <col min="4" max="4" width="13.5703125" bestFit="1" customWidth="1" collapsed="1"/>
    <col min="5" max="5" width="8.140625" bestFit="1" customWidth="1" collapsed="1"/>
    <col min="6" max="6" width="8.7109375" bestFit="1" customWidth="1" collapsed="1"/>
    <col min="7" max="7" width="8.140625" bestFit="1" customWidth="1" collapsed="1"/>
    <col min="8" max="8" width="11.85546875" bestFit="1" customWidth="1" collapsed="1"/>
    <col min="9" max="9" width="19" bestFit="1" customWidth="1" collapsed="1"/>
    <col min="11" max="11" width="19.28515625" bestFit="1" customWidth="1" collapsed="1"/>
    <col min="12" max="12" width="20.28515625" bestFit="1" customWidth="1" collapsed="1"/>
  </cols>
  <sheetData>
    <row r="1" spans="1:12" x14ac:dyDescent="0.25">
      <c r="A1" s="9" t="s">
        <v>6</v>
      </c>
      <c r="B1" s="9" t="s">
        <v>123</v>
      </c>
      <c r="C1" s="9" t="s">
        <v>42</v>
      </c>
      <c r="D1" s="9" t="s">
        <v>89</v>
      </c>
      <c r="E1" s="9" t="s">
        <v>277</v>
      </c>
      <c r="F1" s="9" t="s">
        <v>90</v>
      </c>
      <c r="G1" s="9" t="s">
        <v>91</v>
      </c>
      <c r="H1" s="9" t="s">
        <v>92</v>
      </c>
      <c r="I1" s="16" t="s">
        <v>200</v>
      </c>
      <c r="J1" s="15" t="s">
        <v>118</v>
      </c>
      <c r="K1" s="2" t="s">
        <v>117</v>
      </c>
      <c r="L1" t="s">
        <v>56</v>
      </c>
    </row>
    <row r="2" spans="1:12" x14ac:dyDescent="0.25">
      <c r="A2" s="9" t="s">
        <v>73</v>
      </c>
      <c r="B2" s="7" t="s">
        <v>428</v>
      </c>
      <c r="C2" s="9" t="s">
        <v>43</v>
      </c>
      <c r="D2" s="9" t="s">
        <v>278</v>
      </c>
      <c r="E2" s="7" t="s">
        <v>279</v>
      </c>
      <c r="F2" s="7" t="s">
        <v>345</v>
      </c>
      <c r="G2" s="7" t="s">
        <v>282</v>
      </c>
      <c r="H2" s="7" t="s">
        <v>283</v>
      </c>
      <c r="I2" s="16" t="s">
        <v>193</v>
      </c>
      <c r="J2" s="15" t="s">
        <v>119</v>
      </c>
      <c r="K2" s="15"/>
      <c r="L2" t="s">
        <v>72</v>
      </c>
    </row>
    <row r="3" spans="1:12" x14ac:dyDescent="0.25">
      <c r="A3" s="9" t="s">
        <v>74</v>
      </c>
      <c r="B3" s="7" t="s">
        <v>429</v>
      </c>
      <c r="C3" s="9" t="s">
        <v>43</v>
      </c>
      <c r="D3" s="9" t="s">
        <v>278</v>
      </c>
      <c r="E3" s="7" t="s">
        <v>279</v>
      </c>
      <c r="F3" s="7" t="s">
        <v>345</v>
      </c>
      <c r="G3" s="7" t="s">
        <v>282</v>
      </c>
      <c r="H3" s="7" t="s">
        <v>283</v>
      </c>
      <c r="I3" s="16" t="s">
        <v>193</v>
      </c>
      <c r="J3" s="15" t="s">
        <v>119</v>
      </c>
      <c r="K3" s="15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2" sqref="D2"/>
    </sheetView>
  </sheetViews>
  <sheetFormatPr defaultRowHeight="15" x14ac:dyDescent="0.25"/>
  <cols>
    <col min="1" max="1" width="18.7109375" bestFit="1" customWidth="1" collapsed="1"/>
    <col min="2" max="3" width="10.42578125" bestFit="1" customWidth="1" collapsed="1"/>
    <col min="4" max="4" width="31.42578125" bestFit="1" customWidth="1" collapsed="1"/>
    <col min="5" max="5" width="11.7109375" bestFit="1" customWidth="1" collapsed="1"/>
    <col min="7" max="7" width="10.28515625" bestFit="1" customWidth="1" collapsed="1"/>
    <col min="8" max="8" width="25.140625" bestFit="1" customWidth="1" collapsed="1"/>
  </cols>
  <sheetData>
    <row r="1" spans="1:8" x14ac:dyDescent="0.25">
      <c r="A1" s="16" t="s">
        <v>17</v>
      </c>
      <c r="B1" s="16" t="s">
        <v>18</v>
      </c>
      <c r="C1" s="16" t="s">
        <v>19</v>
      </c>
      <c r="D1" s="15" t="s">
        <v>4</v>
      </c>
      <c r="E1" s="15" t="s">
        <v>86</v>
      </c>
      <c r="F1" s="16" t="s">
        <v>6</v>
      </c>
      <c r="G1" s="15" t="s">
        <v>42</v>
      </c>
      <c r="H1" s="15" t="s">
        <v>117</v>
      </c>
    </row>
    <row r="2" spans="1:8" x14ac:dyDescent="0.25">
      <c r="A2" s="16" t="s">
        <v>315</v>
      </c>
      <c r="B2" s="24" t="str">
        <f ca="1">TEXT(NOW(),"YYYY-MM-DD")</f>
        <v>2026-09-15</v>
      </c>
      <c r="C2" s="24" t="str">
        <f ca="1">TEXT(NOW(),"YYYY-MM-DD")</f>
        <v>2026-09-15</v>
      </c>
      <c r="D2" s="16" t="s">
        <v>272</v>
      </c>
      <c r="E2" s="16" t="s">
        <v>57</v>
      </c>
      <c r="F2" s="7" t="s">
        <v>39</v>
      </c>
      <c r="G2" s="16" t="s">
        <v>43</v>
      </c>
      <c r="H2" s="16" t="s">
        <v>166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2" sqref="B2"/>
    </sheetView>
  </sheetViews>
  <sheetFormatPr defaultRowHeight="15" x14ac:dyDescent="0.25"/>
  <cols>
    <col min="2" max="2" width="15.42578125" bestFit="1" customWidth="1" collapsed="1"/>
    <col min="5" max="5" width="10.5703125" bestFit="1" customWidth="1" collapsed="1"/>
  </cols>
  <sheetData>
    <row r="1" spans="1:5" x14ac:dyDescent="0.25">
      <c r="A1" s="16" t="s">
        <v>6</v>
      </c>
      <c r="B1" s="15" t="s">
        <v>57</v>
      </c>
      <c r="C1" s="16" t="s">
        <v>42</v>
      </c>
      <c r="D1" s="15" t="s">
        <v>117</v>
      </c>
      <c r="E1" s="16" t="s">
        <v>118</v>
      </c>
    </row>
    <row r="2" spans="1:5" x14ac:dyDescent="0.25">
      <c r="A2" s="7" t="s">
        <v>73</v>
      </c>
      <c r="B2" s="15" t="s">
        <v>84</v>
      </c>
      <c r="C2" s="16" t="s">
        <v>43</v>
      </c>
      <c r="D2" s="15"/>
      <c r="E2" s="15" t="s">
        <v>119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sqref="A1:K2"/>
    </sheetView>
  </sheetViews>
  <sheetFormatPr defaultRowHeight="15" x14ac:dyDescent="0.25"/>
  <cols>
    <col min="2" max="2" width="24.42578125" bestFit="1" customWidth="1" collapsed="1"/>
    <col min="3" max="3" width="10.28515625" bestFit="1" customWidth="1" collapsed="1"/>
    <col min="4" max="4" width="13.5703125" bestFit="1" customWidth="1" collapsed="1"/>
    <col min="6" max="6" width="8.7109375" bestFit="1" customWidth="1" collapsed="1"/>
    <col min="7" max="7" width="8.140625" bestFit="1" customWidth="1" collapsed="1"/>
    <col min="8" max="8" width="11.85546875" bestFit="1" customWidth="1" collapsed="1"/>
    <col min="10" max="10" width="10.5703125" bestFit="1" customWidth="1" collapsed="1"/>
    <col min="11" max="11" width="19.28515625" bestFit="1" customWidth="1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9" t="s">
        <v>277</v>
      </c>
      <c r="F1" s="9" t="s">
        <v>90</v>
      </c>
      <c r="G1" s="9" t="s">
        <v>91</v>
      </c>
      <c r="H1" s="9" t="s">
        <v>92</v>
      </c>
      <c r="I1" s="16" t="s">
        <v>200</v>
      </c>
      <c r="J1" s="15" t="s">
        <v>118</v>
      </c>
      <c r="K1" s="2" t="s">
        <v>117</v>
      </c>
    </row>
    <row r="2" spans="1:11" x14ac:dyDescent="0.25">
      <c r="A2" s="9" t="s">
        <v>39</v>
      </c>
      <c r="B2" s="7" t="s">
        <v>410</v>
      </c>
      <c r="C2" s="9" t="s">
        <v>43</v>
      </c>
      <c r="D2" s="9" t="s">
        <v>278</v>
      </c>
      <c r="E2" s="7" t="s">
        <v>279</v>
      </c>
      <c r="F2" s="7" t="s">
        <v>345</v>
      </c>
      <c r="G2" s="7" t="s">
        <v>282</v>
      </c>
      <c r="H2" s="7" t="s">
        <v>283</v>
      </c>
      <c r="I2" s="16" t="s">
        <v>193</v>
      </c>
      <c r="J2" s="15" t="s">
        <v>119</v>
      </c>
      <c r="K2" s="15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1" max="1" width="20.28515625" bestFit="1" customWidth="1" collapsed="1"/>
  </cols>
  <sheetData>
    <row r="1" spans="1:2" x14ac:dyDescent="0.25">
      <c r="A1" s="15" t="s">
        <v>57</v>
      </c>
      <c r="B1" s="15" t="s">
        <v>6</v>
      </c>
    </row>
    <row r="2" spans="1:2" x14ac:dyDescent="0.25">
      <c r="A2" s="15" t="s">
        <v>72</v>
      </c>
      <c r="B2" s="9" t="s">
        <v>39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2" sqref="G2"/>
    </sheetView>
  </sheetViews>
  <sheetFormatPr defaultRowHeight="15" x14ac:dyDescent="0.25"/>
  <cols>
    <col min="1" max="1" width="15" bestFit="1" customWidth="1" collapsed="1"/>
    <col min="2" max="2" width="16.140625" bestFit="1" customWidth="1" collapsed="1"/>
    <col min="3" max="3" width="20" bestFit="1" customWidth="1" collapsed="1"/>
    <col min="4" max="4" width="17.5703125" bestFit="1" customWidth="1" collapsed="1"/>
    <col min="6" max="6" width="10.28515625" bestFit="1" customWidth="1" collapsed="1"/>
    <col min="7" max="7" width="8" bestFit="1" customWidth="1" collapsed="1"/>
  </cols>
  <sheetData>
    <row r="1" spans="1:7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</v>
      </c>
      <c r="F1" s="15" t="s">
        <v>42</v>
      </c>
      <c r="G1" s="16" t="s">
        <v>57</v>
      </c>
    </row>
    <row r="2" spans="1:7" x14ac:dyDescent="0.25">
      <c r="A2" s="16" t="s">
        <v>346</v>
      </c>
      <c r="B2" s="16" t="s">
        <v>63</v>
      </c>
      <c r="C2" s="6" t="str">
        <f ca="1">TEXT(NOW(),"YYYY-MM-DD")</f>
        <v>2026-09-15</v>
      </c>
      <c r="D2" s="6" t="str">
        <f ca="1">TEXT(NOW(),"YYYY-MM-DD")</f>
        <v>2026-09-15</v>
      </c>
      <c r="E2" s="7" t="s">
        <v>39</v>
      </c>
      <c r="F2" s="16" t="s">
        <v>43</v>
      </c>
      <c r="G2" s="16" t="s">
        <v>412</v>
      </c>
    </row>
    <row r="3" spans="1:7" x14ac:dyDescent="0.25">
      <c r="A3" s="16" t="s">
        <v>346</v>
      </c>
      <c r="B3" s="16" t="s">
        <v>63</v>
      </c>
      <c r="C3" s="6" t="str">
        <f ca="1">TEXT(NOW(),"YYYY-MM-DD")</f>
        <v>2026-09-15</v>
      </c>
      <c r="D3" s="6" t="str">
        <f ca="1">TEXT(NOW(),"YYYY-MM-DD")</f>
        <v>2026-09-15</v>
      </c>
      <c r="E3" s="7" t="s">
        <v>70</v>
      </c>
      <c r="F3" s="16" t="s">
        <v>43</v>
      </c>
      <c r="G3" s="16" t="s">
        <v>411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A2" sqref="A2"/>
    </sheetView>
  </sheetViews>
  <sheetFormatPr defaultRowHeight="15" x14ac:dyDescent="0.25"/>
  <cols>
    <col min="1" max="1" width="14" style="15" bestFit="1" customWidth="1" collapsed="1"/>
    <col min="2" max="2" width="12.85546875" style="15" bestFit="1" customWidth="1" collapsed="1"/>
    <col min="3" max="3" width="12.140625" style="15" bestFit="1" customWidth="1" collapsed="1"/>
    <col min="4" max="4" width="9.85546875" style="15" bestFit="1" customWidth="1" collapsed="1"/>
    <col min="5" max="5" width="12.85546875" style="15" bestFit="1" customWidth="1" collapsed="1"/>
    <col min="6" max="6" width="14" style="15" bestFit="1" customWidth="1" collapsed="1"/>
    <col min="7" max="7" width="9.140625" style="15" collapsed="1"/>
    <col min="8" max="8" width="37.140625" style="15" bestFit="1" customWidth="1" collapsed="1"/>
    <col min="9" max="9" width="10.28515625" style="15" bestFit="1" customWidth="1" collapsed="1"/>
    <col min="10" max="10" width="19" style="15" bestFit="1" customWidth="1" collapsed="1"/>
    <col min="11" max="11" width="19.28515625" style="15" bestFit="1" customWidth="1" collapsed="1"/>
    <col min="12" max="16384" width="9.140625" style="15" collapsed="1"/>
  </cols>
  <sheetData>
    <row r="1" spans="1:11" x14ac:dyDescent="0.25">
      <c r="A1" s="9" t="s">
        <v>89</v>
      </c>
      <c r="B1" s="15" t="s">
        <v>277</v>
      </c>
      <c r="C1" s="9" t="s">
        <v>90</v>
      </c>
      <c r="D1" s="9" t="s">
        <v>276</v>
      </c>
      <c r="E1" s="9" t="s">
        <v>91</v>
      </c>
      <c r="F1" s="9" t="s">
        <v>92</v>
      </c>
      <c r="G1" s="9" t="s">
        <v>6</v>
      </c>
      <c r="H1" s="9" t="s">
        <v>123</v>
      </c>
      <c r="I1" s="9" t="s">
        <v>42</v>
      </c>
      <c r="J1" s="16" t="s">
        <v>200</v>
      </c>
      <c r="K1" s="15" t="s">
        <v>117</v>
      </c>
    </row>
    <row r="2" spans="1:11" x14ac:dyDescent="0.25">
      <c r="A2" s="15" t="s">
        <v>413</v>
      </c>
      <c r="B2" s="15" t="s">
        <v>414</v>
      </c>
      <c r="C2" s="14" t="s">
        <v>415</v>
      </c>
      <c r="D2" s="23" t="s">
        <v>416</v>
      </c>
      <c r="E2" s="14" t="s">
        <v>417</v>
      </c>
      <c r="F2" s="14" t="s">
        <v>418</v>
      </c>
      <c r="G2" s="9" t="s">
        <v>73</v>
      </c>
      <c r="H2" s="7" t="s">
        <v>350</v>
      </c>
      <c r="I2" s="9" t="s">
        <v>43</v>
      </c>
      <c r="J2" s="16" t="s">
        <v>193</v>
      </c>
    </row>
    <row r="3" spans="1:11" x14ac:dyDescent="0.25">
      <c r="A3" s="15" t="s">
        <v>364</v>
      </c>
      <c r="B3" s="15" t="s">
        <v>365</v>
      </c>
      <c r="C3" s="14" t="s">
        <v>419</v>
      </c>
      <c r="D3" s="23" t="s">
        <v>420</v>
      </c>
      <c r="E3" s="15" t="s">
        <v>421</v>
      </c>
      <c r="F3" s="14" t="s">
        <v>422</v>
      </c>
      <c r="G3" s="9" t="s">
        <v>74</v>
      </c>
      <c r="H3" s="7" t="s">
        <v>351</v>
      </c>
      <c r="I3" s="9" t="s">
        <v>43</v>
      </c>
      <c r="J3" s="16" t="s">
        <v>193</v>
      </c>
    </row>
    <row r="4" spans="1:11" x14ac:dyDescent="0.25">
      <c r="A4" s="15" t="s">
        <v>352</v>
      </c>
      <c r="B4" s="15" t="s">
        <v>353</v>
      </c>
      <c r="C4" s="14" t="s">
        <v>354</v>
      </c>
      <c r="D4" s="23" t="s">
        <v>355</v>
      </c>
      <c r="E4" s="14" t="s">
        <v>356</v>
      </c>
      <c r="F4" s="14" t="s">
        <v>357</v>
      </c>
      <c r="G4" s="9" t="s">
        <v>96</v>
      </c>
      <c r="H4" s="7" t="s">
        <v>367</v>
      </c>
      <c r="I4" s="9" t="s">
        <v>43</v>
      </c>
      <c r="J4" s="16" t="s">
        <v>193</v>
      </c>
    </row>
    <row r="5" spans="1:11" x14ac:dyDescent="0.25">
      <c r="A5" s="15" t="s">
        <v>358</v>
      </c>
      <c r="B5" s="15" t="s">
        <v>359</v>
      </c>
      <c r="C5" s="14" t="s">
        <v>360</v>
      </c>
      <c r="D5" s="23" t="s">
        <v>361</v>
      </c>
      <c r="E5" s="15" t="s">
        <v>362</v>
      </c>
      <c r="F5" s="14" t="s">
        <v>363</v>
      </c>
      <c r="G5" s="9" t="s">
        <v>97</v>
      </c>
      <c r="H5" s="7" t="s">
        <v>368</v>
      </c>
      <c r="I5" s="9" t="s">
        <v>43</v>
      </c>
      <c r="J5" s="16" t="s">
        <v>193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A2" sqref="A2:G3"/>
    </sheetView>
  </sheetViews>
  <sheetFormatPr defaultRowHeight="15" x14ac:dyDescent="0.25"/>
  <cols>
    <col min="1" max="1" width="14" bestFit="1" customWidth="1" collapsed="1"/>
    <col min="2" max="2" width="12.85546875" bestFit="1" customWidth="1" collapsed="1"/>
    <col min="3" max="3" width="12.140625" bestFit="1" customWidth="1" collapsed="1"/>
    <col min="4" max="4" width="9.85546875" bestFit="1" customWidth="1" collapsed="1"/>
    <col min="5" max="5" width="12.85546875" bestFit="1" customWidth="1" collapsed="1"/>
    <col min="6" max="6" width="14" bestFit="1" customWidth="1" collapsed="1"/>
    <col min="8" max="8" width="37.140625" bestFit="1" customWidth="1" collapsed="1"/>
    <col min="9" max="9" width="10.28515625" bestFit="1" customWidth="1" collapsed="1"/>
    <col min="10" max="10" width="19" bestFit="1" customWidth="1" collapsed="1"/>
    <col min="11" max="11" width="19.28515625" bestFit="1" customWidth="1" collapsed="1"/>
  </cols>
  <sheetData>
    <row r="1" spans="1:12" x14ac:dyDescent="0.25">
      <c r="A1" s="9" t="s">
        <v>89</v>
      </c>
      <c r="B1" s="15" t="s">
        <v>277</v>
      </c>
      <c r="C1" s="9" t="s">
        <v>90</v>
      </c>
      <c r="D1" s="9" t="s">
        <v>276</v>
      </c>
      <c r="E1" s="9" t="s">
        <v>91</v>
      </c>
      <c r="F1" s="9" t="s">
        <v>92</v>
      </c>
      <c r="G1" s="9" t="s">
        <v>6</v>
      </c>
      <c r="H1" s="9" t="s">
        <v>123</v>
      </c>
      <c r="I1" s="9" t="s">
        <v>42</v>
      </c>
      <c r="J1" s="16" t="s">
        <v>200</v>
      </c>
      <c r="K1" s="15" t="s">
        <v>117</v>
      </c>
      <c r="L1" s="15"/>
    </row>
    <row r="2" spans="1:12" x14ac:dyDescent="0.25">
      <c r="A2" s="15" t="s">
        <v>443</v>
      </c>
      <c r="B2" s="15" t="s">
        <v>444</v>
      </c>
      <c r="C2" s="14" t="s">
        <v>445</v>
      </c>
      <c r="D2" s="23" t="s">
        <v>446</v>
      </c>
      <c r="E2" s="14" t="s">
        <v>447</v>
      </c>
      <c r="F2" s="14" t="s">
        <v>448</v>
      </c>
      <c r="G2" s="9" t="s">
        <v>73</v>
      </c>
      <c r="H2" s="7" t="s">
        <v>350</v>
      </c>
      <c r="I2" s="9" t="s">
        <v>43</v>
      </c>
      <c r="J2" s="16" t="s">
        <v>193</v>
      </c>
      <c r="K2" s="15"/>
      <c r="L2" s="15"/>
    </row>
    <row r="3" spans="1:12" x14ac:dyDescent="0.25">
      <c r="A3" s="15" t="s">
        <v>364</v>
      </c>
      <c r="B3" s="15" t="s">
        <v>365</v>
      </c>
      <c r="C3" s="14" t="s">
        <v>419</v>
      </c>
      <c r="D3" s="23" t="s">
        <v>420</v>
      </c>
      <c r="E3" s="15" t="s">
        <v>421</v>
      </c>
      <c r="F3" s="14" t="s">
        <v>422</v>
      </c>
      <c r="G3" s="9" t="s">
        <v>74</v>
      </c>
      <c r="H3" s="7" t="s">
        <v>351</v>
      </c>
      <c r="I3" s="9" t="s">
        <v>43</v>
      </c>
      <c r="J3" s="16" t="s">
        <v>193</v>
      </c>
      <c r="K3" s="15"/>
      <c r="L3" s="15"/>
    </row>
    <row r="4" spans="1:12" x14ac:dyDescent="0.25">
      <c r="A4" s="15" t="s">
        <v>352</v>
      </c>
      <c r="B4" s="15" t="s">
        <v>353</v>
      </c>
      <c r="C4" s="14" t="s">
        <v>354</v>
      </c>
      <c r="D4" s="23" t="s">
        <v>355</v>
      </c>
      <c r="E4" s="14" t="s">
        <v>356</v>
      </c>
      <c r="F4" s="14" t="s">
        <v>357</v>
      </c>
      <c r="G4" s="9" t="s">
        <v>96</v>
      </c>
      <c r="H4" s="7" t="s">
        <v>367</v>
      </c>
      <c r="I4" s="9" t="s">
        <v>43</v>
      </c>
      <c r="J4" s="16" t="s">
        <v>193</v>
      </c>
      <c r="K4" s="15"/>
      <c r="L4" s="15"/>
    </row>
    <row r="5" spans="1:12" x14ac:dyDescent="0.25">
      <c r="A5" s="15" t="s">
        <v>358</v>
      </c>
      <c r="B5" s="15" t="s">
        <v>359</v>
      </c>
      <c r="C5" s="14" t="s">
        <v>360</v>
      </c>
      <c r="D5" s="23" t="s">
        <v>361</v>
      </c>
      <c r="E5" s="15" t="s">
        <v>362</v>
      </c>
      <c r="F5" s="14" t="s">
        <v>363</v>
      </c>
      <c r="G5" s="9" t="s">
        <v>97</v>
      </c>
      <c r="H5" s="7" t="s">
        <v>368</v>
      </c>
      <c r="I5" s="9" t="s">
        <v>43</v>
      </c>
      <c r="J5" s="16" t="s">
        <v>193</v>
      </c>
      <c r="K5" s="15"/>
      <c r="L5" s="15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E3" sqref="E3"/>
    </sheetView>
  </sheetViews>
  <sheetFormatPr defaultRowHeight="15" x14ac:dyDescent="0.25"/>
  <cols>
    <col min="1" max="1" width="9.140625" style="15" collapsed="1"/>
    <col min="2" max="2" width="35.28515625" style="15" bestFit="1" customWidth="1" collapsed="1"/>
    <col min="3" max="3" width="10.28515625" style="15" bestFit="1" customWidth="1" collapsed="1"/>
    <col min="4" max="4" width="14" style="15" bestFit="1" customWidth="1" collapsed="1"/>
    <col min="5" max="5" width="12.85546875" style="15" bestFit="1" customWidth="1" collapsed="1"/>
    <col min="6" max="6" width="12.140625" style="15" bestFit="1" customWidth="1" collapsed="1"/>
    <col min="7" max="7" width="9.85546875" style="15" bestFit="1" customWidth="1" collapsed="1"/>
    <col min="8" max="8" width="12.85546875" style="15" bestFit="1" customWidth="1" collapsed="1"/>
    <col min="9" max="9" width="14" style="15" bestFit="1" customWidth="1" collapsed="1"/>
    <col min="10" max="10" width="19" style="15" bestFit="1" customWidth="1" collapsed="1"/>
    <col min="11" max="11" width="19.28515625" style="15" bestFit="1" customWidth="1" collapsed="1"/>
    <col min="12" max="16384" width="9.140625" style="15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15" t="s">
        <v>277</v>
      </c>
      <c r="F1" s="9" t="s">
        <v>90</v>
      </c>
      <c r="G1" s="9" t="s">
        <v>276</v>
      </c>
      <c r="H1" s="9" t="s">
        <v>91</v>
      </c>
      <c r="I1" s="9" t="s">
        <v>92</v>
      </c>
      <c r="J1" s="16" t="s">
        <v>200</v>
      </c>
      <c r="K1" s="15" t="s">
        <v>117</v>
      </c>
    </row>
    <row r="2" spans="1:11" x14ac:dyDescent="0.25">
      <c r="A2" s="9" t="s">
        <v>39</v>
      </c>
      <c r="B2" s="7" t="s">
        <v>369</v>
      </c>
      <c r="C2" s="9" t="s">
        <v>43</v>
      </c>
      <c r="D2" s="15" t="s">
        <v>423</v>
      </c>
      <c r="E2" s="15" t="s">
        <v>424</v>
      </c>
      <c r="F2" s="14" t="s">
        <v>400</v>
      </c>
      <c r="G2" s="23" t="s">
        <v>425</v>
      </c>
      <c r="H2" s="14" t="s">
        <v>426</v>
      </c>
      <c r="I2" s="14" t="s">
        <v>423</v>
      </c>
      <c r="J2" s="16" t="s">
        <v>193</v>
      </c>
    </row>
    <row r="3" spans="1:11" x14ac:dyDescent="0.25">
      <c r="A3" s="9" t="s">
        <v>70</v>
      </c>
      <c r="B3" s="7" t="s">
        <v>370</v>
      </c>
      <c r="C3" s="9" t="s">
        <v>43</v>
      </c>
      <c r="D3" s="15" t="s">
        <v>372</v>
      </c>
      <c r="E3" s="9" t="s">
        <v>371</v>
      </c>
      <c r="F3" s="14" t="s">
        <v>373</v>
      </c>
      <c r="G3" s="23" t="s">
        <v>374</v>
      </c>
      <c r="H3" s="14" t="s">
        <v>375</v>
      </c>
      <c r="I3" s="14" t="s">
        <v>376</v>
      </c>
      <c r="J3" s="16" t="s">
        <v>193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I2" sqref="I2"/>
    </sheetView>
  </sheetViews>
  <sheetFormatPr defaultRowHeight="15" x14ac:dyDescent="0.25"/>
  <cols>
    <col min="2" max="2" width="35.28515625" bestFit="1" customWidth="1" collapsed="1"/>
    <col min="3" max="3" width="10.28515625" bestFit="1" customWidth="1" collapsed="1"/>
    <col min="4" max="4" width="14" bestFit="1" customWidth="1" collapsed="1"/>
    <col min="5" max="5" width="12.85546875" bestFit="1" customWidth="1" collapsed="1"/>
    <col min="6" max="6" width="12.140625" bestFit="1" customWidth="1" collapsed="1"/>
    <col min="7" max="7" width="9.85546875" bestFit="1" customWidth="1" collapsed="1"/>
    <col min="8" max="8" width="12.85546875" bestFit="1" customWidth="1" collapsed="1"/>
    <col min="9" max="9" width="14" bestFit="1" customWidth="1" collapsed="1"/>
    <col min="10" max="10" width="19" bestFit="1" customWidth="1" collapsed="1"/>
    <col min="11" max="11" width="19.28515625" bestFit="1" customWidth="1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15" t="s">
        <v>277</v>
      </c>
      <c r="F1" s="9" t="s">
        <v>90</v>
      </c>
      <c r="G1" s="9" t="s">
        <v>276</v>
      </c>
      <c r="H1" s="9" t="s">
        <v>91</v>
      </c>
      <c r="I1" s="9" t="s">
        <v>92</v>
      </c>
      <c r="J1" s="16" t="s">
        <v>200</v>
      </c>
      <c r="K1" s="15" t="s">
        <v>117</v>
      </c>
    </row>
    <row r="2" spans="1:11" x14ac:dyDescent="0.25">
      <c r="A2" s="9" t="s">
        <v>39</v>
      </c>
      <c r="B2" s="7" t="s">
        <v>369</v>
      </c>
      <c r="C2" s="9" t="s">
        <v>43</v>
      </c>
      <c r="D2" s="15" t="s">
        <v>449</v>
      </c>
      <c r="E2" s="15" t="s">
        <v>452</v>
      </c>
      <c r="F2" s="14" t="s">
        <v>442</v>
      </c>
      <c r="G2" s="23" t="s">
        <v>453</v>
      </c>
      <c r="H2" s="14" t="s">
        <v>450</v>
      </c>
      <c r="I2" s="14" t="s">
        <v>451</v>
      </c>
      <c r="J2" s="16" t="s">
        <v>193</v>
      </c>
      <c r="K2" s="15"/>
    </row>
    <row r="3" spans="1:11" x14ac:dyDescent="0.25">
      <c r="A3" s="9" t="s">
        <v>70</v>
      </c>
      <c r="B3" s="7" t="s">
        <v>370</v>
      </c>
      <c r="C3" s="9" t="s">
        <v>43</v>
      </c>
      <c r="D3" s="15" t="s">
        <v>372</v>
      </c>
      <c r="E3" s="15" t="s">
        <v>371</v>
      </c>
      <c r="F3" s="14" t="s">
        <v>373</v>
      </c>
      <c r="G3" s="23" t="s">
        <v>374</v>
      </c>
      <c r="H3" s="14" t="s">
        <v>375</v>
      </c>
      <c r="I3" s="14" t="s">
        <v>376</v>
      </c>
      <c r="J3" s="16" t="s">
        <v>193</v>
      </c>
      <c r="K3" s="15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D10" sqref="D10"/>
    </sheetView>
  </sheetViews>
  <sheetFormatPr defaultRowHeight="15" x14ac:dyDescent="0.25"/>
  <cols>
    <col min="1" max="1" width="10.5703125" bestFit="1" customWidth="1" collapsed="1"/>
    <col min="2" max="2" width="12.140625" bestFit="1" customWidth="1" collapsed="1"/>
    <col min="4" max="4" width="38" bestFit="1" customWidth="1" collapsed="1"/>
    <col min="5" max="5" width="10.28515625" bestFit="1" customWidth="1" collapsed="1"/>
    <col min="6" max="6" width="19" bestFit="1" customWidth="1" collapsed="1"/>
    <col min="7" max="7" width="19.28515625" bestFit="1" customWidth="1" collapsed="1"/>
  </cols>
  <sheetData>
    <row r="1" spans="1:7" x14ac:dyDescent="0.25">
      <c r="A1" s="6" t="s">
        <v>90</v>
      </c>
      <c r="B1" s="9" t="s">
        <v>330</v>
      </c>
      <c r="C1" s="9" t="s">
        <v>6</v>
      </c>
      <c r="D1" s="9" t="s">
        <v>123</v>
      </c>
      <c r="E1" s="9" t="s">
        <v>42</v>
      </c>
      <c r="F1" s="16" t="s">
        <v>200</v>
      </c>
      <c r="G1" s="15" t="s">
        <v>117</v>
      </c>
    </row>
    <row r="2" spans="1:7" x14ac:dyDescent="0.25">
      <c r="A2" s="14" t="s">
        <v>427</v>
      </c>
      <c r="B2" s="14" t="s">
        <v>77</v>
      </c>
      <c r="C2" s="9" t="s">
        <v>73</v>
      </c>
      <c r="D2" s="7" t="s">
        <v>380</v>
      </c>
      <c r="E2" s="9" t="s">
        <v>43</v>
      </c>
      <c r="F2" s="16" t="s">
        <v>193</v>
      </c>
      <c r="G2" s="15"/>
    </row>
    <row r="3" spans="1:7" x14ac:dyDescent="0.25">
      <c r="A3" s="14" t="s">
        <v>320</v>
      </c>
      <c r="B3" s="14" t="s">
        <v>77</v>
      </c>
      <c r="C3" s="9" t="s">
        <v>74</v>
      </c>
      <c r="D3" s="7" t="s">
        <v>381</v>
      </c>
      <c r="E3" s="9" t="s">
        <v>43</v>
      </c>
      <c r="F3" s="16" t="s">
        <v>193</v>
      </c>
      <c r="G3" s="15"/>
    </row>
    <row r="4" spans="1:7" x14ac:dyDescent="0.25">
      <c r="A4" s="14" t="s">
        <v>10</v>
      </c>
      <c r="B4" s="14" t="s">
        <v>77</v>
      </c>
      <c r="C4" s="9" t="s">
        <v>227</v>
      </c>
      <c r="D4" s="7" t="s">
        <v>382</v>
      </c>
      <c r="E4" s="9" t="s">
        <v>43</v>
      </c>
      <c r="F4" s="16" t="s">
        <v>193</v>
      </c>
      <c r="G4" s="15"/>
    </row>
    <row r="5" spans="1:7" x14ac:dyDescent="0.25">
      <c r="A5" s="14" t="s">
        <v>454</v>
      </c>
      <c r="B5" s="14" t="s">
        <v>77</v>
      </c>
      <c r="C5" s="9" t="s">
        <v>228</v>
      </c>
      <c r="D5" s="7" t="s">
        <v>383</v>
      </c>
      <c r="E5" s="9" t="s">
        <v>43</v>
      </c>
      <c r="F5" s="16" t="s">
        <v>193</v>
      </c>
      <c r="G5" s="15"/>
    </row>
    <row r="6" spans="1:7" x14ac:dyDescent="0.25">
      <c r="A6" s="14" t="s">
        <v>455</v>
      </c>
      <c r="B6" s="14" t="s">
        <v>77</v>
      </c>
      <c r="C6" s="9" t="s">
        <v>288</v>
      </c>
      <c r="D6" s="7" t="s">
        <v>384</v>
      </c>
      <c r="E6" s="9" t="s">
        <v>43</v>
      </c>
      <c r="F6" s="16" t="s">
        <v>193</v>
      </c>
      <c r="G6" s="15"/>
    </row>
    <row r="7" spans="1:7" x14ac:dyDescent="0.25">
      <c r="A7" s="14" t="s">
        <v>385</v>
      </c>
      <c r="B7" s="14" t="s">
        <v>331</v>
      </c>
      <c r="C7" s="9" t="s">
        <v>96</v>
      </c>
      <c r="D7" s="7" t="s">
        <v>380</v>
      </c>
      <c r="E7" s="9" t="s">
        <v>43</v>
      </c>
      <c r="F7" s="16" t="s">
        <v>193</v>
      </c>
      <c r="G7" s="15"/>
    </row>
    <row r="8" spans="1:7" x14ac:dyDescent="0.25">
      <c r="A8" s="14" t="s">
        <v>386</v>
      </c>
      <c r="B8" s="14" t="s">
        <v>331</v>
      </c>
      <c r="C8" s="9" t="s">
        <v>97</v>
      </c>
      <c r="D8" s="7" t="s">
        <v>381</v>
      </c>
      <c r="E8" s="9" t="s">
        <v>43</v>
      </c>
      <c r="F8" s="16" t="s">
        <v>193</v>
      </c>
      <c r="G8" s="15"/>
    </row>
    <row r="9" spans="1:7" x14ac:dyDescent="0.25">
      <c r="A9" s="14" t="s">
        <v>10</v>
      </c>
      <c r="B9" s="14" t="s">
        <v>331</v>
      </c>
      <c r="C9" s="9" t="s">
        <v>377</v>
      </c>
      <c r="D9" s="7" t="s">
        <v>382</v>
      </c>
      <c r="E9" s="9" t="s">
        <v>43</v>
      </c>
      <c r="F9" s="16" t="s">
        <v>193</v>
      </c>
      <c r="G9" s="15"/>
    </row>
    <row r="10" spans="1:7" x14ac:dyDescent="0.25">
      <c r="A10" s="14" t="s">
        <v>387</v>
      </c>
      <c r="B10" s="14" t="s">
        <v>331</v>
      </c>
      <c r="C10" s="9" t="s">
        <v>378</v>
      </c>
      <c r="D10" s="7" t="s">
        <v>383</v>
      </c>
      <c r="E10" s="9" t="s">
        <v>43</v>
      </c>
      <c r="F10" s="16" t="s">
        <v>193</v>
      </c>
      <c r="G10" s="15"/>
    </row>
    <row r="11" spans="1:7" x14ac:dyDescent="0.25">
      <c r="A11" s="14" t="s">
        <v>388</v>
      </c>
      <c r="B11" s="14" t="s">
        <v>331</v>
      </c>
      <c r="C11" s="9" t="s">
        <v>379</v>
      </c>
      <c r="D11" s="7" t="s">
        <v>384</v>
      </c>
      <c r="E11" s="9" t="s">
        <v>43</v>
      </c>
      <c r="F11" s="16" t="s">
        <v>193</v>
      </c>
      <c r="G11" s="15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A3" sqref="A3"/>
    </sheetView>
  </sheetViews>
  <sheetFormatPr defaultRowHeight="15" x14ac:dyDescent="0.25"/>
  <cols>
    <col min="1" max="1" width="15.7109375" bestFit="1" customWidth="1" collapsed="1"/>
    <col min="3" max="3" width="21.85546875" bestFit="1" customWidth="1" collapsed="1"/>
    <col min="4" max="4" width="10.28515625" bestFit="1" customWidth="1" collapsed="1"/>
    <col min="5" max="5" width="19" bestFit="1" customWidth="1" collapsed="1"/>
    <col min="6" max="6" width="19.28515625" bestFit="1" customWidth="1" collapsed="1"/>
  </cols>
  <sheetData>
    <row r="1" spans="1:6" x14ac:dyDescent="0.25">
      <c r="A1" s="15" t="s">
        <v>294</v>
      </c>
      <c r="B1" s="9" t="s">
        <v>6</v>
      </c>
      <c r="C1" s="9" t="s">
        <v>123</v>
      </c>
      <c r="D1" s="9" t="s">
        <v>42</v>
      </c>
      <c r="E1" s="16" t="s">
        <v>200</v>
      </c>
      <c r="F1" s="15" t="s">
        <v>117</v>
      </c>
    </row>
    <row r="2" spans="1:6" x14ac:dyDescent="0.25">
      <c r="A2" s="15" t="s">
        <v>375</v>
      </c>
      <c r="B2" s="9" t="s">
        <v>73</v>
      </c>
      <c r="C2" s="7" t="s">
        <v>299</v>
      </c>
      <c r="D2" s="9" t="s">
        <v>43</v>
      </c>
      <c r="E2" s="16" t="s">
        <v>193</v>
      </c>
      <c r="F2" s="15"/>
    </row>
    <row r="3" spans="1:6" x14ac:dyDescent="0.25">
      <c r="A3" s="15" t="s">
        <v>450</v>
      </c>
      <c r="B3" s="9" t="s">
        <v>96</v>
      </c>
      <c r="C3" s="7" t="s">
        <v>299</v>
      </c>
      <c r="D3" s="9" t="s">
        <v>43</v>
      </c>
      <c r="E3" s="16" t="s">
        <v>193</v>
      </c>
      <c r="F3" s="15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" width="31" bestFit="1" customWidth="1" collapsed="1"/>
    <col min="2" max="2" width="14.85546875" bestFit="1" customWidth="1" collapsed="1"/>
    <col min="4" max="4" width="33.140625" bestFit="1" customWidth="1" collapsed="1"/>
  </cols>
  <sheetData>
    <row r="1" spans="1:4" x14ac:dyDescent="0.25">
      <c r="A1" s="15" t="s">
        <v>17</v>
      </c>
      <c r="B1" s="15" t="s">
        <v>83</v>
      </c>
      <c r="C1" s="16" t="s">
        <v>6</v>
      </c>
      <c r="D1" s="9" t="s">
        <v>123</v>
      </c>
    </row>
    <row r="2" spans="1:4" x14ac:dyDescent="0.25">
      <c r="A2" s="16" t="s">
        <v>315</v>
      </c>
      <c r="B2" s="6" t="str">
        <f ca="1">TEXT(NOW(),"YYYY-MM-DD")</f>
        <v>2026-09-15</v>
      </c>
      <c r="C2" s="16" t="s">
        <v>39</v>
      </c>
      <c r="D2" s="7" t="s">
        <v>430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D3" sqref="D3"/>
    </sheetView>
  </sheetViews>
  <sheetFormatPr defaultRowHeight="15" x14ac:dyDescent="0.25"/>
  <cols>
    <col min="3" max="3" width="15.5703125" bestFit="1" customWidth="1" collapsed="1"/>
    <col min="4" max="4" width="13.5703125" bestFit="1" customWidth="1" collapsed="1"/>
    <col min="7" max="7" width="10.28515625" bestFit="1" customWidth="1" collapsed="1"/>
    <col min="8" max="8" width="19" bestFit="1" customWidth="1" collapsed="1"/>
    <col min="9" max="9" width="19.28515625" bestFit="1" customWidth="1" collapsed="1"/>
    <col min="10" max="10" width="10.5703125" bestFit="1" customWidth="1" collapsed="1"/>
  </cols>
  <sheetData>
    <row r="1" spans="1:10" x14ac:dyDescent="0.25">
      <c r="A1" s="16" t="s">
        <v>36</v>
      </c>
      <c r="B1" s="16" t="s">
        <v>21</v>
      </c>
      <c r="C1" s="16" t="s">
        <v>20</v>
      </c>
      <c r="D1" s="15" t="s">
        <v>89</v>
      </c>
      <c r="E1" s="15" t="s">
        <v>277</v>
      </c>
      <c r="F1" s="16" t="s">
        <v>6</v>
      </c>
      <c r="G1" s="16" t="s">
        <v>42</v>
      </c>
      <c r="H1" s="15" t="s">
        <v>200</v>
      </c>
      <c r="I1" s="15" t="s">
        <v>117</v>
      </c>
      <c r="J1" s="16" t="s">
        <v>118</v>
      </c>
    </row>
    <row r="2" spans="1:10" x14ac:dyDescent="0.25">
      <c r="A2" s="16" t="s">
        <v>55</v>
      </c>
      <c r="B2" s="7" t="s">
        <v>10</v>
      </c>
      <c r="C2" s="16" t="s">
        <v>301</v>
      </c>
      <c r="D2" s="15" t="s">
        <v>271</v>
      </c>
      <c r="E2" s="7" t="s">
        <v>10</v>
      </c>
      <c r="F2" s="7" t="s">
        <v>73</v>
      </c>
      <c r="G2" s="16" t="s">
        <v>43</v>
      </c>
      <c r="H2" s="16" t="s">
        <v>193</v>
      </c>
      <c r="I2" s="15"/>
      <c r="J2" s="15" t="s">
        <v>119</v>
      </c>
    </row>
    <row r="3" spans="1:10" x14ac:dyDescent="0.25">
      <c r="A3" s="16" t="s">
        <v>37</v>
      </c>
      <c r="B3" s="7" t="s">
        <v>10</v>
      </c>
      <c r="C3" s="16" t="s">
        <v>301</v>
      </c>
      <c r="D3" s="15" t="s">
        <v>304</v>
      </c>
      <c r="E3" s="7" t="s">
        <v>10</v>
      </c>
      <c r="F3" s="7" t="s">
        <v>74</v>
      </c>
      <c r="G3" s="16" t="s">
        <v>43</v>
      </c>
      <c r="H3" s="16" t="s">
        <v>193</v>
      </c>
      <c r="I3" s="15"/>
      <c r="J3" s="15" t="s">
        <v>119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E2" sqref="E2"/>
    </sheetView>
  </sheetViews>
  <sheetFormatPr defaultRowHeight="15" x14ac:dyDescent="0.25"/>
  <cols>
    <col min="2" max="2" width="34.28515625" bestFit="1" customWidth="1" collapsed="1"/>
    <col min="3" max="3" width="10.28515625" bestFit="1" customWidth="1" collapsed="1"/>
    <col min="4" max="4" width="27.140625" bestFit="1" customWidth="1" collapsed="1"/>
    <col min="5" max="5" width="20.140625" bestFit="1" customWidth="1" collapsed="1"/>
    <col min="6" max="6" width="21.140625" bestFit="1" customWidth="1" collapsed="1"/>
    <col min="7" max="7" width="16.28515625" bestFit="1" customWidth="1" collapsed="1"/>
    <col min="8" max="8" width="25.5703125" bestFit="1" customWidth="1" collapsed="1"/>
    <col min="9" max="9" width="19" bestFit="1" customWidth="1" collapsed="1"/>
    <col min="11" max="11" width="19.28515625" bestFit="1" customWidth="1" collapsed="1"/>
  </cols>
  <sheetData>
    <row r="1" spans="1:11" x14ac:dyDescent="0.25">
      <c r="A1" s="9" t="s">
        <v>6</v>
      </c>
      <c r="B1" s="9" t="s">
        <v>123</v>
      </c>
      <c r="C1" s="9" t="s">
        <v>42</v>
      </c>
      <c r="D1" s="9" t="s">
        <v>89</v>
      </c>
      <c r="E1" s="9" t="s">
        <v>277</v>
      </c>
      <c r="F1" s="9" t="s">
        <v>90</v>
      </c>
      <c r="G1" s="9" t="s">
        <v>91</v>
      </c>
      <c r="H1" s="9" t="s">
        <v>92</v>
      </c>
      <c r="I1" s="16" t="s">
        <v>200</v>
      </c>
      <c r="J1" s="15" t="s">
        <v>118</v>
      </c>
      <c r="K1" s="2" t="s">
        <v>117</v>
      </c>
    </row>
    <row r="2" spans="1:11" x14ac:dyDescent="0.25">
      <c r="A2" s="9" t="s">
        <v>39</v>
      </c>
      <c r="B2" s="7" t="s">
        <v>431</v>
      </c>
      <c r="C2" s="9" t="s">
        <v>43</v>
      </c>
      <c r="D2" s="9" t="s">
        <v>490</v>
      </c>
      <c r="E2" s="7" t="s">
        <v>491</v>
      </c>
      <c r="F2" s="7" t="s">
        <v>492</v>
      </c>
      <c r="G2" s="7" t="s">
        <v>493</v>
      </c>
      <c r="H2" s="7" t="s">
        <v>494</v>
      </c>
      <c r="I2" s="16" t="s">
        <v>193</v>
      </c>
      <c r="J2" s="15" t="s">
        <v>119</v>
      </c>
      <c r="K2" s="15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RowHeight="15" x14ac:dyDescent="0.25"/>
  <cols>
    <col min="1" max="1" width="22" bestFit="1" customWidth="1" collapsed="1"/>
    <col min="2" max="2" width="10.28515625" customWidth="1" collapsed="1"/>
    <col min="3" max="3" width="15.5703125" bestFit="1" customWidth="1" collapsed="1"/>
    <col min="5" max="5" width="28" bestFit="1" customWidth="1" collapsed="1"/>
    <col min="6" max="6" width="19.28515625" bestFit="1" customWidth="1" collapsed="1"/>
    <col min="7" max="7" width="10.5703125" bestFit="1" customWidth="1" collapsed="1"/>
    <col min="8" max="8" width="10.28515625" bestFit="1" customWidth="1" collapsed="1"/>
  </cols>
  <sheetData>
    <row r="1" spans="1:8" x14ac:dyDescent="0.25">
      <c r="A1" s="16" t="s">
        <v>23</v>
      </c>
      <c r="B1" s="16" t="s">
        <v>24</v>
      </c>
      <c r="C1" s="16" t="s">
        <v>27</v>
      </c>
      <c r="D1" s="16" t="s">
        <v>6</v>
      </c>
      <c r="E1" s="16" t="s">
        <v>123</v>
      </c>
      <c r="F1" s="15" t="s">
        <v>117</v>
      </c>
      <c r="G1" s="15" t="s">
        <v>118</v>
      </c>
      <c r="H1" s="15" t="s">
        <v>42</v>
      </c>
    </row>
    <row r="2" spans="1:8" x14ac:dyDescent="0.25">
      <c r="A2" s="16" t="s">
        <v>433</v>
      </c>
      <c r="B2" s="16" t="s">
        <v>230</v>
      </c>
      <c r="C2" s="16" t="s">
        <v>464</v>
      </c>
      <c r="D2" s="7" t="s">
        <v>39</v>
      </c>
      <c r="E2" s="17" t="s">
        <v>463</v>
      </c>
      <c r="F2" s="15" t="s">
        <v>121</v>
      </c>
      <c r="G2" s="15" t="s">
        <v>119</v>
      </c>
      <c r="H2" s="16" t="s">
        <v>43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1" width="15.5703125" bestFit="1" customWidth="1" collapsed="1"/>
    <col min="3" max="3" width="10.28515625" bestFit="1" customWidth="1" collapsed="1"/>
    <col min="4" max="4" width="11" bestFit="1" customWidth="1" collapsed="1"/>
  </cols>
  <sheetData>
    <row r="1" spans="1:4" x14ac:dyDescent="0.25">
      <c r="A1" s="16" t="s">
        <v>27</v>
      </c>
      <c r="B1" s="16" t="s">
        <v>6</v>
      </c>
      <c r="C1" s="15" t="s">
        <v>42</v>
      </c>
      <c r="D1" s="16" t="s">
        <v>57</v>
      </c>
    </row>
    <row r="2" spans="1:4" x14ac:dyDescent="0.25">
      <c r="A2" s="16" t="s">
        <v>464</v>
      </c>
      <c r="B2" s="16" t="s">
        <v>39</v>
      </c>
      <c r="C2" s="16" t="s">
        <v>43</v>
      </c>
      <c r="D2" s="7" t="s">
        <v>349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RowHeight="15" x14ac:dyDescent="0.25"/>
  <cols>
    <col min="1" max="1" width="22" bestFit="1" customWidth="1" collapsed="1"/>
    <col min="2" max="2" width="7.85546875" bestFit="1" customWidth="1" collapsed="1"/>
    <col min="3" max="3" width="20.85546875" bestFit="1" customWidth="1" collapsed="1"/>
    <col min="4" max="4" width="11.7109375" bestFit="1" customWidth="1" collapsed="1"/>
    <col min="5" max="5" width="15.5703125" bestFit="1" customWidth="1" collapsed="1"/>
    <col min="7" max="7" width="38.28515625" bestFit="1" customWidth="1" collapsed="1"/>
    <col min="8" max="8" width="19.28515625" bestFit="1" customWidth="1" collapsed="1"/>
    <col min="9" max="9" width="10.5703125" bestFit="1" customWidth="1" collapsed="1"/>
    <col min="10" max="10" width="10.28515625" bestFit="1" customWidth="1" collapsed="1"/>
  </cols>
  <sheetData>
    <row r="1" spans="1:10" x14ac:dyDescent="0.25">
      <c r="A1" s="16" t="s">
        <v>23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6</v>
      </c>
      <c r="G1" s="16" t="s">
        <v>123</v>
      </c>
      <c r="H1" s="15" t="s">
        <v>117</v>
      </c>
      <c r="I1" s="15" t="s">
        <v>118</v>
      </c>
      <c r="J1" s="15" t="s">
        <v>42</v>
      </c>
    </row>
    <row r="2" spans="1:10" x14ac:dyDescent="0.25">
      <c r="A2" s="16" t="s">
        <v>433</v>
      </c>
      <c r="B2" s="16" t="s">
        <v>202</v>
      </c>
      <c r="C2" s="16" t="s">
        <v>434</v>
      </c>
      <c r="D2" s="16" t="s">
        <v>436</v>
      </c>
      <c r="E2" s="16" t="s">
        <v>283</v>
      </c>
      <c r="F2" s="7" t="s">
        <v>39</v>
      </c>
      <c r="G2" s="17" t="s">
        <v>466</v>
      </c>
      <c r="H2" s="15" t="s">
        <v>121</v>
      </c>
      <c r="I2" s="15" t="s">
        <v>119</v>
      </c>
      <c r="J2" s="16" t="s">
        <v>43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A3" sqref="A3"/>
    </sheetView>
  </sheetViews>
  <sheetFormatPr defaultRowHeight="15" x14ac:dyDescent="0.25"/>
  <cols>
    <col min="1" max="1" width="22" bestFit="1" customWidth="1" collapsed="1"/>
    <col min="2" max="2" width="6.85546875" customWidth="1" collapsed="1"/>
    <col min="3" max="3" width="15.5703125" bestFit="1" customWidth="1" collapsed="1"/>
    <col min="5" max="5" width="29.28515625" bestFit="1" customWidth="1" collapsed="1"/>
    <col min="6" max="6" width="19.28515625" bestFit="1" customWidth="1" collapsed="1"/>
    <col min="7" max="7" width="10.5703125" bestFit="1" customWidth="1" collapsed="1"/>
    <col min="8" max="8" width="10.28515625" bestFit="1" customWidth="1" collapsed="1"/>
  </cols>
  <sheetData>
    <row r="1" spans="1:8" x14ac:dyDescent="0.25">
      <c r="A1" s="16" t="s">
        <v>23</v>
      </c>
      <c r="B1" s="16" t="s">
        <v>24</v>
      </c>
      <c r="C1" s="16" t="s">
        <v>27</v>
      </c>
      <c r="D1" s="16" t="s">
        <v>6</v>
      </c>
      <c r="E1" s="16" t="s">
        <v>123</v>
      </c>
      <c r="F1" s="15" t="s">
        <v>117</v>
      </c>
      <c r="G1" s="15" t="s">
        <v>118</v>
      </c>
      <c r="H1" s="15" t="s">
        <v>42</v>
      </c>
    </row>
    <row r="2" spans="1:8" x14ac:dyDescent="0.25">
      <c r="A2" s="16" t="s">
        <v>433</v>
      </c>
      <c r="B2" s="16" t="s">
        <v>230</v>
      </c>
      <c r="C2" s="16" t="s">
        <v>460</v>
      </c>
      <c r="D2" s="7" t="s">
        <v>39</v>
      </c>
      <c r="E2" s="17" t="s">
        <v>508</v>
      </c>
      <c r="F2" s="15" t="s">
        <v>121</v>
      </c>
      <c r="G2" s="15" t="s">
        <v>119</v>
      </c>
      <c r="H2" s="16" t="s">
        <v>43</v>
      </c>
    </row>
    <row r="3" spans="1:8" x14ac:dyDescent="0.25">
      <c r="A3" s="16" t="s">
        <v>433</v>
      </c>
      <c r="B3" s="16" t="s">
        <v>230</v>
      </c>
      <c r="C3" s="16" t="s">
        <v>460</v>
      </c>
      <c r="D3" s="7" t="s">
        <v>70</v>
      </c>
      <c r="E3" s="17" t="s">
        <v>208</v>
      </c>
      <c r="F3" s="15" t="s">
        <v>121</v>
      </c>
      <c r="G3" s="15" t="s">
        <v>119</v>
      </c>
      <c r="H3" s="16" t="s">
        <v>43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1" sqref="D11"/>
    </sheetView>
  </sheetViews>
  <sheetFormatPr defaultRowHeight="15" x14ac:dyDescent="0.25"/>
  <cols>
    <col min="1" max="1" width="15.5703125" bestFit="1" customWidth="1" collapsed="1"/>
    <col min="3" max="3" width="10.28515625" bestFit="1" customWidth="1" collapsed="1"/>
    <col min="4" max="4" width="11" bestFit="1" customWidth="1" collapsed="1"/>
  </cols>
  <sheetData>
    <row r="1" spans="1:4" x14ac:dyDescent="0.25">
      <c r="A1" s="16" t="s">
        <v>27</v>
      </c>
      <c r="B1" s="16" t="s">
        <v>6</v>
      </c>
      <c r="C1" s="15" t="s">
        <v>42</v>
      </c>
      <c r="D1" s="16" t="s">
        <v>57</v>
      </c>
    </row>
    <row r="2" spans="1:4" x14ac:dyDescent="0.25">
      <c r="A2" s="7" t="s">
        <v>460</v>
      </c>
      <c r="B2" s="16" t="s">
        <v>73</v>
      </c>
      <c r="C2" s="16" t="s">
        <v>43</v>
      </c>
      <c r="D2" s="7" t="s">
        <v>349</v>
      </c>
    </row>
    <row r="3" spans="1:4" x14ac:dyDescent="0.25">
      <c r="A3" s="16" t="s">
        <v>460</v>
      </c>
      <c r="B3" s="16" t="s">
        <v>96</v>
      </c>
      <c r="C3" s="16" t="s">
        <v>43</v>
      </c>
      <c r="D3" s="7" t="s">
        <v>349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B3" sqref="B3"/>
    </sheetView>
  </sheetViews>
  <sheetFormatPr defaultRowHeight="15" x14ac:dyDescent="0.25"/>
  <cols>
    <col min="2" max="2" width="37.28515625" bestFit="1" customWidth="1" collapsed="1"/>
    <col min="3" max="3" width="10.28515625" bestFit="1" customWidth="1" collapsed="1"/>
    <col min="4" max="4" width="17.85546875" bestFit="1" customWidth="1" collapsed="1"/>
    <col min="5" max="5" width="19" bestFit="1" customWidth="1" collapsed="1"/>
    <col min="6" max="6" width="10.5703125" bestFit="1" customWidth="1" collapsed="1"/>
    <col min="7" max="7" width="19.28515625" bestFit="1" customWidth="1" collapsed="1"/>
  </cols>
  <sheetData>
    <row r="1" spans="1:8" x14ac:dyDescent="0.25">
      <c r="A1" s="9" t="s">
        <v>6</v>
      </c>
      <c r="B1" s="9" t="s">
        <v>123</v>
      </c>
      <c r="C1" s="9" t="s">
        <v>42</v>
      </c>
      <c r="D1" s="7" t="s">
        <v>509</v>
      </c>
      <c r="E1" s="16" t="s">
        <v>200</v>
      </c>
      <c r="F1" s="15" t="s">
        <v>118</v>
      </c>
      <c r="G1" s="2" t="s">
        <v>117</v>
      </c>
      <c r="H1" s="15"/>
    </row>
    <row r="2" spans="1:8" x14ac:dyDescent="0.25">
      <c r="A2" s="9" t="s">
        <v>73</v>
      </c>
      <c r="B2" s="7" t="s">
        <v>510</v>
      </c>
      <c r="C2" s="9" t="s">
        <v>43</v>
      </c>
      <c r="D2" s="14" t="s">
        <v>591</v>
      </c>
      <c r="E2" s="16" t="s">
        <v>193</v>
      </c>
      <c r="F2" s="15" t="s">
        <v>119</v>
      </c>
      <c r="G2" s="15"/>
      <c r="H2" s="15"/>
    </row>
    <row r="3" spans="1:8" x14ac:dyDescent="0.25">
      <c r="A3" s="9" t="s">
        <v>96</v>
      </c>
      <c r="B3" s="7" t="s">
        <v>511</v>
      </c>
      <c r="C3" s="9" t="s">
        <v>43</v>
      </c>
      <c r="D3" s="14" t="s">
        <v>495</v>
      </c>
      <c r="E3" s="16" t="s">
        <v>193</v>
      </c>
      <c r="F3" s="15" t="s">
        <v>119</v>
      </c>
      <c r="G3" s="15"/>
      <c r="H3" s="15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0.85546875" bestFit="1" customWidth="1" collapsed="1"/>
    <col min="2" max="2" width="12.42578125" bestFit="1" customWidth="1" collapsed="1"/>
    <col min="3" max="3" width="11.5703125" bestFit="1" customWidth="1" collapsed="1"/>
    <col min="4" max="4" width="15.5703125" bestFit="1" customWidth="1" collapsed="1"/>
    <col min="6" max="6" width="10.28515625" bestFit="1" customWidth="1" collapsed="1"/>
    <col min="7" max="7" width="8" bestFit="1" customWidth="1" collapsed="1"/>
  </cols>
  <sheetData>
    <row r="1" spans="1:7" x14ac:dyDescent="0.25">
      <c r="A1" s="16" t="s">
        <v>28</v>
      </c>
      <c r="B1" s="6" t="s">
        <v>29</v>
      </c>
      <c r="C1" s="16" t="s">
        <v>30</v>
      </c>
      <c r="D1" s="16" t="s">
        <v>27</v>
      </c>
      <c r="E1" s="16" t="s">
        <v>6</v>
      </c>
      <c r="F1" s="15" t="s">
        <v>42</v>
      </c>
      <c r="G1" s="16" t="s">
        <v>57</v>
      </c>
    </row>
    <row r="2" spans="1:7" x14ac:dyDescent="0.25">
      <c r="A2" s="16" t="s">
        <v>465</v>
      </c>
      <c r="B2" s="6" t="str">
        <f ca="1">TEXT(NOW(),"YYYY-MM-DD")</f>
        <v>2026-09-15</v>
      </c>
      <c r="C2" s="16" t="s">
        <v>434</v>
      </c>
      <c r="D2" s="16" t="s">
        <v>283</v>
      </c>
      <c r="E2" s="16" t="s">
        <v>39</v>
      </c>
      <c r="F2" s="16" t="s">
        <v>43</v>
      </c>
      <c r="G2" s="16" t="s">
        <v>411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RowHeight="15" x14ac:dyDescent="0.25"/>
  <cols>
    <col min="1" max="1" width="19.5703125" bestFit="1" customWidth="1" collapsed="1"/>
    <col min="2" max="2" width="8.7109375" customWidth="1" collapsed="1"/>
    <col min="3" max="3" width="15.5703125" bestFit="1" customWidth="1" collapsed="1"/>
    <col min="5" max="5" width="27.28515625" bestFit="1" customWidth="1" collapsed="1"/>
    <col min="6" max="6" width="19.28515625" bestFit="1" customWidth="1" collapsed="1"/>
    <col min="7" max="7" width="10.5703125" bestFit="1" customWidth="1" collapsed="1"/>
    <col min="8" max="8" width="10.28515625" bestFit="1" customWidth="1" collapsed="1"/>
  </cols>
  <sheetData>
    <row r="1" spans="1:8" x14ac:dyDescent="0.25">
      <c r="A1" s="16" t="s">
        <v>23</v>
      </c>
      <c r="B1" s="16" t="s">
        <v>24</v>
      </c>
      <c r="C1" s="16" t="s">
        <v>27</v>
      </c>
      <c r="D1" s="16" t="s">
        <v>6</v>
      </c>
      <c r="E1" s="16" t="s">
        <v>123</v>
      </c>
      <c r="F1" s="15" t="s">
        <v>117</v>
      </c>
      <c r="G1" s="15" t="s">
        <v>118</v>
      </c>
      <c r="H1" s="15" t="s">
        <v>42</v>
      </c>
    </row>
    <row r="2" spans="1:8" x14ac:dyDescent="0.25">
      <c r="A2" s="16" t="s">
        <v>433</v>
      </c>
      <c r="B2" s="16" t="s">
        <v>230</v>
      </c>
      <c r="C2" s="16" t="s">
        <v>460</v>
      </c>
      <c r="D2" s="7" t="s">
        <v>39</v>
      </c>
      <c r="E2" s="17" t="s">
        <v>432</v>
      </c>
      <c r="F2" s="15" t="s">
        <v>121</v>
      </c>
      <c r="G2" s="15" t="s">
        <v>119</v>
      </c>
      <c r="H2" s="16" t="s">
        <v>43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5" x14ac:dyDescent="0.25"/>
  <cols>
    <col min="1" max="1" width="15.5703125" bestFit="1" customWidth="1" collapsed="1"/>
    <col min="4" max="4" width="11" bestFit="1" customWidth="1" collapsed="1"/>
  </cols>
  <sheetData>
    <row r="1" spans="1:4" x14ac:dyDescent="0.25">
      <c r="A1" s="16" t="s">
        <v>27</v>
      </c>
      <c r="B1" s="16" t="s">
        <v>6</v>
      </c>
      <c r="C1" s="15" t="s">
        <v>42</v>
      </c>
      <c r="D1" s="16" t="s">
        <v>57</v>
      </c>
    </row>
    <row r="2" spans="1:4" x14ac:dyDescent="0.25">
      <c r="A2" s="16" t="s">
        <v>460</v>
      </c>
      <c r="B2" s="16" t="s">
        <v>39</v>
      </c>
      <c r="C2" s="16" t="s">
        <v>43</v>
      </c>
      <c r="D2" s="16" t="s">
        <v>412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D2" sqref="D2"/>
    </sheetView>
  </sheetViews>
  <sheetFormatPr defaultRowHeight="15" x14ac:dyDescent="0.25"/>
  <cols>
    <col min="1" max="1" width="19.85546875" bestFit="1" customWidth="1" collapsed="1"/>
    <col min="3" max="3" width="13.28515625" bestFit="1" customWidth="1" collapsed="1"/>
    <col min="4" max="4" width="11.7109375" bestFit="1" customWidth="1" collapsed="1"/>
    <col min="7" max="7" width="30" bestFit="1" customWidth="1" collapsed="1"/>
    <col min="8" max="8" width="19.28515625" bestFit="1" customWidth="1" collapsed="1"/>
    <col min="9" max="9" width="10.5703125" bestFit="1" customWidth="1" collapsed="1"/>
    <col min="10" max="10" width="10.28515625" bestFit="1" customWidth="1" collapsed="1"/>
  </cols>
  <sheetData>
    <row r="1" spans="1:10" x14ac:dyDescent="0.25">
      <c r="A1" s="16" t="s">
        <v>23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6</v>
      </c>
      <c r="G1" s="16" t="s">
        <v>123</v>
      </c>
      <c r="H1" s="15" t="s">
        <v>117</v>
      </c>
      <c r="I1" s="15" t="s">
        <v>118</v>
      </c>
      <c r="J1" s="15" t="s">
        <v>42</v>
      </c>
    </row>
    <row r="2" spans="1:10" x14ac:dyDescent="0.25">
      <c r="A2" s="16" t="s">
        <v>433</v>
      </c>
      <c r="B2" s="16" t="s">
        <v>202</v>
      </c>
      <c r="C2" s="16" t="s">
        <v>434</v>
      </c>
      <c r="D2" s="16" t="s">
        <v>436</v>
      </c>
      <c r="E2" s="7" t="s">
        <v>460</v>
      </c>
      <c r="F2" s="7" t="s">
        <v>39</v>
      </c>
      <c r="G2" s="17" t="s">
        <v>435</v>
      </c>
      <c r="H2" s="15" t="s">
        <v>121</v>
      </c>
      <c r="I2" s="15" t="s">
        <v>119</v>
      </c>
      <c r="J2" s="16" t="s">
        <v>43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0.85546875" bestFit="1" customWidth="1" collapsed="1"/>
    <col min="2" max="2" width="12.42578125" bestFit="1" customWidth="1" collapsed="1"/>
    <col min="3" max="3" width="13.28515625" bestFit="1" customWidth="1" collapsed="1"/>
    <col min="4" max="4" width="15.5703125" bestFit="1" customWidth="1" collapsed="1"/>
    <col min="6" max="6" width="10.28515625" bestFit="1" customWidth="1" collapsed="1"/>
    <col min="7" max="7" width="11" bestFit="1" customWidth="1" collapsed="1"/>
  </cols>
  <sheetData>
    <row r="1" spans="1:7" x14ac:dyDescent="0.25">
      <c r="A1" s="16" t="s">
        <v>28</v>
      </c>
      <c r="B1" s="6" t="s">
        <v>29</v>
      </c>
      <c r="C1" s="16" t="s">
        <v>30</v>
      </c>
      <c r="D1" s="16" t="s">
        <v>27</v>
      </c>
      <c r="E1" s="16" t="s">
        <v>6</v>
      </c>
      <c r="F1" s="15" t="s">
        <v>42</v>
      </c>
      <c r="G1" s="16" t="s">
        <v>57</v>
      </c>
    </row>
    <row r="2" spans="1:7" x14ac:dyDescent="0.25">
      <c r="A2" s="16" t="s">
        <v>31</v>
      </c>
      <c r="B2" s="6" t="str">
        <f ca="1">TEXT(NOW(),"YYYY-MM-DD")</f>
        <v>2026-09-15</v>
      </c>
      <c r="C2" s="16" t="s">
        <v>434</v>
      </c>
      <c r="D2" s="16" t="s">
        <v>460</v>
      </c>
      <c r="E2" s="16" t="s">
        <v>39</v>
      </c>
      <c r="F2" s="16" t="s">
        <v>43</v>
      </c>
      <c r="G2" s="16" t="s">
        <v>411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2" sqref="D2"/>
    </sheetView>
  </sheetViews>
  <sheetFormatPr defaultRowHeight="15" x14ac:dyDescent="0.25"/>
  <cols>
    <col min="1" max="1" width="10.85546875" bestFit="1" customWidth="1" collapsed="1"/>
    <col min="2" max="2" width="12.42578125" style="6" bestFit="1" customWidth="1" collapsed="1"/>
    <col min="3" max="3" width="20.85546875" bestFit="1" customWidth="1" collapsed="1"/>
    <col min="4" max="4" width="15.28515625" customWidth="1" collapsed="1"/>
    <col min="7" max="7" width="11" bestFit="1" customWidth="1" collapsed="1"/>
  </cols>
  <sheetData>
    <row r="1" spans="1:7" x14ac:dyDescent="0.25">
      <c r="A1" s="1" t="s">
        <v>28</v>
      </c>
      <c r="B1" s="6" t="s">
        <v>29</v>
      </c>
      <c r="C1" s="16" t="s">
        <v>30</v>
      </c>
      <c r="D1" s="1" t="s">
        <v>27</v>
      </c>
      <c r="E1" s="1" t="s">
        <v>6</v>
      </c>
      <c r="F1" t="s">
        <v>42</v>
      </c>
      <c r="G1" s="16" t="s">
        <v>57</v>
      </c>
    </row>
    <row r="2" spans="1:7" x14ac:dyDescent="0.25">
      <c r="A2" s="1" t="s">
        <v>31</v>
      </c>
      <c r="B2" s="6" t="str">
        <f ca="1">TEXT(NOW(),"YYYY-MM-DD")</f>
        <v>2026-09-15</v>
      </c>
      <c r="C2" s="16" t="s">
        <v>434</v>
      </c>
      <c r="D2" s="1" t="s">
        <v>460</v>
      </c>
      <c r="E2" s="1" t="s">
        <v>39</v>
      </c>
      <c r="F2" s="1" t="s">
        <v>43</v>
      </c>
      <c r="G2" s="16" t="s">
        <v>411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E2" sqref="E2"/>
    </sheetView>
  </sheetViews>
  <sheetFormatPr defaultRowHeight="15" x14ac:dyDescent="0.25"/>
  <cols>
    <col min="1" max="1" width="22.140625" bestFit="1" customWidth="1" collapsed="1"/>
    <col min="2" max="2" width="12" customWidth="1" collapsed="1"/>
    <col min="3" max="3" width="9.140625" bestFit="1" customWidth="1" collapsed="1"/>
    <col min="4" max="4" width="13.5703125" bestFit="1" customWidth="1" collapsed="1"/>
    <col min="5" max="5" width="15.5703125" bestFit="1" customWidth="1" collapsed="1"/>
    <col min="7" max="7" width="23" bestFit="1" customWidth="1" collapsed="1"/>
    <col min="8" max="8" width="19.28515625" bestFit="1" customWidth="1" collapsed="1"/>
    <col min="9" max="9" width="10.5703125" bestFit="1" customWidth="1" collapsed="1"/>
  </cols>
  <sheetData>
    <row r="1" spans="1:10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6</v>
      </c>
      <c r="G1" s="16" t="s">
        <v>123</v>
      </c>
      <c r="H1" s="15" t="s">
        <v>117</v>
      </c>
      <c r="I1" s="15" t="s">
        <v>118</v>
      </c>
      <c r="J1" s="15" t="s">
        <v>42</v>
      </c>
    </row>
    <row r="2" spans="1:10" x14ac:dyDescent="0.25">
      <c r="A2" s="1" t="s">
        <v>232</v>
      </c>
      <c r="B2" s="1" t="s">
        <v>202</v>
      </c>
      <c r="C2" s="1" t="s">
        <v>434</v>
      </c>
      <c r="D2" s="1" t="s">
        <v>436</v>
      </c>
      <c r="E2" s="1" t="s">
        <v>460</v>
      </c>
      <c r="F2" s="7" t="s">
        <v>39</v>
      </c>
      <c r="G2" s="17" t="s">
        <v>437</v>
      </c>
      <c r="H2" s="15" t="s">
        <v>121</v>
      </c>
      <c r="I2" s="15" t="s">
        <v>119</v>
      </c>
      <c r="J2" s="16" t="s">
        <v>43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D5" sqref="D5"/>
    </sheetView>
  </sheetViews>
  <sheetFormatPr defaultRowHeight="15" x14ac:dyDescent="0.25"/>
  <cols>
    <col min="1" max="1" width="11.42578125" bestFit="1" customWidth="1" collapsed="1"/>
    <col min="2" max="2" width="17.5703125" bestFit="1" customWidth="1" collapsed="1"/>
    <col min="3" max="3" width="23" bestFit="1" customWidth="1" collapsed="1"/>
    <col min="4" max="4" width="15.5703125" bestFit="1" customWidth="1" collapsed="1"/>
    <col min="5" max="5" width="6.85546875" customWidth="1" collapsed="1"/>
    <col min="6" max="6" width="27.140625" style="15" bestFit="1" customWidth="1" collapsed="1"/>
    <col min="7" max="7" width="19.28515625" style="15" bestFit="1" customWidth="1" collapsed="1"/>
    <col min="8" max="8" width="10.28515625" bestFit="1" customWidth="1" collapsed="1"/>
    <col min="9" max="9" width="23.42578125" bestFit="1" customWidth="1" collapsed="1"/>
  </cols>
  <sheetData>
    <row r="1" spans="1:9" x14ac:dyDescent="0.25">
      <c r="A1" s="16" t="s">
        <v>213</v>
      </c>
      <c r="B1" s="16" t="s">
        <v>29</v>
      </c>
      <c r="C1" s="16" t="s">
        <v>25</v>
      </c>
      <c r="D1" s="16" t="s">
        <v>92</v>
      </c>
      <c r="E1" s="16" t="s">
        <v>6</v>
      </c>
      <c r="F1" s="16" t="s">
        <v>123</v>
      </c>
      <c r="G1" s="15" t="s">
        <v>117</v>
      </c>
      <c r="H1" s="16" t="s">
        <v>42</v>
      </c>
      <c r="I1" s="15" t="s">
        <v>57</v>
      </c>
    </row>
    <row r="2" spans="1:9" x14ac:dyDescent="0.25">
      <c r="A2" s="16" t="s">
        <v>226</v>
      </c>
      <c r="B2" s="19" t="str">
        <f ca="1">TEXT(NOW(), "mm/dd/yyyy")</f>
        <v>09/15/2026</v>
      </c>
      <c r="C2" s="15" t="s">
        <v>240</v>
      </c>
      <c r="D2" s="16" t="s">
        <v>461</v>
      </c>
      <c r="E2" s="7" t="s">
        <v>73</v>
      </c>
      <c r="F2" s="17" t="s">
        <v>438</v>
      </c>
      <c r="G2" s="16" t="s">
        <v>121</v>
      </c>
      <c r="H2" s="16" t="s">
        <v>43</v>
      </c>
      <c r="I2" s="9" t="s">
        <v>459</v>
      </c>
    </row>
    <row r="3" spans="1:9" x14ac:dyDescent="0.25">
      <c r="A3" s="16" t="s">
        <v>225</v>
      </c>
      <c r="B3" s="19" t="str">
        <f ca="1">TEXT(NOW(), "mm/dd/yyyy")</f>
        <v>09/15/2026</v>
      </c>
      <c r="C3" s="15" t="s">
        <v>240</v>
      </c>
      <c r="D3" s="16" t="s">
        <v>214</v>
      </c>
      <c r="E3" s="16" t="s">
        <v>74</v>
      </c>
      <c r="F3" s="16"/>
      <c r="G3" s="16"/>
      <c r="H3" s="16" t="s">
        <v>43</v>
      </c>
      <c r="I3" s="9" t="s">
        <v>459</v>
      </c>
    </row>
    <row r="4" spans="1:9" x14ac:dyDescent="0.25">
      <c r="A4" s="16" t="s">
        <v>215</v>
      </c>
      <c r="B4" s="19" t="str">
        <f ca="1">TEXT(NOW(), "mm/dd/yyyy")</f>
        <v>09/15/2026</v>
      </c>
      <c r="C4" s="15" t="s">
        <v>240</v>
      </c>
      <c r="D4" s="16" t="s">
        <v>224</v>
      </c>
      <c r="E4" s="7" t="s">
        <v>227</v>
      </c>
      <c r="F4" s="16"/>
      <c r="G4" s="16"/>
      <c r="H4" s="16" t="s">
        <v>43</v>
      </c>
      <c r="I4" s="9" t="s">
        <v>459</v>
      </c>
    </row>
    <row r="5" spans="1:9" x14ac:dyDescent="0.25">
      <c r="A5" s="16" t="s">
        <v>31</v>
      </c>
      <c r="B5" s="19" t="str">
        <f ca="1">TEXT(NOW(), "mm/dd/yyyy")</f>
        <v>09/15/2026</v>
      </c>
      <c r="C5" s="15" t="s">
        <v>240</v>
      </c>
      <c r="D5" s="16" t="s">
        <v>462</v>
      </c>
      <c r="E5" s="7" t="s">
        <v>228</v>
      </c>
      <c r="F5" s="16"/>
      <c r="G5" s="16"/>
      <c r="H5" s="16" t="s">
        <v>43</v>
      </c>
      <c r="I5" s="9" t="s">
        <v>459</v>
      </c>
    </row>
  </sheetData>
  <pageMargins left="0.7" right="0.7" top="0.75" bottom="0.75" header="0.3" footer="0.3"/>
  <pageSetup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" sqref="C2"/>
    </sheetView>
  </sheetViews>
  <sheetFormatPr defaultRowHeight="15" x14ac:dyDescent="0.25"/>
  <cols>
    <col min="1" max="1" width="19.5703125" bestFit="1" customWidth="1" collapsed="1"/>
    <col min="2" max="2" width="8.85546875" customWidth="1" collapsed="1"/>
    <col min="3" max="3" width="15.5703125" bestFit="1" customWidth="1" collapsed="1"/>
    <col min="5" max="5" width="27.28515625" bestFit="1" customWidth="1" collapsed="1"/>
    <col min="6" max="6" width="19.28515625" bestFit="1" customWidth="1" collapsed="1"/>
    <col min="7" max="7" width="10.5703125" bestFit="1" customWidth="1" collapsed="1"/>
    <col min="8" max="8" width="10.28515625" bestFit="1" customWidth="1" collapsed="1"/>
  </cols>
  <sheetData>
    <row r="1" spans="1:8" x14ac:dyDescent="0.25">
      <c r="A1" s="16" t="s">
        <v>23</v>
      </c>
      <c r="B1" s="16" t="s">
        <v>24</v>
      </c>
      <c r="C1" s="16" t="s">
        <v>27</v>
      </c>
      <c r="D1" s="16" t="s">
        <v>6</v>
      </c>
      <c r="E1" s="16" t="s">
        <v>123</v>
      </c>
      <c r="F1" s="15" t="s">
        <v>117</v>
      </c>
      <c r="G1" s="15" t="s">
        <v>118</v>
      </c>
      <c r="H1" s="15" t="s">
        <v>42</v>
      </c>
    </row>
    <row r="2" spans="1:8" x14ac:dyDescent="0.25">
      <c r="A2" s="16" t="s">
        <v>433</v>
      </c>
      <c r="B2" s="16" t="s">
        <v>501</v>
      </c>
      <c r="C2" s="16" t="s">
        <v>460</v>
      </c>
      <c r="D2" s="7" t="s">
        <v>39</v>
      </c>
      <c r="E2" s="17" t="s">
        <v>432</v>
      </c>
      <c r="F2" s="15" t="s">
        <v>121</v>
      </c>
      <c r="G2" s="15" t="s">
        <v>119</v>
      </c>
      <c r="H2" s="16" t="s">
        <v>43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5" x14ac:dyDescent="0.25"/>
  <cols>
    <col min="1" max="1" width="15.5703125" bestFit="1" customWidth="1" collapsed="1"/>
    <col min="3" max="3" width="10.28515625" bestFit="1" customWidth="1" collapsed="1"/>
    <col min="4" max="4" width="8" bestFit="1" customWidth="1" collapsed="1"/>
  </cols>
  <sheetData>
    <row r="1" spans="1:4" x14ac:dyDescent="0.25">
      <c r="A1" s="16" t="s">
        <v>27</v>
      </c>
      <c r="B1" s="16" t="s">
        <v>6</v>
      </c>
      <c r="C1" s="15" t="s">
        <v>42</v>
      </c>
      <c r="D1" s="16" t="s">
        <v>57</v>
      </c>
    </row>
    <row r="2" spans="1:4" x14ac:dyDescent="0.25">
      <c r="A2" s="16" t="s">
        <v>460</v>
      </c>
      <c r="B2" s="16" t="s">
        <v>39</v>
      </c>
      <c r="C2" s="16" t="s">
        <v>43</v>
      </c>
      <c r="D2" s="16" t="s">
        <v>412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5" x14ac:dyDescent="0.25"/>
  <cols>
    <col min="2" max="2" width="22" bestFit="1" customWidth="1" collapsed="1"/>
    <col min="3" max="3" width="10.5703125" bestFit="1" customWidth="1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17" t="s">
        <v>110</v>
      </c>
      <c r="B2" s="16" t="s">
        <v>122</v>
      </c>
      <c r="C2" s="15" t="s">
        <v>119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cols>
    <col min="1" max="1" width="20.28515625" bestFit="1" customWidth="1" collapsed="1"/>
  </cols>
  <sheetData>
    <row r="1" spans="1:2" x14ac:dyDescent="0.25">
      <c r="A1" t="s">
        <v>56</v>
      </c>
      <c r="B1" t="s">
        <v>42</v>
      </c>
    </row>
    <row r="2" spans="1:2" x14ac:dyDescent="0.25">
      <c r="A2" t="s">
        <v>72</v>
      </c>
      <c r="B2" s="1" t="s">
        <v>43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cols>
    <col min="1" max="1" width="26.5703125" bestFit="1" customWidth="1" collapsed="1"/>
  </cols>
  <sheetData>
    <row r="1" spans="1:1" x14ac:dyDescent="0.25">
      <c r="A1" t="s">
        <v>67</v>
      </c>
    </row>
    <row r="2" spans="1:1" x14ac:dyDescent="0.25">
      <c r="A2" t="s">
        <v>231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"/>
  <sheetViews>
    <sheetView workbookViewId="0">
      <selection activeCell="D12" sqref="D12"/>
    </sheetView>
  </sheetViews>
  <sheetFormatPr defaultRowHeight="15" x14ac:dyDescent="0.25"/>
  <cols>
    <col min="1" max="1" width="21" bestFit="1" customWidth="1" collapsed="1"/>
    <col min="2" max="2" width="10.42578125" bestFit="1" customWidth="1" collapsed="1"/>
    <col min="3" max="3" width="10.7109375" customWidth="1" collapsed="1"/>
    <col min="4" max="4" width="32.7109375" bestFit="1" customWidth="1" collapsed="1"/>
    <col min="5" max="5" width="32.7109375" customWidth="1" collapsed="1"/>
    <col min="7" max="7" width="10.28515625" bestFit="1" customWidth="1" collapsed="1"/>
    <col min="8" max="8" width="25.140625" bestFit="1" customWidth="1" collapsed="1"/>
    <col min="9" max="9" width="10.5703125" bestFit="1" customWidth="1" collapsed="1"/>
    <col min="10" max="10" width="16.5703125" bestFit="1" customWidth="1" collapsed="1"/>
  </cols>
  <sheetData>
    <row r="1" spans="1:10" x14ac:dyDescent="0.25">
      <c r="A1" s="1" t="s">
        <v>17</v>
      </c>
      <c r="B1" s="1" t="s">
        <v>18</v>
      </c>
      <c r="C1" s="1" t="s">
        <v>19</v>
      </c>
      <c r="D1" t="s">
        <v>4</v>
      </c>
      <c r="E1" t="s">
        <v>86</v>
      </c>
      <c r="F1" s="1" t="s">
        <v>6</v>
      </c>
      <c r="G1" t="s">
        <v>42</v>
      </c>
      <c r="H1" s="15" t="s">
        <v>117</v>
      </c>
      <c r="I1" s="16" t="s">
        <v>118</v>
      </c>
      <c r="J1" s="16" t="s">
        <v>194</v>
      </c>
    </row>
    <row r="2" spans="1:10" x14ac:dyDescent="0.25">
      <c r="A2" s="1" t="s">
        <v>239</v>
      </c>
      <c r="B2" s="6" t="str">
        <f ca="1">TEXT(NOW(),"YYYY-MM-DD")</f>
        <v>2026-09-15</v>
      </c>
      <c r="C2" s="6" t="str">
        <f ca="1">TEXT(NOW(),"YYYY-MM-DD")</f>
        <v>2026-09-15</v>
      </c>
      <c r="D2" s="1" t="s">
        <v>173</v>
      </c>
      <c r="E2" s="1" t="s">
        <v>175</v>
      </c>
      <c r="F2" s="7" t="s">
        <v>109</v>
      </c>
      <c r="G2" s="1" t="s">
        <v>43</v>
      </c>
      <c r="H2" s="16" t="s">
        <v>166</v>
      </c>
      <c r="I2" s="16" t="s">
        <v>119</v>
      </c>
      <c r="J2" s="16" t="s">
        <v>193</v>
      </c>
    </row>
    <row r="3" spans="1:10" x14ac:dyDescent="0.25">
      <c r="B3" s="6"/>
      <c r="C3" s="6"/>
    </row>
    <row r="4" spans="1:10" x14ac:dyDescent="0.25">
      <c r="B4" s="6"/>
      <c r="C4" s="6"/>
    </row>
    <row r="5" spans="1:10" x14ac:dyDescent="0.25">
      <c r="B5" s="6"/>
      <c r="C5" s="6"/>
    </row>
    <row r="6" spans="1:10" x14ac:dyDescent="0.25">
      <c r="B6" s="6"/>
      <c r="C6" s="6"/>
    </row>
    <row r="7" spans="1:10" x14ac:dyDescent="0.25">
      <c r="B7" s="6"/>
      <c r="C7" s="6"/>
    </row>
    <row r="8" spans="1:10" x14ac:dyDescent="0.25">
      <c r="B8" s="6"/>
      <c r="C8" s="6"/>
    </row>
    <row r="9" spans="1:10" x14ac:dyDescent="0.25">
      <c r="B9" s="6"/>
      <c r="C9" s="6"/>
    </row>
    <row r="10" spans="1:10" x14ac:dyDescent="0.25">
      <c r="B10" s="6"/>
      <c r="C10" s="6"/>
    </row>
    <row r="11" spans="1:10" x14ac:dyDescent="0.25">
      <c r="B11" s="6"/>
      <c r="C11" s="6"/>
    </row>
    <row r="12" spans="1:10" x14ac:dyDescent="0.25">
      <c r="B12" s="6"/>
      <c r="C12" s="6"/>
    </row>
    <row r="13" spans="1:10" x14ac:dyDescent="0.25">
      <c r="B13" s="6"/>
      <c r="C13" s="6"/>
    </row>
    <row r="14" spans="1:10" x14ac:dyDescent="0.25">
      <c r="B14" s="6"/>
      <c r="C14" s="6"/>
    </row>
    <row r="15" spans="1:10" x14ac:dyDescent="0.25">
      <c r="B15" s="6"/>
      <c r="C15" s="6"/>
    </row>
    <row r="16" spans="1:10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B28" s="6"/>
      <c r="C28" s="6"/>
    </row>
    <row r="29" spans="2:3" x14ac:dyDescent="0.25">
      <c r="B29" s="6"/>
      <c r="C29" s="6"/>
    </row>
    <row r="30" spans="2:3" x14ac:dyDescent="0.25">
      <c r="B30" s="6"/>
      <c r="C30" s="6"/>
    </row>
    <row r="31" spans="2:3" x14ac:dyDescent="0.25">
      <c r="B31" s="6"/>
      <c r="C31" s="6"/>
    </row>
    <row r="32" spans="2:3" x14ac:dyDescent="0.25">
      <c r="B32" s="6"/>
      <c r="C32" s="6"/>
    </row>
    <row r="33" spans="2:3" x14ac:dyDescent="0.25">
      <c r="B33" s="6"/>
      <c r="C33" s="6"/>
    </row>
    <row r="34" spans="2:3" x14ac:dyDescent="0.25">
      <c r="B34" s="6"/>
      <c r="C34" s="6"/>
    </row>
    <row r="35" spans="2:3" x14ac:dyDescent="0.25">
      <c r="B35" s="6"/>
      <c r="C35" s="6"/>
    </row>
    <row r="36" spans="2:3" x14ac:dyDescent="0.25">
      <c r="B36" s="6"/>
      <c r="C36" s="6"/>
    </row>
    <row r="37" spans="2:3" x14ac:dyDescent="0.25">
      <c r="B37" s="6"/>
      <c r="C37" s="6"/>
    </row>
    <row r="38" spans="2:3" x14ac:dyDescent="0.25">
      <c r="B38" s="6"/>
      <c r="C38" s="6"/>
    </row>
    <row r="39" spans="2:3" x14ac:dyDescent="0.25">
      <c r="B39" s="6"/>
      <c r="C39" s="6"/>
    </row>
    <row r="40" spans="2:3" x14ac:dyDescent="0.25">
      <c r="B40" s="6"/>
      <c r="C40" s="6"/>
    </row>
    <row r="41" spans="2:3" x14ac:dyDescent="0.25">
      <c r="B41" s="6"/>
      <c r="C41" s="6"/>
    </row>
    <row r="42" spans="2:3" x14ac:dyDescent="0.25">
      <c r="B42" s="6"/>
      <c r="C42" s="6"/>
    </row>
    <row r="43" spans="2:3" x14ac:dyDescent="0.25">
      <c r="B43" s="6"/>
      <c r="C43" s="6"/>
    </row>
    <row r="44" spans="2:3" x14ac:dyDescent="0.25">
      <c r="B44" s="6"/>
      <c r="C44" s="6"/>
    </row>
    <row r="45" spans="2:3" x14ac:dyDescent="0.25">
      <c r="B45" s="6"/>
      <c r="C45" s="6"/>
    </row>
    <row r="46" spans="2:3" x14ac:dyDescent="0.25">
      <c r="B46" s="6"/>
      <c r="C46" s="6"/>
    </row>
    <row r="47" spans="2:3" x14ac:dyDescent="0.25">
      <c r="B47" s="6"/>
      <c r="C47" s="6"/>
    </row>
    <row r="48" spans="2:3" x14ac:dyDescent="0.25">
      <c r="B48" s="6"/>
      <c r="C48" s="6"/>
    </row>
    <row r="49" spans="2:3" x14ac:dyDescent="0.25">
      <c r="B49" s="6"/>
      <c r="C49" s="6"/>
    </row>
    <row r="50" spans="2:3" x14ac:dyDescent="0.25">
      <c r="B50" s="6"/>
      <c r="C50" s="6"/>
    </row>
    <row r="51" spans="2:3" x14ac:dyDescent="0.25">
      <c r="B51" s="6"/>
      <c r="C51" s="6"/>
    </row>
    <row r="52" spans="2:3" x14ac:dyDescent="0.25">
      <c r="B52" s="6"/>
      <c r="C52" s="6"/>
    </row>
    <row r="53" spans="2:3" x14ac:dyDescent="0.25">
      <c r="B53" s="6"/>
      <c r="C53" s="6"/>
    </row>
    <row r="54" spans="2:3" x14ac:dyDescent="0.25">
      <c r="B54" s="6"/>
      <c r="C54" s="6"/>
    </row>
    <row r="55" spans="2:3" x14ac:dyDescent="0.25">
      <c r="B55" s="6"/>
      <c r="C55" s="6"/>
    </row>
    <row r="56" spans="2:3" x14ac:dyDescent="0.25">
      <c r="B56" s="6"/>
      <c r="C56" s="6"/>
    </row>
    <row r="57" spans="2:3" x14ac:dyDescent="0.25">
      <c r="B57" s="6"/>
      <c r="C57" s="6"/>
    </row>
    <row r="58" spans="2:3" x14ac:dyDescent="0.25">
      <c r="B58" s="6"/>
      <c r="C58" s="6"/>
    </row>
    <row r="59" spans="2:3" x14ac:dyDescent="0.25">
      <c r="B59" s="6"/>
      <c r="C59" s="6"/>
    </row>
    <row r="60" spans="2:3" x14ac:dyDescent="0.25">
      <c r="B60" s="6"/>
      <c r="C60" s="6"/>
    </row>
    <row r="61" spans="2:3" x14ac:dyDescent="0.25">
      <c r="B61" s="6"/>
      <c r="C61" s="6"/>
    </row>
    <row r="62" spans="2:3" x14ac:dyDescent="0.25">
      <c r="B62" s="6"/>
      <c r="C62" s="6"/>
    </row>
    <row r="63" spans="2:3" x14ac:dyDescent="0.25">
      <c r="B63" s="6"/>
      <c r="C63" s="6"/>
    </row>
    <row r="64" spans="2:3" x14ac:dyDescent="0.25">
      <c r="B64" s="6"/>
      <c r="C64" s="6"/>
    </row>
    <row r="65" spans="2:3" x14ac:dyDescent="0.25">
      <c r="B65" s="6"/>
      <c r="C65" s="6"/>
    </row>
    <row r="66" spans="2:3" x14ac:dyDescent="0.25">
      <c r="B66" s="6"/>
      <c r="C66" s="6"/>
    </row>
    <row r="67" spans="2:3" x14ac:dyDescent="0.25">
      <c r="B67" s="6"/>
      <c r="C67" s="6"/>
    </row>
    <row r="68" spans="2:3" x14ac:dyDescent="0.25">
      <c r="B68" s="6"/>
      <c r="C68" s="6"/>
    </row>
    <row r="69" spans="2:3" x14ac:dyDescent="0.25">
      <c r="B69" s="6"/>
      <c r="C69" s="6"/>
    </row>
    <row r="70" spans="2:3" x14ac:dyDescent="0.25">
      <c r="B70" s="6"/>
      <c r="C70" s="6"/>
    </row>
    <row r="71" spans="2:3" x14ac:dyDescent="0.25">
      <c r="B71" s="6"/>
      <c r="C71" s="6"/>
    </row>
    <row r="72" spans="2:3" x14ac:dyDescent="0.25">
      <c r="B72" s="6"/>
      <c r="C72" s="6"/>
    </row>
    <row r="73" spans="2:3" x14ac:dyDescent="0.25">
      <c r="B73" s="6"/>
      <c r="C73" s="6"/>
    </row>
    <row r="74" spans="2:3" x14ac:dyDescent="0.25">
      <c r="B74" s="6"/>
      <c r="C74" s="6"/>
    </row>
    <row r="75" spans="2:3" x14ac:dyDescent="0.25">
      <c r="B75" s="6"/>
      <c r="C75" s="6"/>
    </row>
    <row r="76" spans="2:3" x14ac:dyDescent="0.25">
      <c r="B76" s="6"/>
      <c r="C76" s="6"/>
    </row>
    <row r="77" spans="2:3" x14ac:dyDescent="0.25">
      <c r="B77" s="6"/>
      <c r="C77" s="6"/>
    </row>
    <row r="78" spans="2:3" x14ac:dyDescent="0.25">
      <c r="B78" s="6"/>
      <c r="C78" s="6"/>
    </row>
    <row r="79" spans="2:3" x14ac:dyDescent="0.25">
      <c r="B79" s="6"/>
      <c r="C79" s="6"/>
    </row>
    <row r="80" spans="2:3" x14ac:dyDescent="0.25">
      <c r="B80" s="6"/>
      <c r="C80" s="6"/>
    </row>
    <row r="81" spans="2:3" x14ac:dyDescent="0.25">
      <c r="B81" s="6"/>
      <c r="C81" s="6"/>
    </row>
    <row r="82" spans="2:3" x14ac:dyDescent="0.25">
      <c r="B82" s="6"/>
      <c r="C82" s="6"/>
    </row>
    <row r="83" spans="2:3" x14ac:dyDescent="0.25">
      <c r="B83" s="6"/>
      <c r="C83" s="6"/>
    </row>
    <row r="84" spans="2:3" x14ac:dyDescent="0.25">
      <c r="B84" s="6"/>
      <c r="C84" s="6"/>
    </row>
    <row r="85" spans="2:3" x14ac:dyDescent="0.25">
      <c r="B85" s="6"/>
      <c r="C85" s="6"/>
    </row>
    <row r="86" spans="2:3" x14ac:dyDescent="0.25">
      <c r="B86" s="6"/>
      <c r="C86" s="6"/>
    </row>
    <row r="87" spans="2:3" x14ac:dyDescent="0.25">
      <c r="B87" s="6"/>
      <c r="C87" s="6"/>
    </row>
    <row r="88" spans="2:3" x14ac:dyDescent="0.25">
      <c r="B88" s="6"/>
      <c r="C88" s="6"/>
    </row>
    <row r="89" spans="2:3" x14ac:dyDescent="0.25">
      <c r="B89" s="6"/>
      <c r="C89" s="6"/>
    </row>
    <row r="90" spans="2:3" x14ac:dyDescent="0.25">
      <c r="B90" s="6"/>
      <c r="C90" s="6"/>
    </row>
    <row r="91" spans="2:3" x14ac:dyDescent="0.25">
      <c r="B91" s="6"/>
      <c r="C91" s="6"/>
    </row>
    <row r="92" spans="2:3" x14ac:dyDescent="0.25">
      <c r="B92" s="6"/>
      <c r="C92" s="6"/>
    </row>
    <row r="93" spans="2:3" x14ac:dyDescent="0.25">
      <c r="B93" s="6"/>
      <c r="C93" s="6"/>
    </row>
    <row r="94" spans="2:3" x14ac:dyDescent="0.25">
      <c r="B94" s="6"/>
      <c r="C94" s="6"/>
    </row>
    <row r="95" spans="2:3" x14ac:dyDescent="0.25">
      <c r="B95" s="6"/>
      <c r="C95" s="6"/>
    </row>
    <row r="96" spans="2:3" x14ac:dyDescent="0.25">
      <c r="B96" s="6"/>
      <c r="C96" s="6"/>
    </row>
    <row r="97" spans="2:3" x14ac:dyDescent="0.25">
      <c r="B97" s="6"/>
      <c r="C97" s="6"/>
    </row>
    <row r="98" spans="2:3" x14ac:dyDescent="0.25">
      <c r="B98" s="6"/>
      <c r="C98" s="6"/>
    </row>
    <row r="99" spans="2:3" x14ac:dyDescent="0.25">
      <c r="B99" s="6"/>
      <c r="C99" s="6"/>
    </row>
    <row r="100" spans="2:3" x14ac:dyDescent="0.25">
      <c r="B100" s="6"/>
      <c r="C100" s="6"/>
    </row>
    <row r="101" spans="2:3" x14ac:dyDescent="0.25">
      <c r="B101" s="6"/>
      <c r="C101" s="6"/>
    </row>
    <row r="102" spans="2:3" x14ac:dyDescent="0.25">
      <c r="B102" s="6"/>
      <c r="C102" s="6"/>
    </row>
    <row r="103" spans="2:3" x14ac:dyDescent="0.25">
      <c r="B103" s="6"/>
      <c r="C103" s="6"/>
    </row>
    <row r="104" spans="2:3" x14ac:dyDescent="0.25">
      <c r="B104" s="6"/>
      <c r="C104" s="6"/>
    </row>
    <row r="105" spans="2:3" x14ac:dyDescent="0.25">
      <c r="B105" s="6"/>
      <c r="C105" s="6"/>
    </row>
    <row r="106" spans="2:3" x14ac:dyDescent="0.25">
      <c r="B106" s="6"/>
      <c r="C106" s="6"/>
    </row>
    <row r="107" spans="2:3" x14ac:dyDescent="0.25">
      <c r="B107" s="6"/>
      <c r="C107" s="6"/>
    </row>
    <row r="108" spans="2:3" x14ac:dyDescent="0.25">
      <c r="B108" s="6"/>
      <c r="C108" s="6"/>
    </row>
    <row r="109" spans="2:3" x14ac:dyDescent="0.25">
      <c r="B109" s="6"/>
      <c r="C109" s="6"/>
    </row>
    <row r="110" spans="2:3" x14ac:dyDescent="0.25">
      <c r="B110" s="6"/>
      <c r="C110" s="6"/>
    </row>
    <row r="111" spans="2:3" x14ac:dyDescent="0.25">
      <c r="B111" s="6"/>
      <c r="C111" s="6"/>
    </row>
    <row r="112" spans="2:3" x14ac:dyDescent="0.25">
      <c r="B112" s="6"/>
      <c r="C112" s="6"/>
    </row>
    <row r="113" spans="2:3" x14ac:dyDescent="0.25">
      <c r="B113" s="6"/>
      <c r="C113" s="6"/>
    </row>
    <row r="114" spans="2:3" x14ac:dyDescent="0.25">
      <c r="B114" s="6"/>
      <c r="C114" s="6"/>
    </row>
    <row r="115" spans="2:3" x14ac:dyDescent="0.25">
      <c r="B115" s="6"/>
      <c r="C115" s="6"/>
    </row>
    <row r="116" spans="2:3" x14ac:dyDescent="0.25">
      <c r="B116" s="6"/>
      <c r="C116" s="6"/>
    </row>
    <row r="117" spans="2:3" x14ac:dyDescent="0.25">
      <c r="B117" s="6"/>
      <c r="C117" s="6"/>
    </row>
    <row r="118" spans="2:3" x14ac:dyDescent="0.25">
      <c r="B118" s="6"/>
      <c r="C118" s="6"/>
    </row>
    <row r="119" spans="2:3" x14ac:dyDescent="0.25">
      <c r="B119" s="6"/>
      <c r="C119" s="6"/>
    </row>
    <row r="120" spans="2:3" x14ac:dyDescent="0.25">
      <c r="B120" s="6"/>
      <c r="C120" s="6"/>
    </row>
    <row r="121" spans="2:3" x14ac:dyDescent="0.25">
      <c r="B121" s="6"/>
      <c r="C121" s="6"/>
    </row>
    <row r="122" spans="2:3" x14ac:dyDescent="0.25">
      <c r="B122" s="6"/>
      <c r="C122" s="6"/>
    </row>
    <row r="123" spans="2:3" x14ac:dyDescent="0.25">
      <c r="B123" s="6"/>
      <c r="C123" s="6"/>
    </row>
    <row r="124" spans="2:3" x14ac:dyDescent="0.25">
      <c r="B124" s="6"/>
      <c r="C124" s="6"/>
    </row>
    <row r="125" spans="2:3" x14ac:dyDescent="0.25">
      <c r="B125" s="6"/>
      <c r="C125" s="6"/>
    </row>
    <row r="126" spans="2:3" x14ac:dyDescent="0.25">
      <c r="B126" s="6"/>
      <c r="C126" s="6"/>
    </row>
    <row r="127" spans="2:3" x14ac:dyDescent="0.25">
      <c r="B127" s="6"/>
      <c r="C127" s="6"/>
    </row>
    <row r="128" spans="2:3" x14ac:dyDescent="0.25">
      <c r="B128" s="6"/>
      <c r="C128" s="6"/>
    </row>
    <row r="129" spans="2:3" x14ac:dyDescent="0.25">
      <c r="B129" s="6"/>
      <c r="C129" s="6"/>
    </row>
    <row r="130" spans="2:3" x14ac:dyDescent="0.25">
      <c r="B130" s="6"/>
      <c r="C130" s="6"/>
    </row>
    <row r="131" spans="2:3" x14ac:dyDescent="0.25">
      <c r="B131" s="6"/>
      <c r="C131" s="6"/>
    </row>
    <row r="132" spans="2:3" x14ac:dyDescent="0.25">
      <c r="B132" s="6"/>
      <c r="C132" s="6"/>
    </row>
    <row r="133" spans="2:3" x14ac:dyDescent="0.25">
      <c r="B133" s="6"/>
      <c r="C133" s="6"/>
    </row>
    <row r="134" spans="2:3" x14ac:dyDescent="0.25">
      <c r="B134" s="6"/>
      <c r="C134" s="6"/>
    </row>
    <row r="135" spans="2:3" x14ac:dyDescent="0.25">
      <c r="B135" s="6"/>
      <c r="C135" s="6"/>
    </row>
    <row r="136" spans="2:3" x14ac:dyDescent="0.25">
      <c r="B136" s="6"/>
      <c r="C136" s="6"/>
    </row>
    <row r="137" spans="2:3" x14ac:dyDescent="0.25">
      <c r="B137" s="6"/>
      <c r="C137" s="6"/>
    </row>
    <row r="138" spans="2:3" x14ac:dyDescent="0.25">
      <c r="B138" s="6"/>
      <c r="C138" s="6"/>
    </row>
    <row r="139" spans="2:3" x14ac:dyDescent="0.25">
      <c r="B139" s="6"/>
      <c r="C139" s="6"/>
    </row>
    <row r="140" spans="2:3" x14ac:dyDescent="0.25">
      <c r="B140" s="6"/>
      <c r="C140" s="6"/>
    </row>
    <row r="141" spans="2:3" x14ac:dyDescent="0.25">
      <c r="B141" s="6"/>
      <c r="C141" s="6"/>
    </row>
    <row r="142" spans="2:3" x14ac:dyDescent="0.25">
      <c r="B142" s="6"/>
      <c r="C142" s="6"/>
    </row>
    <row r="143" spans="2:3" x14ac:dyDescent="0.25">
      <c r="B143" s="6"/>
      <c r="C143" s="6"/>
    </row>
    <row r="144" spans="2:3" x14ac:dyDescent="0.25">
      <c r="B144" s="6"/>
      <c r="C144" s="6"/>
    </row>
    <row r="145" spans="2:3" x14ac:dyDescent="0.25">
      <c r="B145" s="6"/>
      <c r="C145" s="6"/>
    </row>
    <row r="146" spans="2:3" x14ac:dyDescent="0.25">
      <c r="B146" s="6"/>
      <c r="C146" s="6"/>
    </row>
    <row r="147" spans="2:3" x14ac:dyDescent="0.25">
      <c r="B147" s="6"/>
      <c r="C147" s="6"/>
    </row>
    <row r="148" spans="2:3" x14ac:dyDescent="0.25">
      <c r="B148" s="6"/>
      <c r="C148" s="6"/>
    </row>
    <row r="149" spans="2:3" x14ac:dyDescent="0.25">
      <c r="B149" s="6"/>
      <c r="C149" s="6"/>
    </row>
    <row r="150" spans="2:3" x14ac:dyDescent="0.25">
      <c r="B150" s="6"/>
      <c r="C150" s="6"/>
    </row>
    <row r="151" spans="2:3" x14ac:dyDescent="0.25">
      <c r="B151" s="6"/>
      <c r="C151" s="6"/>
    </row>
    <row r="152" spans="2:3" x14ac:dyDescent="0.25">
      <c r="B152" s="6"/>
      <c r="C152" s="6"/>
    </row>
    <row r="153" spans="2:3" x14ac:dyDescent="0.25">
      <c r="B153" s="6"/>
      <c r="C153" s="6"/>
    </row>
    <row r="154" spans="2:3" x14ac:dyDescent="0.25">
      <c r="B154" s="6"/>
      <c r="C154" s="6"/>
    </row>
    <row r="155" spans="2:3" x14ac:dyDescent="0.25">
      <c r="B155" s="6"/>
      <c r="C155" s="6"/>
    </row>
    <row r="156" spans="2:3" x14ac:dyDescent="0.25">
      <c r="B156" s="6"/>
      <c r="C156" s="6"/>
    </row>
    <row r="157" spans="2:3" x14ac:dyDescent="0.25">
      <c r="B157" s="6"/>
      <c r="C157" s="6"/>
    </row>
    <row r="158" spans="2:3" x14ac:dyDescent="0.25">
      <c r="B158" s="6"/>
      <c r="C158" s="6"/>
    </row>
    <row r="159" spans="2:3" x14ac:dyDescent="0.25">
      <c r="B159" s="6"/>
      <c r="C159" s="6"/>
    </row>
    <row r="160" spans="2:3" x14ac:dyDescent="0.25">
      <c r="B160" s="6"/>
      <c r="C160" s="6"/>
    </row>
    <row r="161" spans="2:3" x14ac:dyDescent="0.25">
      <c r="B161" s="6"/>
      <c r="C161" s="6"/>
    </row>
    <row r="162" spans="2:3" x14ac:dyDescent="0.25">
      <c r="B162" s="6"/>
      <c r="C162" s="6"/>
    </row>
    <row r="163" spans="2:3" x14ac:dyDescent="0.25">
      <c r="B163" s="6"/>
      <c r="C163" s="6"/>
    </row>
    <row r="164" spans="2:3" x14ac:dyDescent="0.25">
      <c r="B164" s="6"/>
      <c r="C164" s="6"/>
    </row>
    <row r="165" spans="2:3" x14ac:dyDescent="0.25">
      <c r="B165" s="6"/>
      <c r="C165" s="6"/>
    </row>
    <row r="166" spans="2:3" x14ac:dyDescent="0.25">
      <c r="B166" s="6"/>
      <c r="C166" s="6"/>
    </row>
    <row r="167" spans="2:3" x14ac:dyDescent="0.25">
      <c r="B167" s="6"/>
      <c r="C167" s="6"/>
    </row>
    <row r="168" spans="2:3" x14ac:dyDescent="0.25">
      <c r="B168" s="6"/>
      <c r="C168" s="6"/>
    </row>
    <row r="169" spans="2:3" x14ac:dyDescent="0.25">
      <c r="B169" s="6"/>
      <c r="C169" s="6"/>
    </row>
    <row r="170" spans="2:3" x14ac:dyDescent="0.25">
      <c r="B170" s="6"/>
      <c r="C170" s="6"/>
    </row>
    <row r="171" spans="2:3" x14ac:dyDescent="0.25">
      <c r="B171" s="6"/>
      <c r="C171" s="6"/>
    </row>
    <row r="172" spans="2:3" x14ac:dyDescent="0.25">
      <c r="B172" s="6"/>
      <c r="C172" s="6"/>
    </row>
    <row r="173" spans="2:3" x14ac:dyDescent="0.25">
      <c r="B173" s="6"/>
      <c r="C173" s="6"/>
    </row>
    <row r="174" spans="2:3" x14ac:dyDescent="0.25">
      <c r="B174" s="6"/>
      <c r="C174" s="6"/>
    </row>
    <row r="175" spans="2:3" x14ac:dyDescent="0.25">
      <c r="B175" s="6"/>
      <c r="C175" s="6"/>
    </row>
    <row r="176" spans="2:3" x14ac:dyDescent="0.25">
      <c r="B176" s="6"/>
      <c r="C176" s="6"/>
    </row>
    <row r="177" spans="2:3" x14ac:dyDescent="0.25">
      <c r="B177" s="6"/>
      <c r="C177" s="6"/>
    </row>
    <row r="178" spans="2:3" x14ac:dyDescent="0.25">
      <c r="B178" s="6"/>
      <c r="C178" s="6"/>
    </row>
    <row r="179" spans="2:3" x14ac:dyDescent="0.25">
      <c r="B179" s="6"/>
      <c r="C179" s="6"/>
    </row>
    <row r="180" spans="2:3" x14ac:dyDescent="0.25">
      <c r="B180" s="6"/>
      <c r="C180" s="6"/>
    </row>
    <row r="181" spans="2:3" x14ac:dyDescent="0.25">
      <c r="B181" s="6"/>
      <c r="C181" s="6"/>
    </row>
    <row r="182" spans="2:3" x14ac:dyDescent="0.25">
      <c r="B182" s="6"/>
      <c r="C182" s="6"/>
    </row>
    <row r="183" spans="2:3" x14ac:dyDescent="0.25">
      <c r="B183" s="6"/>
      <c r="C183" s="6"/>
    </row>
    <row r="184" spans="2:3" x14ac:dyDescent="0.25">
      <c r="B184" s="6"/>
      <c r="C184" s="6"/>
    </row>
    <row r="185" spans="2:3" x14ac:dyDescent="0.25">
      <c r="B185" s="6"/>
      <c r="C185" s="6"/>
    </row>
    <row r="186" spans="2:3" x14ac:dyDescent="0.25">
      <c r="B186" s="6"/>
      <c r="C186" s="6"/>
    </row>
    <row r="187" spans="2:3" x14ac:dyDescent="0.25">
      <c r="B187" s="6"/>
      <c r="C187" s="6"/>
    </row>
    <row r="188" spans="2:3" x14ac:dyDescent="0.25">
      <c r="B188" s="6"/>
      <c r="C188" s="6"/>
    </row>
    <row r="189" spans="2:3" x14ac:dyDescent="0.25">
      <c r="B189" s="6"/>
      <c r="C189" s="6"/>
    </row>
    <row r="190" spans="2:3" x14ac:dyDescent="0.25">
      <c r="B190" s="6"/>
      <c r="C190" s="6"/>
    </row>
    <row r="191" spans="2:3" x14ac:dyDescent="0.25">
      <c r="B191" s="6"/>
      <c r="C191" s="6"/>
    </row>
    <row r="192" spans="2:3" x14ac:dyDescent="0.25">
      <c r="B192" s="6"/>
      <c r="C192" s="6"/>
    </row>
    <row r="193" spans="2:3" x14ac:dyDescent="0.25">
      <c r="B193" s="6"/>
      <c r="C193" s="6"/>
    </row>
    <row r="194" spans="2:3" x14ac:dyDescent="0.25">
      <c r="B194" s="6"/>
      <c r="C194" s="6"/>
    </row>
    <row r="195" spans="2:3" x14ac:dyDescent="0.25">
      <c r="B195" s="6"/>
      <c r="C195" s="6"/>
    </row>
    <row r="196" spans="2:3" x14ac:dyDescent="0.25">
      <c r="B196" s="6"/>
      <c r="C196" s="6"/>
    </row>
    <row r="197" spans="2:3" x14ac:dyDescent="0.25">
      <c r="B197" s="6"/>
      <c r="C197" s="6"/>
    </row>
    <row r="198" spans="2:3" x14ac:dyDescent="0.25">
      <c r="B198" s="6"/>
      <c r="C198" s="6"/>
    </row>
    <row r="199" spans="2:3" x14ac:dyDescent="0.25">
      <c r="B199" s="6"/>
      <c r="C199" s="6"/>
    </row>
    <row r="200" spans="2:3" x14ac:dyDescent="0.25">
      <c r="B200" s="6"/>
      <c r="C200" s="6"/>
    </row>
    <row r="201" spans="2:3" x14ac:dyDescent="0.25">
      <c r="B201" s="6"/>
      <c r="C201" s="6"/>
    </row>
    <row r="202" spans="2:3" x14ac:dyDescent="0.25">
      <c r="B202" s="6"/>
      <c r="C202" s="6"/>
    </row>
    <row r="203" spans="2:3" x14ac:dyDescent="0.25">
      <c r="B203" s="6"/>
      <c r="C203" s="6"/>
    </row>
    <row r="204" spans="2:3" x14ac:dyDescent="0.25">
      <c r="B204" s="6"/>
      <c r="C204" s="6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" sqref="C2"/>
    </sheetView>
  </sheetViews>
  <sheetFormatPr defaultRowHeight="15" x14ac:dyDescent="0.25"/>
  <cols>
    <col min="1" max="1" width="15.42578125" bestFit="1" customWidth="1" collapsed="1"/>
    <col min="3" max="3" width="15.42578125" bestFit="1" customWidth="1" collapsed="1"/>
    <col min="4" max="4" width="15.42578125" customWidth="1" collapsed="1"/>
    <col min="5" max="5" width="10.28515625" bestFit="1" customWidth="1" collapsed="1"/>
    <col min="6" max="6" width="16.28515625" bestFit="1" customWidth="1" collapsed="1"/>
    <col min="7" max="7" width="10.5703125" bestFit="1" customWidth="1" collapsed="1"/>
  </cols>
  <sheetData>
    <row r="1" spans="1:8" x14ac:dyDescent="0.25">
      <c r="A1" s="1" t="s">
        <v>36</v>
      </c>
      <c r="B1" s="1" t="s">
        <v>21</v>
      </c>
      <c r="C1" s="16" t="s">
        <v>20</v>
      </c>
      <c r="D1" s="1" t="s">
        <v>6</v>
      </c>
      <c r="E1" s="1" t="s">
        <v>42</v>
      </c>
      <c r="F1" s="15" t="s">
        <v>117</v>
      </c>
      <c r="G1" s="16" t="s">
        <v>118</v>
      </c>
      <c r="H1" s="16" t="s">
        <v>89</v>
      </c>
    </row>
    <row r="2" spans="1:8" x14ac:dyDescent="0.25">
      <c r="A2" s="1" t="s">
        <v>37</v>
      </c>
      <c r="B2" s="1" t="s">
        <v>10</v>
      </c>
      <c r="C2" s="16" t="s">
        <v>84</v>
      </c>
      <c r="D2" s="7" t="s">
        <v>112</v>
      </c>
      <c r="E2" s="1" t="s">
        <v>43</v>
      </c>
      <c r="G2" t="s">
        <v>119</v>
      </c>
      <c r="H2">
        <v>2000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140625" style="15" collapsed="1"/>
    <col min="2" max="2" width="20.140625" style="15" customWidth="1" collapsed="1"/>
    <col min="3" max="3" width="22" style="15" bestFit="1" customWidth="1" collapsed="1"/>
    <col min="4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112</v>
      </c>
      <c r="B2" s="17" t="s">
        <v>168</v>
      </c>
      <c r="C2" s="16" t="s">
        <v>160</v>
      </c>
      <c r="D2" s="15" t="s">
        <v>119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140625" style="15" collapsed="1"/>
    <col min="2" max="2" width="20.140625" style="15" customWidth="1" collapsed="1"/>
    <col min="3" max="3" width="22" style="15" bestFit="1" customWidth="1" collapsed="1"/>
    <col min="4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112</v>
      </c>
      <c r="B2" s="17" t="s">
        <v>169</v>
      </c>
      <c r="C2" s="16" t="s">
        <v>167</v>
      </c>
      <c r="D2" s="15" t="s">
        <v>119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5" x14ac:dyDescent="0.25"/>
  <cols>
    <col min="1" max="1" width="21" bestFit="1" customWidth="1" collapsed="1"/>
    <col min="2" max="2" width="21" style="6" customWidth="1" collapsed="1"/>
  </cols>
  <sheetData>
    <row r="1" spans="1:3" x14ac:dyDescent="0.25">
      <c r="A1" t="s">
        <v>17</v>
      </c>
      <c r="B1" t="s">
        <v>83</v>
      </c>
      <c r="C1" s="1" t="s">
        <v>6</v>
      </c>
    </row>
    <row r="2" spans="1:3" x14ac:dyDescent="0.25">
      <c r="A2" s="1" t="s">
        <v>239</v>
      </c>
      <c r="B2" s="6" t="str">
        <f ca="1">TEXT(NOW(),"YYYY-MM-DD")</f>
        <v>2026-09-15</v>
      </c>
      <c r="C2" s="1" t="s">
        <v>39</v>
      </c>
    </row>
  </sheetData>
  <pageMargins left="0.7" right="0.7" top="0.75" bottom="0.75" header="0.3" footer="0.3"/>
  <pageSetup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12" sqref="D12"/>
    </sheetView>
  </sheetViews>
  <sheetFormatPr defaultRowHeight="15" x14ac:dyDescent="0.25"/>
  <cols>
    <col min="3" max="3" width="24.140625" customWidth="1" collapsed="1"/>
  </cols>
  <sheetData>
    <row r="1" spans="1:5" x14ac:dyDescent="0.25">
      <c r="A1" s="1" t="s">
        <v>36</v>
      </c>
      <c r="B1" s="1" t="s">
        <v>21</v>
      </c>
      <c r="C1" s="1" t="s">
        <v>20</v>
      </c>
      <c r="D1" s="1" t="s">
        <v>6</v>
      </c>
      <c r="E1" t="s">
        <v>42</v>
      </c>
    </row>
    <row r="2" spans="1:5" x14ac:dyDescent="0.25">
      <c r="A2" s="1" t="s">
        <v>77</v>
      </c>
      <c r="B2" s="1" t="s">
        <v>10</v>
      </c>
      <c r="C2" s="1" t="s">
        <v>22</v>
      </c>
      <c r="D2" s="1" t="s">
        <v>39</v>
      </c>
      <c r="E2" s="1" t="s">
        <v>43</v>
      </c>
    </row>
    <row r="3" spans="1:5" ht="15.75" thickBot="1" x14ac:dyDescent="0.3">
      <c r="C3" s="13"/>
    </row>
  </sheetData>
  <pageMargins left="0.7" right="0.7" top="0.75" bottom="0.75" header="0.3" footer="0.3"/>
  <pageSetup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2" width="9.140625" style="15" collapsed="1"/>
    <col min="3" max="3" width="24.140625" style="15" customWidth="1" collapsed="1"/>
    <col min="4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171</v>
      </c>
      <c r="C2" s="16" t="s">
        <v>167</v>
      </c>
      <c r="D2" s="15" t="s">
        <v>119</v>
      </c>
    </row>
  </sheetData>
  <pageMargins left="0.7" right="0.7" top="0.75" bottom="0.75" header="0.3" footer="0.3"/>
  <pageSetup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selection activeCell="A2" sqref="A2"/>
    </sheetView>
  </sheetViews>
  <sheetFormatPr defaultRowHeight="15" x14ac:dyDescent="0.25"/>
  <cols>
    <col min="1" max="1" width="21" bestFit="1" customWidth="1" collapsed="1"/>
    <col min="2" max="2" width="10.140625" bestFit="1" customWidth="1" collapsed="1"/>
    <col min="3" max="3" width="10.42578125" bestFit="1" customWidth="1" collapsed="1"/>
    <col min="4" max="4" width="10.42578125" customWidth="1" collapsed="1"/>
    <col min="5" max="5" width="20.28515625" bestFit="1" customWidth="1" collapsed="1"/>
  </cols>
  <sheetData>
    <row r="1" spans="1:7" x14ac:dyDescent="0.25">
      <c r="A1" t="s">
        <v>17</v>
      </c>
      <c r="B1" t="s">
        <v>18</v>
      </c>
      <c r="C1" t="s">
        <v>19</v>
      </c>
      <c r="D1" t="s">
        <v>86</v>
      </c>
      <c r="E1" t="s">
        <v>56</v>
      </c>
      <c r="F1" s="1" t="s">
        <v>6</v>
      </c>
      <c r="G1" t="s">
        <v>42</v>
      </c>
    </row>
    <row r="2" spans="1:7" x14ac:dyDescent="0.25">
      <c r="A2" t="s">
        <v>239</v>
      </c>
      <c r="B2" s="6" t="str">
        <f ca="1">TEXT(NOW(),"YYYY-MM-DD")</f>
        <v>2026-09-15</v>
      </c>
      <c r="C2" s="6" t="str">
        <f ca="1">TEXT(NOW(),"YYYY-MM-DD")</f>
        <v>2026-09-15</v>
      </c>
      <c r="D2" s="6" t="s">
        <v>175</v>
      </c>
      <c r="E2" s="6" t="s">
        <v>72</v>
      </c>
      <c r="F2" s="7" t="s">
        <v>39</v>
      </c>
      <c r="G2" s="1" t="s">
        <v>43</v>
      </c>
    </row>
    <row r="3" spans="1:7" x14ac:dyDescent="0.25">
      <c r="B3" s="6"/>
      <c r="C3" s="6"/>
      <c r="D3" s="6"/>
      <c r="E3" s="6"/>
    </row>
    <row r="4" spans="1:7" x14ac:dyDescent="0.25">
      <c r="B4" s="6"/>
      <c r="C4" s="6"/>
      <c r="D4" s="6"/>
      <c r="E4" s="6"/>
    </row>
    <row r="5" spans="1:7" x14ac:dyDescent="0.25">
      <c r="B5" s="6"/>
      <c r="C5" s="6"/>
      <c r="D5" s="6"/>
      <c r="E5" s="6"/>
    </row>
    <row r="6" spans="1:7" x14ac:dyDescent="0.25">
      <c r="B6" s="6"/>
      <c r="C6" s="6"/>
      <c r="D6" s="6"/>
      <c r="E6" s="6"/>
    </row>
    <row r="7" spans="1:7" x14ac:dyDescent="0.25">
      <c r="B7" s="6"/>
      <c r="C7" s="6"/>
      <c r="D7" s="6"/>
      <c r="E7" s="6"/>
    </row>
    <row r="8" spans="1:7" x14ac:dyDescent="0.25">
      <c r="B8" s="6"/>
      <c r="C8" s="6"/>
      <c r="D8" s="6"/>
      <c r="E8" s="6"/>
    </row>
    <row r="9" spans="1:7" x14ac:dyDescent="0.25">
      <c r="B9" s="6"/>
      <c r="C9" s="6"/>
      <c r="D9" s="6"/>
      <c r="E9" s="6"/>
    </row>
    <row r="10" spans="1:7" x14ac:dyDescent="0.25">
      <c r="B10" s="6"/>
      <c r="C10" s="6"/>
      <c r="D10" s="6"/>
      <c r="E10" s="6"/>
    </row>
    <row r="11" spans="1:7" x14ac:dyDescent="0.25">
      <c r="B11" s="6"/>
      <c r="C11" s="6"/>
      <c r="D11" s="6"/>
      <c r="E11" s="6"/>
    </row>
    <row r="12" spans="1:7" x14ac:dyDescent="0.25">
      <c r="B12" s="6"/>
      <c r="C12" s="6"/>
      <c r="D12" s="6"/>
      <c r="E12" s="6"/>
    </row>
    <row r="13" spans="1:7" x14ac:dyDescent="0.25">
      <c r="B13" s="6"/>
      <c r="C13" s="6"/>
      <c r="D13" s="6"/>
      <c r="E13" s="6"/>
    </row>
    <row r="14" spans="1:7" x14ac:dyDescent="0.25">
      <c r="B14" s="6"/>
      <c r="C14" s="6"/>
      <c r="D14" s="6"/>
      <c r="E14" s="6"/>
    </row>
    <row r="15" spans="1:7" x14ac:dyDescent="0.25">
      <c r="B15" s="6"/>
      <c r="C15" s="6"/>
      <c r="D15" s="6"/>
      <c r="E15" s="6"/>
    </row>
    <row r="16" spans="1:7" x14ac:dyDescent="0.25">
      <c r="B16" s="6"/>
      <c r="C16" s="6"/>
      <c r="D16" s="6"/>
      <c r="E16" s="6"/>
    </row>
    <row r="17" spans="2:5" x14ac:dyDescent="0.25">
      <c r="B17" s="6"/>
      <c r="C17" s="6"/>
      <c r="D17" s="6"/>
      <c r="E17" s="6"/>
    </row>
    <row r="18" spans="2:5" x14ac:dyDescent="0.25">
      <c r="B18" s="6"/>
      <c r="C18" s="6"/>
      <c r="D18" s="6"/>
      <c r="E18" s="6"/>
    </row>
    <row r="19" spans="2:5" x14ac:dyDescent="0.25">
      <c r="B19" s="6"/>
      <c r="C19" s="6"/>
      <c r="D19" s="6"/>
      <c r="E19" s="6"/>
    </row>
    <row r="20" spans="2:5" x14ac:dyDescent="0.25">
      <c r="B20" s="6"/>
      <c r="C20" s="6"/>
      <c r="D20" s="6"/>
      <c r="E20" s="6"/>
    </row>
    <row r="21" spans="2:5" x14ac:dyDescent="0.25">
      <c r="B21" s="6"/>
      <c r="C21" s="6"/>
      <c r="D21" s="6"/>
      <c r="E21" s="6"/>
    </row>
    <row r="22" spans="2:5" x14ac:dyDescent="0.25">
      <c r="B22" s="6"/>
      <c r="C22" s="6"/>
      <c r="D22" s="6"/>
      <c r="E22" s="6"/>
    </row>
    <row r="23" spans="2:5" x14ac:dyDescent="0.25">
      <c r="B23" s="6"/>
      <c r="C23" s="6"/>
      <c r="D23" s="6"/>
      <c r="E23" s="6"/>
    </row>
    <row r="24" spans="2:5" x14ac:dyDescent="0.25">
      <c r="B24" s="6"/>
      <c r="C24" s="6"/>
      <c r="D24" s="6"/>
      <c r="E24" s="6"/>
    </row>
    <row r="25" spans="2:5" x14ac:dyDescent="0.25">
      <c r="B25" s="6"/>
      <c r="C25" s="6"/>
      <c r="D25" s="6"/>
      <c r="E25" s="6"/>
    </row>
    <row r="26" spans="2:5" x14ac:dyDescent="0.25">
      <c r="B26" s="6"/>
      <c r="C26" s="6"/>
      <c r="D26" s="6"/>
      <c r="E26" s="6"/>
    </row>
    <row r="27" spans="2:5" x14ac:dyDescent="0.25">
      <c r="B27" s="6"/>
      <c r="C27" s="6"/>
      <c r="D27" s="6"/>
      <c r="E27" s="6"/>
    </row>
    <row r="28" spans="2:5" x14ac:dyDescent="0.25">
      <c r="B28" s="6"/>
      <c r="C28" s="6"/>
      <c r="D28" s="6"/>
      <c r="E28" s="6"/>
    </row>
    <row r="29" spans="2:5" x14ac:dyDescent="0.25">
      <c r="B29" s="6"/>
      <c r="C29" s="6"/>
      <c r="D29" s="6"/>
      <c r="E29" s="6"/>
    </row>
    <row r="30" spans="2:5" x14ac:dyDescent="0.25">
      <c r="B30" s="6"/>
      <c r="C30" s="6"/>
      <c r="D30" s="6"/>
      <c r="E30" s="6"/>
    </row>
    <row r="31" spans="2:5" x14ac:dyDescent="0.25">
      <c r="B31" s="6"/>
      <c r="C31" s="6"/>
      <c r="D31" s="6"/>
      <c r="E31" s="6"/>
    </row>
    <row r="32" spans="2:5" x14ac:dyDescent="0.25">
      <c r="B32" s="6"/>
      <c r="C32" s="6"/>
      <c r="D32" s="6"/>
      <c r="E32" s="6"/>
    </row>
    <row r="33" spans="2:5" x14ac:dyDescent="0.25">
      <c r="B33" s="6"/>
      <c r="C33" s="6"/>
      <c r="D33" s="6"/>
      <c r="E33" s="6"/>
    </row>
    <row r="34" spans="2:5" x14ac:dyDescent="0.25">
      <c r="B34" s="6"/>
      <c r="C34" s="6"/>
      <c r="D34" s="6"/>
      <c r="E34" s="6"/>
    </row>
    <row r="35" spans="2:5" x14ac:dyDescent="0.25">
      <c r="B35" s="6"/>
      <c r="C35" s="6"/>
      <c r="D35" s="6"/>
      <c r="E35" s="6"/>
    </row>
    <row r="36" spans="2:5" x14ac:dyDescent="0.25">
      <c r="B36" s="6"/>
      <c r="C36" s="6"/>
      <c r="D36" s="6"/>
      <c r="E36" s="6"/>
    </row>
    <row r="37" spans="2:5" x14ac:dyDescent="0.25">
      <c r="B37" s="6"/>
      <c r="C37" s="6"/>
      <c r="D37" s="6"/>
      <c r="E37" s="6"/>
    </row>
    <row r="38" spans="2:5" x14ac:dyDescent="0.25">
      <c r="B38" s="6"/>
      <c r="C38" s="6"/>
      <c r="D38" s="6"/>
      <c r="E38" s="6"/>
    </row>
    <row r="39" spans="2:5" x14ac:dyDescent="0.25">
      <c r="B39" s="6"/>
      <c r="C39" s="6"/>
      <c r="D39" s="6"/>
      <c r="E39" s="6"/>
    </row>
    <row r="40" spans="2:5" x14ac:dyDescent="0.25">
      <c r="B40" s="6"/>
      <c r="C40" s="6"/>
      <c r="D40" s="6"/>
      <c r="E40" s="6"/>
    </row>
    <row r="41" spans="2:5" x14ac:dyDescent="0.25">
      <c r="B41" s="6"/>
      <c r="C41" s="6"/>
      <c r="D41" s="6"/>
      <c r="E41" s="6"/>
    </row>
    <row r="42" spans="2:5" x14ac:dyDescent="0.25">
      <c r="B42" s="6"/>
      <c r="C42" s="6"/>
      <c r="D42" s="6"/>
      <c r="E42" s="6"/>
    </row>
    <row r="43" spans="2:5" x14ac:dyDescent="0.25">
      <c r="B43" s="6"/>
      <c r="C43" s="6"/>
      <c r="D43" s="6"/>
      <c r="E43" s="6"/>
    </row>
    <row r="44" spans="2:5" x14ac:dyDescent="0.25">
      <c r="B44" s="6"/>
      <c r="C44" s="6"/>
      <c r="D44" s="6"/>
      <c r="E44" s="6"/>
    </row>
    <row r="45" spans="2:5" x14ac:dyDescent="0.25">
      <c r="B45" s="6"/>
      <c r="C45" s="6"/>
      <c r="D45" s="6"/>
      <c r="E45" s="6"/>
    </row>
    <row r="46" spans="2:5" x14ac:dyDescent="0.25">
      <c r="B46" s="6"/>
      <c r="C46" s="6"/>
      <c r="D46" s="6"/>
      <c r="E46" s="6"/>
    </row>
    <row r="47" spans="2:5" x14ac:dyDescent="0.25">
      <c r="B47" s="6"/>
      <c r="C47" s="6"/>
      <c r="D47" s="6"/>
      <c r="E47" s="6"/>
    </row>
    <row r="48" spans="2:5" x14ac:dyDescent="0.25">
      <c r="B48" s="6"/>
      <c r="C48" s="6"/>
      <c r="D48" s="6"/>
      <c r="E48" s="6"/>
    </row>
    <row r="49" spans="2:5" x14ac:dyDescent="0.25">
      <c r="B49" s="6"/>
      <c r="C49" s="6"/>
      <c r="D49" s="6"/>
      <c r="E49" s="6"/>
    </row>
    <row r="50" spans="2:5" x14ac:dyDescent="0.25">
      <c r="B50" s="6"/>
      <c r="C50" s="6"/>
      <c r="D50" s="6"/>
      <c r="E50" s="6"/>
    </row>
    <row r="51" spans="2:5" x14ac:dyDescent="0.25">
      <c r="B51" s="6"/>
      <c r="C51" s="6"/>
      <c r="D51" s="6"/>
      <c r="E51" s="6"/>
    </row>
    <row r="52" spans="2:5" x14ac:dyDescent="0.25">
      <c r="B52" s="6"/>
      <c r="C52" s="6"/>
      <c r="D52" s="6"/>
      <c r="E52" s="6"/>
    </row>
    <row r="53" spans="2:5" x14ac:dyDescent="0.25">
      <c r="B53" s="6"/>
      <c r="C53" s="6"/>
      <c r="D53" s="6"/>
      <c r="E53" s="6"/>
    </row>
    <row r="54" spans="2:5" x14ac:dyDescent="0.25">
      <c r="B54" s="6"/>
      <c r="C54" s="6"/>
      <c r="D54" s="6"/>
      <c r="E54" s="6"/>
    </row>
    <row r="55" spans="2:5" x14ac:dyDescent="0.25">
      <c r="B55" s="6"/>
      <c r="C55" s="6"/>
      <c r="D55" s="6"/>
      <c r="E55" s="6"/>
    </row>
    <row r="56" spans="2:5" x14ac:dyDescent="0.25">
      <c r="B56" s="6"/>
      <c r="C56" s="6"/>
      <c r="D56" s="6"/>
      <c r="E56" s="6"/>
    </row>
    <row r="57" spans="2:5" x14ac:dyDescent="0.25">
      <c r="B57" s="6"/>
      <c r="C57" s="6"/>
      <c r="D57" s="6"/>
      <c r="E57" s="6"/>
    </row>
    <row r="58" spans="2:5" x14ac:dyDescent="0.25">
      <c r="B58" s="6"/>
      <c r="C58" s="6"/>
      <c r="D58" s="6"/>
      <c r="E58" s="6"/>
    </row>
    <row r="59" spans="2:5" x14ac:dyDescent="0.25">
      <c r="B59" s="6"/>
      <c r="C59" s="6"/>
      <c r="D59" s="6"/>
      <c r="E59" s="6"/>
    </row>
    <row r="60" spans="2:5" x14ac:dyDescent="0.25">
      <c r="B60" s="6"/>
      <c r="C60" s="6"/>
      <c r="D60" s="6"/>
      <c r="E60" s="6"/>
    </row>
    <row r="61" spans="2:5" x14ac:dyDescent="0.25">
      <c r="B61" s="6"/>
      <c r="C61" s="6"/>
      <c r="D61" s="6"/>
      <c r="E61" s="6"/>
    </row>
    <row r="62" spans="2:5" x14ac:dyDescent="0.25">
      <c r="B62" s="6"/>
      <c r="C62" s="6"/>
      <c r="D62" s="6"/>
      <c r="E62" s="6"/>
    </row>
    <row r="63" spans="2:5" x14ac:dyDescent="0.25">
      <c r="B63" s="6"/>
      <c r="C63" s="6"/>
      <c r="D63" s="6"/>
      <c r="E63" s="6"/>
    </row>
    <row r="64" spans="2:5" x14ac:dyDescent="0.25">
      <c r="B64" s="6"/>
      <c r="C64" s="6"/>
      <c r="D64" s="6"/>
      <c r="E64" s="6"/>
    </row>
    <row r="65" spans="2:5" x14ac:dyDescent="0.25">
      <c r="B65" s="6"/>
      <c r="C65" s="6"/>
      <c r="D65" s="6"/>
      <c r="E65" s="6"/>
    </row>
    <row r="66" spans="2:5" x14ac:dyDescent="0.25">
      <c r="B66" s="6"/>
      <c r="C66" s="6"/>
      <c r="D66" s="6"/>
      <c r="E66" s="6"/>
    </row>
    <row r="67" spans="2:5" x14ac:dyDescent="0.25">
      <c r="B67" s="6"/>
      <c r="C67" s="6"/>
      <c r="D67" s="6"/>
      <c r="E67" s="6"/>
    </row>
    <row r="68" spans="2:5" x14ac:dyDescent="0.25">
      <c r="B68" s="6"/>
      <c r="C68" s="6"/>
      <c r="D68" s="6"/>
      <c r="E68" s="6"/>
    </row>
    <row r="69" spans="2:5" x14ac:dyDescent="0.25">
      <c r="B69" s="6"/>
      <c r="C69" s="6"/>
      <c r="D69" s="6"/>
      <c r="E69" s="6"/>
    </row>
    <row r="70" spans="2:5" x14ac:dyDescent="0.25">
      <c r="B70" s="6"/>
      <c r="C70" s="6"/>
      <c r="D70" s="6"/>
      <c r="E70" s="6"/>
    </row>
    <row r="71" spans="2:5" x14ac:dyDescent="0.25">
      <c r="B71" s="6"/>
      <c r="C71" s="6"/>
      <c r="D71" s="6"/>
      <c r="E71" s="6"/>
    </row>
    <row r="72" spans="2:5" x14ac:dyDescent="0.25">
      <c r="B72" s="6"/>
      <c r="C72" s="6"/>
      <c r="D72" s="6"/>
      <c r="E72" s="6"/>
    </row>
    <row r="73" spans="2:5" x14ac:dyDescent="0.25">
      <c r="B73" s="6"/>
      <c r="C73" s="6"/>
      <c r="D73" s="6"/>
      <c r="E73" s="6"/>
    </row>
    <row r="74" spans="2:5" x14ac:dyDescent="0.25">
      <c r="B74" s="6"/>
      <c r="C74" s="6"/>
      <c r="D74" s="6"/>
      <c r="E74" s="6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1" width="9.85546875" style="15" customWidth="1" collapsed="1"/>
    <col min="2" max="2" width="21.85546875" style="15" bestFit="1" customWidth="1" collapsed="1"/>
    <col min="3" max="3" width="19.28515625" style="15" bestFit="1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6" t="s">
        <v>117</v>
      </c>
      <c r="D1" s="16" t="s">
        <v>118</v>
      </c>
    </row>
    <row r="2" spans="1:4" x14ac:dyDescent="0.25">
      <c r="A2" s="17" t="s">
        <v>39</v>
      </c>
      <c r="B2" s="17" t="s">
        <v>170</v>
      </c>
      <c r="C2" s="4" t="s">
        <v>178</v>
      </c>
      <c r="D2" s="15" t="s">
        <v>119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5" x14ac:dyDescent="0.25"/>
  <cols>
    <col min="1" max="1" width="21" bestFit="1" customWidth="1" collapsed="1"/>
    <col min="2" max="3" width="10.42578125" style="6" bestFit="1" customWidth="1" collapsed="1"/>
  </cols>
  <sheetData>
    <row r="1" spans="1:5" x14ac:dyDescent="0.25">
      <c r="A1" t="s">
        <v>17</v>
      </c>
      <c r="B1" s="6" t="s">
        <v>18</v>
      </c>
      <c r="C1" s="6" t="s">
        <v>19</v>
      </c>
      <c r="D1" s="1" t="s">
        <v>6</v>
      </c>
      <c r="E1" t="s">
        <v>42</v>
      </c>
    </row>
    <row r="2" spans="1:5" x14ac:dyDescent="0.25">
      <c r="A2" t="s">
        <v>239</v>
      </c>
      <c r="B2" s="6" t="str">
        <f ca="1">TEXT(NOW(),"YYYY-MM-DD")</f>
        <v>2026-09-15</v>
      </c>
      <c r="C2" s="6" t="str">
        <f ca="1">TEXT(NOW(),"YYYY-MM-DD")</f>
        <v>2026-09-15</v>
      </c>
      <c r="D2" s="7" t="s">
        <v>39</v>
      </c>
      <c r="E2" s="1" t="s">
        <v>43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1" width="9.85546875" style="15" customWidth="1" collapsed="1"/>
    <col min="2" max="2" width="22.28515625" style="15" customWidth="1" collapsed="1"/>
    <col min="3" max="3" width="19.28515625" style="15" bestFit="1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183</v>
      </c>
      <c r="C2" s="16" t="s">
        <v>178</v>
      </c>
      <c r="D2" s="15" t="s">
        <v>119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cols>
    <col min="1" max="1" width="22" bestFit="1" customWidth="1" collapsed="1"/>
  </cols>
  <sheetData>
    <row r="1" spans="1:3" x14ac:dyDescent="0.25">
      <c r="A1" s="1" t="s">
        <v>11</v>
      </c>
      <c r="B1" s="1" t="s">
        <v>6</v>
      </c>
      <c r="C1" t="s">
        <v>42</v>
      </c>
    </row>
    <row r="2" spans="1:3" x14ac:dyDescent="0.25">
      <c r="A2" s="1" t="s">
        <v>315</v>
      </c>
      <c r="B2" s="7" t="s">
        <v>39</v>
      </c>
      <c r="C2" s="1" t="s">
        <v>43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4" sqref="F4"/>
    </sheetView>
  </sheetViews>
  <sheetFormatPr defaultRowHeight="15" x14ac:dyDescent="0.25"/>
  <cols>
    <col min="4" max="4" width="36.28515625" bestFit="1" customWidth="1" collapsed="1"/>
    <col min="5" max="5" width="10.28515625" bestFit="1" customWidth="1" collapsed="1"/>
    <col min="6" max="6" width="19.28515625" bestFit="1" customWidth="1" collapsed="1"/>
    <col min="7" max="7" width="10.5703125" bestFit="1" customWidth="1" collapsed="1"/>
  </cols>
  <sheetData>
    <row r="1" spans="1:7" x14ac:dyDescent="0.25">
      <c r="A1" s="16" t="s">
        <v>36</v>
      </c>
      <c r="B1" s="16" t="s">
        <v>21</v>
      </c>
      <c r="C1" s="16" t="s">
        <v>6</v>
      </c>
      <c r="D1" s="2" t="s">
        <v>123</v>
      </c>
      <c r="E1" s="15" t="s">
        <v>42</v>
      </c>
      <c r="F1" s="15" t="s">
        <v>117</v>
      </c>
      <c r="G1" s="15" t="s">
        <v>118</v>
      </c>
    </row>
    <row r="2" spans="1:7" x14ac:dyDescent="0.25">
      <c r="A2" s="16" t="s">
        <v>331</v>
      </c>
      <c r="B2" s="16" t="s">
        <v>55</v>
      </c>
      <c r="C2" s="7" t="s">
        <v>73</v>
      </c>
      <c r="D2" s="9" t="s">
        <v>456</v>
      </c>
      <c r="E2" s="16" t="s">
        <v>43</v>
      </c>
      <c r="F2" s="15"/>
      <c r="G2" s="15" t="s">
        <v>119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" sqref="A2"/>
    </sheetView>
  </sheetViews>
  <sheetFormatPr defaultRowHeight="15" x14ac:dyDescent="0.25"/>
  <cols>
    <col min="2" max="2" width="36.140625" bestFit="1" customWidth="1" collapsed="1"/>
    <col min="3" max="3" width="10.28515625" bestFit="1" customWidth="1" collapsed="1"/>
    <col min="4" max="4" width="10.5703125" bestFit="1" customWidth="1" collapsed="1"/>
    <col min="5" max="5" width="19" bestFit="1" customWidth="1" collapsed="1"/>
    <col min="6" max="6" width="10.5703125" bestFit="1" customWidth="1" collapsed="1"/>
    <col min="7" max="7" width="19.28515625" bestFit="1" customWidth="1" collapsed="1"/>
  </cols>
  <sheetData>
    <row r="1" spans="1:7" x14ac:dyDescent="0.25">
      <c r="A1" s="9" t="s">
        <v>6</v>
      </c>
      <c r="B1" s="9" t="s">
        <v>123</v>
      </c>
      <c r="C1" s="9" t="s">
        <v>42</v>
      </c>
      <c r="D1" s="7" t="s">
        <v>457</v>
      </c>
      <c r="E1" s="16" t="s">
        <v>200</v>
      </c>
      <c r="F1" s="15" t="s">
        <v>118</v>
      </c>
      <c r="G1" s="2" t="s">
        <v>117</v>
      </c>
    </row>
    <row r="2" spans="1:7" x14ac:dyDescent="0.25">
      <c r="A2" s="9" t="s">
        <v>73</v>
      </c>
      <c r="B2" s="7" t="s">
        <v>458</v>
      </c>
      <c r="C2" s="9" t="s">
        <v>43</v>
      </c>
      <c r="D2" s="14" t="s">
        <v>269</v>
      </c>
      <c r="E2" s="16" t="s">
        <v>193</v>
      </c>
      <c r="F2" s="15" t="s">
        <v>119</v>
      </c>
      <c r="G2" s="15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1" width="9.85546875" style="15" customWidth="1" collapsed="1"/>
    <col min="2" max="2" width="30.140625" style="15" bestFit="1" customWidth="1" collapsed="1"/>
    <col min="3" max="3" width="19.28515625" style="15" bestFit="1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185</v>
      </c>
      <c r="C2" s="16" t="s">
        <v>176</v>
      </c>
      <c r="D2" s="15" t="s">
        <v>119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O27" sqref="O27"/>
    </sheetView>
  </sheetViews>
  <sheetFormatPr defaultRowHeight="15" x14ac:dyDescent="0.25"/>
  <cols>
    <col min="1" max="1" width="20.28515625" bestFit="1" customWidth="1" collapsed="1"/>
  </cols>
  <sheetData>
    <row r="1" spans="1:2" x14ac:dyDescent="0.25">
      <c r="A1" t="s">
        <v>56</v>
      </c>
      <c r="B1" t="s">
        <v>6</v>
      </c>
    </row>
    <row r="2" spans="1:2" x14ac:dyDescent="0.25">
      <c r="A2" t="s">
        <v>72</v>
      </c>
      <c r="B2" s="9" t="s">
        <v>39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1" sqref="B1:D2"/>
    </sheetView>
  </sheetViews>
  <sheetFormatPr defaultColWidth="9.140625" defaultRowHeight="15" x14ac:dyDescent="0.25"/>
  <cols>
    <col min="1" max="1" width="9.85546875" style="15" customWidth="1" collapsed="1"/>
    <col min="2" max="2" width="30.140625" style="15" bestFit="1" customWidth="1" collapsed="1"/>
    <col min="3" max="3" width="19.28515625" style="15" bestFit="1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189</v>
      </c>
      <c r="C2" s="18" t="s">
        <v>122</v>
      </c>
      <c r="D2" s="15" t="s">
        <v>119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ColWidth="9.140625" defaultRowHeight="15" x14ac:dyDescent="0.25"/>
  <cols>
    <col min="1" max="1" width="20.28515625" style="15" bestFit="1" customWidth="1" collapsed="1"/>
    <col min="2" max="16384" width="9.140625" style="15" collapsed="1"/>
  </cols>
  <sheetData>
    <row r="1" spans="1:3" x14ac:dyDescent="0.25">
      <c r="A1" s="15" t="s">
        <v>56</v>
      </c>
      <c r="B1" s="15" t="s">
        <v>42</v>
      </c>
      <c r="C1" s="15" t="s">
        <v>6</v>
      </c>
    </row>
    <row r="2" spans="1:3" x14ac:dyDescent="0.25">
      <c r="A2" s="15" t="s">
        <v>72</v>
      </c>
      <c r="B2" s="16" t="s">
        <v>43</v>
      </c>
      <c r="C2" s="9" t="s">
        <v>39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85546875" style="15" customWidth="1" collapsed="1"/>
    <col min="2" max="2" width="30.140625" style="15" bestFit="1" customWidth="1" collapsed="1"/>
    <col min="3" max="3" width="19.28515625" style="15" bestFit="1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190</v>
      </c>
      <c r="C2" s="18" t="s">
        <v>122</v>
      </c>
      <c r="D2" s="15" t="s">
        <v>119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2" sqref="H2"/>
    </sheetView>
  </sheetViews>
  <sheetFormatPr defaultRowHeight="15" x14ac:dyDescent="0.25"/>
  <cols>
    <col min="2" max="2" width="23.7109375" bestFit="1" customWidth="1" collapsed="1"/>
    <col min="3" max="3" width="10.28515625" bestFit="1" customWidth="1" collapsed="1"/>
    <col min="4" max="4" width="10.5703125" bestFit="1" customWidth="1" collapsed="1"/>
    <col min="5" max="5" width="11.5703125" bestFit="1" customWidth="1" collapsed="1"/>
    <col min="6" max="6" width="12.42578125" bestFit="1" customWidth="1" collapsed="1"/>
    <col min="7" max="7" width="8.85546875" bestFit="1" customWidth="1" collapsed="1"/>
    <col min="8" max="8" width="6.140625" bestFit="1" customWidth="1" collapsed="1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14" t="s">
        <v>610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:F2"/>
    </sheetView>
  </sheetViews>
  <sheetFormatPr defaultRowHeight="15" x14ac:dyDescent="0.25"/>
  <cols>
    <col min="1" max="1" width="7.42578125" customWidth="1" collapsed="1"/>
    <col min="2" max="2" width="10.28515625" bestFit="1" customWidth="1" collapsed="1"/>
    <col min="3" max="3" width="10.5703125" bestFit="1" customWidth="1" collapsed="1"/>
    <col min="5" max="5" width="18.7109375" bestFit="1" customWidth="1" collapsed="1"/>
    <col min="6" max="6" width="6.5703125" bestFit="1" customWidth="1" collapsed="1"/>
  </cols>
  <sheetData>
    <row r="1" spans="1:6" x14ac:dyDescent="0.25">
      <c r="A1" s="2" t="s">
        <v>6</v>
      </c>
      <c r="B1" s="2" t="s">
        <v>42</v>
      </c>
      <c r="C1" s="2" t="s">
        <v>118</v>
      </c>
      <c r="D1" s="2" t="s">
        <v>57</v>
      </c>
      <c r="E1" s="2" t="s">
        <v>212</v>
      </c>
      <c r="F1" s="2" t="s">
        <v>216</v>
      </c>
    </row>
    <row r="2" spans="1:6" x14ac:dyDescent="0.25">
      <c r="A2" s="7" t="s">
        <v>39</v>
      </c>
      <c r="B2" s="16" t="s">
        <v>43</v>
      </c>
      <c r="C2" s="16" t="s">
        <v>119</v>
      </c>
      <c r="D2" s="9" t="s">
        <v>261</v>
      </c>
      <c r="E2" s="15" t="s">
        <v>615</v>
      </c>
      <c r="F2" s="15" t="s">
        <v>49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H2" sqref="H2"/>
    </sheetView>
  </sheetViews>
  <sheetFormatPr defaultRowHeight="15" x14ac:dyDescent="0.25"/>
  <cols>
    <col min="2" max="2" width="30.7109375" bestFit="1" customWidth="1" collapsed="1"/>
    <col min="3" max="3" width="10.28515625" bestFit="1" customWidth="1" collapsed="1"/>
    <col min="4" max="4" width="10.5703125" bestFit="1" customWidth="1" collapsed="1"/>
    <col min="8" max="8" width="7" bestFit="1" customWidth="1" collapsed="1"/>
    <col min="9" max="9" width="19" bestFit="1" customWidth="1" collapsed="1"/>
    <col min="10" max="10" width="19.28515625" bestFit="1" customWidth="1" collapsed="1"/>
  </cols>
  <sheetData>
    <row r="1" spans="1:11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611</v>
      </c>
      <c r="F1" s="2" t="s">
        <v>612</v>
      </c>
      <c r="G1" s="2" t="s">
        <v>618</v>
      </c>
      <c r="H1" s="2" t="s">
        <v>619</v>
      </c>
      <c r="I1" s="16" t="s">
        <v>200</v>
      </c>
      <c r="J1" s="2" t="s">
        <v>117</v>
      </c>
      <c r="K1" s="15"/>
    </row>
    <row r="2" spans="1:11" x14ac:dyDescent="0.25">
      <c r="A2" s="7" t="s">
        <v>39</v>
      </c>
      <c r="B2" s="7" t="s">
        <v>613</v>
      </c>
      <c r="C2" s="16" t="s">
        <v>43</v>
      </c>
      <c r="D2" s="16" t="s">
        <v>119</v>
      </c>
      <c r="E2" s="7" t="s">
        <v>616</v>
      </c>
      <c r="F2" s="7" t="s">
        <v>617</v>
      </c>
      <c r="G2" s="7" t="s">
        <v>331</v>
      </c>
      <c r="H2" s="7" t="s">
        <v>78</v>
      </c>
      <c r="I2" s="16" t="s">
        <v>193</v>
      </c>
      <c r="J2" s="15"/>
      <c r="K2" s="15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cols>
    <col min="2" max="2" width="19.28515625" bestFit="1" customWidth="1" collapsed="1"/>
    <col min="3" max="3" width="10.5703125" bestFit="1" customWidth="1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7" t="s">
        <v>39</v>
      </c>
      <c r="B2" s="15"/>
      <c r="C2" s="15" t="s">
        <v>119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85546875" style="15" customWidth="1" collapsed="1"/>
    <col min="2" max="2" width="30.140625" style="15" bestFit="1" customWidth="1" collapsed="1"/>
    <col min="3" max="3" width="19.28515625" style="15" bestFit="1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185</v>
      </c>
      <c r="C2" s="16" t="s">
        <v>121</v>
      </c>
      <c r="D2" s="15" t="s">
        <v>119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" sqref="C2"/>
    </sheetView>
  </sheetViews>
  <sheetFormatPr defaultColWidth="9.140625" defaultRowHeight="15" x14ac:dyDescent="0.25"/>
  <cols>
    <col min="1" max="1" width="22.140625" style="15" bestFit="1" customWidth="1" collapsed="1"/>
    <col min="2" max="2" width="12" style="15" customWidth="1" collapsed="1"/>
    <col min="3" max="3" width="15.5703125" style="15" bestFit="1" customWidth="1" collapsed="1"/>
    <col min="4" max="4" width="9.140625" style="15" collapsed="1"/>
    <col min="5" max="5" width="20" style="15" bestFit="1" customWidth="1" collapsed="1"/>
    <col min="6" max="6" width="19.28515625" style="15" bestFit="1" customWidth="1" collapsed="1"/>
    <col min="7" max="7" width="10.5703125" style="15" bestFit="1" customWidth="1" collapsed="1"/>
    <col min="8" max="16384" width="9.140625" style="15" collapsed="1"/>
  </cols>
  <sheetData>
    <row r="1" spans="1:8" x14ac:dyDescent="0.25">
      <c r="A1" s="16" t="s">
        <v>23</v>
      </c>
      <c r="B1" s="16" t="s">
        <v>24</v>
      </c>
      <c r="C1" s="16" t="s">
        <v>27</v>
      </c>
      <c r="D1" s="16" t="s">
        <v>6</v>
      </c>
      <c r="E1" s="16" t="s">
        <v>123</v>
      </c>
      <c r="F1" s="15" t="s">
        <v>117</v>
      </c>
      <c r="G1" s="15" t="s">
        <v>118</v>
      </c>
      <c r="H1" s="15" t="s">
        <v>42</v>
      </c>
    </row>
    <row r="2" spans="1:8" x14ac:dyDescent="0.25">
      <c r="A2" s="16" t="s">
        <v>232</v>
      </c>
      <c r="B2" s="16" t="s">
        <v>230</v>
      </c>
      <c r="C2" s="16" t="s">
        <v>229</v>
      </c>
      <c r="D2" s="7" t="s">
        <v>39</v>
      </c>
      <c r="E2" s="17" t="s">
        <v>208</v>
      </c>
      <c r="F2" s="15" t="s">
        <v>121</v>
      </c>
      <c r="G2" s="15" t="s">
        <v>119</v>
      </c>
      <c r="H2" s="16" t="s">
        <v>43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ColWidth="9.140625" defaultRowHeight="15" x14ac:dyDescent="0.25"/>
  <cols>
    <col min="1" max="1" width="15.28515625" style="15" customWidth="1" collapsed="1"/>
    <col min="2" max="3" width="9.140625" style="15" collapsed="1"/>
    <col min="4" max="4" width="11" style="15" bestFit="1" customWidth="1" collapsed="1"/>
    <col min="5" max="16384" width="9.140625" style="15" collapsed="1"/>
  </cols>
  <sheetData>
    <row r="1" spans="1:4" x14ac:dyDescent="0.25">
      <c r="A1" s="16" t="s">
        <v>27</v>
      </c>
      <c r="B1" s="16" t="s">
        <v>6</v>
      </c>
      <c r="C1" s="15" t="s">
        <v>42</v>
      </c>
      <c r="D1" s="16" t="s">
        <v>57</v>
      </c>
    </row>
    <row r="2" spans="1:4" x14ac:dyDescent="0.25">
      <c r="A2" s="16" t="s">
        <v>229</v>
      </c>
      <c r="B2" s="16" t="s">
        <v>39</v>
      </c>
      <c r="C2" s="16" t="s">
        <v>43</v>
      </c>
      <c r="D2" s="16" t="s">
        <v>243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" width="10.42578125" bestFit="1" customWidth="1" collapsed="1"/>
    <col min="2" max="2" width="18.7109375" bestFit="1" customWidth="1" collapsed="1"/>
    <col min="4" max="4" width="10.28515625" bestFit="1" customWidth="1" collapsed="1"/>
  </cols>
  <sheetData>
    <row r="1" spans="1:4" x14ac:dyDescent="0.25">
      <c r="A1" s="6" t="s">
        <v>38</v>
      </c>
      <c r="B1" s="1" t="s">
        <v>17</v>
      </c>
      <c r="C1" s="1" t="s">
        <v>6</v>
      </c>
      <c r="D1" t="s">
        <v>42</v>
      </c>
    </row>
    <row r="2" spans="1:4" x14ac:dyDescent="0.25">
      <c r="A2" s="6" t="str">
        <f ca="1">TEXT(NOW(),"YYYY-MM-DD")</f>
        <v>2026-09-15</v>
      </c>
      <c r="B2" s="1" t="s">
        <v>315</v>
      </c>
      <c r="C2" s="7" t="s">
        <v>39</v>
      </c>
      <c r="D2" s="1" t="s">
        <v>43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B2" sqref="B2"/>
    </sheetView>
  </sheetViews>
  <sheetFormatPr defaultRowHeight="15" x14ac:dyDescent="0.25"/>
  <cols>
    <col min="1" max="1" width="14.28515625" bestFit="1" customWidth="1" collapsed="1"/>
    <col min="2" max="2" width="27.85546875" bestFit="1" customWidth="1" collapsed="1"/>
    <col min="3" max="3" width="18.140625" bestFit="1" customWidth="1" collapsed="1"/>
    <col min="5" max="5" width="37.140625" bestFit="1" customWidth="1" collapsed="1"/>
    <col min="6" max="6" width="10.28515625" bestFit="1" customWidth="1" collapsed="1"/>
    <col min="7" max="7" width="19" bestFit="1" customWidth="1" collapsed="1"/>
    <col min="8" max="8" width="10.5703125" bestFit="1" customWidth="1" collapsed="1"/>
    <col min="9" max="9" width="19.28515625" bestFit="1" customWidth="1" collapsed="1"/>
  </cols>
  <sheetData>
    <row r="1" spans="1:9" x14ac:dyDescent="0.25">
      <c r="A1" s="15" t="s">
        <v>467</v>
      </c>
      <c r="B1" s="15" t="s">
        <v>468</v>
      </c>
      <c r="C1" s="15" t="s">
        <v>469</v>
      </c>
      <c r="D1" s="9" t="s">
        <v>6</v>
      </c>
      <c r="E1" s="9" t="s">
        <v>123</v>
      </c>
      <c r="F1" s="9" t="s">
        <v>42</v>
      </c>
      <c r="G1" s="16" t="s">
        <v>200</v>
      </c>
      <c r="H1" s="15" t="s">
        <v>118</v>
      </c>
      <c r="I1" s="2" t="s">
        <v>117</v>
      </c>
    </row>
    <row r="2" spans="1:9" x14ac:dyDescent="0.25">
      <c r="A2" s="9" t="s">
        <v>600</v>
      </c>
      <c r="B2" s="9" t="s">
        <v>601</v>
      </c>
      <c r="C2" s="9" t="s">
        <v>601</v>
      </c>
      <c r="D2" s="9" t="s">
        <v>73</v>
      </c>
      <c r="E2" s="9" t="s">
        <v>470</v>
      </c>
      <c r="F2" s="9" t="s">
        <v>43</v>
      </c>
      <c r="G2" s="16" t="s">
        <v>193</v>
      </c>
      <c r="H2" s="15" t="s">
        <v>119</v>
      </c>
      <c r="I2" s="15"/>
    </row>
    <row r="4" spans="1:9" x14ac:dyDescent="0.25">
      <c r="B4" s="25"/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2" sqref="D2"/>
    </sheetView>
  </sheetViews>
  <sheetFormatPr defaultRowHeight="15" x14ac:dyDescent="0.25"/>
  <cols>
    <col min="1" max="1" width="13.42578125" bestFit="1" customWidth="1" collapsed="1"/>
    <col min="2" max="3" width="12.140625" bestFit="1" customWidth="1" collapsed="1"/>
    <col min="4" max="4" width="16.140625" bestFit="1" customWidth="1" collapsed="1"/>
    <col min="5" max="5" width="13.7109375" bestFit="1" customWidth="1" collapsed="1"/>
    <col min="6" max="6" width="12.7109375" bestFit="1" customWidth="1" collapsed="1"/>
    <col min="8" max="8" width="37.140625" bestFit="1" customWidth="1" collapsed="1"/>
    <col min="9" max="9" width="10.28515625" bestFit="1" customWidth="1" collapsed="1"/>
    <col min="10" max="10" width="19" bestFit="1" customWidth="1" collapsed="1"/>
    <col min="11" max="11" width="10.5703125" bestFit="1" customWidth="1" collapsed="1"/>
    <col min="12" max="12" width="19.28515625" bestFit="1" customWidth="1" collapsed="1"/>
  </cols>
  <sheetData>
    <row r="1" spans="1:12" x14ac:dyDescent="0.25">
      <c r="A1" s="15" t="s">
        <v>471</v>
      </c>
      <c r="B1" s="15" t="s">
        <v>472</v>
      </c>
      <c r="C1" s="15" t="s">
        <v>473</v>
      </c>
      <c r="D1" s="15" t="s">
        <v>474</v>
      </c>
      <c r="E1" s="15" t="s">
        <v>475</v>
      </c>
      <c r="F1" s="15" t="s">
        <v>476</v>
      </c>
      <c r="G1" s="9" t="s">
        <v>6</v>
      </c>
      <c r="H1" s="9" t="s">
        <v>123</v>
      </c>
      <c r="I1" s="9" t="s">
        <v>42</v>
      </c>
      <c r="J1" s="16" t="s">
        <v>200</v>
      </c>
      <c r="K1" s="15" t="s">
        <v>118</v>
      </c>
      <c r="L1" s="2" t="s">
        <v>117</v>
      </c>
    </row>
    <row r="2" spans="1:12" x14ac:dyDescent="0.25">
      <c r="A2" s="9" t="s">
        <v>10</v>
      </c>
      <c r="B2" s="9" t="s">
        <v>495</v>
      </c>
      <c r="C2" s="9" t="s">
        <v>495</v>
      </c>
      <c r="D2" s="9" t="s">
        <v>498</v>
      </c>
      <c r="E2" s="9" t="s">
        <v>496</v>
      </c>
      <c r="F2" s="9" t="s">
        <v>506</v>
      </c>
      <c r="G2" s="9" t="s">
        <v>73</v>
      </c>
      <c r="H2" s="9" t="s">
        <v>477</v>
      </c>
      <c r="I2" s="9" t="s">
        <v>43</v>
      </c>
      <c r="J2" s="16" t="s">
        <v>193</v>
      </c>
      <c r="K2" s="15" t="s">
        <v>119</v>
      </c>
      <c r="L2" s="15"/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A2" sqref="A2"/>
    </sheetView>
  </sheetViews>
  <sheetFormatPr defaultRowHeight="15" x14ac:dyDescent="0.25"/>
  <cols>
    <col min="1" max="1" width="15.7109375" style="15" bestFit="1" customWidth="1" collapsed="1"/>
    <col min="2" max="2" width="16.85546875" style="15" bestFit="1" customWidth="1" collapsed="1"/>
    <col min="3" max="3" width="26.140625" style="15" bestFit="1" customWidth="1" collapsed="1"/>
    <col min="4" max="4" width="27.140625" style="15" bestFit="1" customWidth="1" collapsed="1"/>
    <col min="5" max="5" width="9.140625" style="15" collapsed="1"/>
    <col min="6" max="6" width="42.28515625" style="15" bestFit="1" customWidth="1" collapsed="1"/>
    <col min="7" max="7" width="9.140625" style="15" collapsed="1"/>
    <col min="8" max="8" width="19" style="15" bestFit="1" customWidth="1" collapsed="1"/>
    <col min="9" max="9" width="9.140625" style="15" collapsed="1"/>
    <col min="10" max="10" width="19.28515625" style="15" bestFit="1" customWidth="1" collapsed="1"/>
    <col min="11" max="16384" width="9.140625" style="15" collapsed="1"/>
  </cols>
  <sheetData>
    <row r="1" spans="1:10" x14ac:dyDescent="0.25">
      <c r="A1" s="15" t="s">
        <v>478</v>
      </c>
      <c r="B1" s="15" t="s">
        <v>479</v>
      </c>
      <c r="C1" s="15" t="s">
        <v>480</v>
      </c>
      <c r="D1" s="15" t="s">
        <v>481</v>
      </c>
      <c r="E1" s="9" t="s">
        <v>6</v>
      </c>
      <c r="F1" s="9" t="s">
        <v>123</v>
      </c>
      <c r="G1" s="9" t="s">
        <v>42</v>
      </c>
      <c r="H1" s="16" t="s">
        <v>200</v>
      </c>
      <c r="I1" s="15" t="s">
        <v>118</v>
      </c>
      <c r="J1" s="2" t="s">
        <v>117</v>
      </c>
    </row>
    <row r="2" spans="1:10" x14ac:dyDescent="0.25">
      <c r="A2" s="9" t="s">
        <v>497</v>
      </c>
      <c r="B2" s="9" t="s">
        <v>497</v>
      </c>
      <c r="C2" s="9" t="s">
        <v>499</v>
      </c>
      <c r="D2" s="9" t="s">
        <v>499</v>
      </c>
      <c r="E2" s="9" t="s">
        <v>73</v>
      </c>
      <c r="F2" s="9" t="s">
        <v>482</v>
      </c>
      <c r="G2" s="9" t="s">
        <v>43</v>
      </c>
      <c r="H2" s="6" t="s">
        <v>193</v>
      </c>
      <c r="I2" s="15" t="s">
        <v>119</v>
      </c>
    </row>
    <row r="3" spans="1:10" x14ac:dyDescent="0.25">
      <c r="A3" s="9" t="s">
        <v>497</v>
      </c>
      <c r="B3" s="9" t="s">
        <v>497</v>
      </c>
      <c r="C3" s="9" t="s">
        <v>499</v>
      </c>
      <c r="D3" s="9" t="s">
        <v>499</v>
      </c>
      <c r="E3" s="9" t="s">
        <v>74</v>
      </c>
      <c r="F3" s="9" t="s">
        <v>483</v>
      </c>
      <c r="G3" s="9" t="s">
        <v>43</v>
      </c>
      <c r="H3" s="6" t="s">
        <v>43</v>
      </c>
      <c r="I3" s="15" t="s">
        <v>119</v>
      </c>
    </row>
    <row r="4" spans="1:10" x14ac:dyDescent="0.25">
      <c r="A4" s="9" t="s">
        <v>498</v>
      </c>
      <c r="B4" s="9" t="s">
        <v>498</v>
      </c>
      <c r="C4" s="9" t="s">
        <v>499</v>
      </c>
      <c r="D4" s="9" t="s">
        <v>499</v>
      </c>
      <c r="E4" s="9" t="s">
        <v>227</v>
      </c>
      <c r="F4" s="9" t="s">
        <v>483</v>
      </c>
      <c r="G4" s="9" t="s">
        <v>43</v>
      </c>
      <c r="H4" s="6" t="s">
        <v>43</v>
      </c>
      <c r="I4" s="15" t="s">
        <v>119</v>
      </c>
    </row>
    <row r="5" spans="1:10" x14ac:dyDescent="0.25">
      <c r="A5" s="9" t="s">
        <v>498</v>
      </c>
      <c r="B5" s="9" t="s">
        <v>498</v>
      </c>
      <c r="C5" s="9" t="s">
        <v>499</v>
      </c>
      <c r="D5" s="9" t="s">
        <v>499</v>
      </c>
      <c r="E5" s="9" t="s">
        <v>228</v>
      </c>
      <c r="F5" s="9" t="s">
        <v>484</v>
      </c>
      <c r="G5" s="9" t="s">
        <v>43</v>
      </c>
      <c r="H5" s="6" t="s">
        <v>193</v>
      </c>
      <c r="I5" s="15" t="s">
        <v>119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A5" sqref="A5"/>
    </sheetView>
  </sheetViews>
  <sheetFormatPr defaultRowHeight="15" x14ac:dyDescent="0.25"/>
  <cols>
    <col min="1" max="1" width="15.7109375" bestFit="1" customWidth="1" collapsed="1"/>
    <col min="2" max="2" width="16.85546875" bestFit="1" customWidth="1" collapsed="1"/>
    <col min="3" max="3" width="26.140625" bestFit="1" customWidth="1" collapsed="1"/>
    <col min="4" max="4" width="27.140625" bestFit="1" customWidth="1" collapsed="1"/>
    <col min="6" max="6" width="42.28515625" bestFit="1" customWidth="1" collapsed="1"/>
    <col min="8" max="8" width="19" bestFit="1" customWidth="1" collapsed="1"/>
    <col min="10" max="10" width="19.28515625" bestFit="1" customWidth="1" collapsed="1"/>
  </cols>
  <sheetData>
    <row r="1" spans="1:10" x14ac:dyDescent="0.25">
      <c r="A1" s="15" t="s">
        <v>478</v>
      </c>
      <c r="B1" s="15" t="s">
        <v>479</v>
      </c>
      <c r="C1" s="15" t="s">
        <v>480</v>
      </c>
      <c r="D1" s="15" t="s">
        <v>481</v>
      </c>
      <c r="E1" s="9" t="s">
        <v>6</v>
      </c>
      <c r="F1" s="9" t="s">
        <v>123</v>
      </c>
      <c r="G1" s="9" t="s">
        <v>42</v>
      </c>
      <c r="H1" s="16" t="s">
        <v>200</v>
      </c>
      <c r="I1" s="15" t="s">
        <v>118</v>
      </c>
      <c r="J1" s="2" t="s">
        <v>117</v>
      </c>
    </row>
    <row r="2" spans="1:10" x14ac:dyDescent="0.25">
      <c r="A2" s="9" t="s">
        <v>497</v>
      </c>
      <c r="B2" s="9" t="s">
        <v>497</v>
      </c>
      <c r="C2" s="9" t="s">
        <v>499</v>
      </c>
      <c r="D2" s="9" t="s">
        <v>499</v>
      </c>
      <c r="E2" s="9" t="s">
        <v>73</v>
      </c>
      <c r="F2" s="9" t="s">
        <v>482</v>
      </c>
      <c r="G2" s="9" t="s">
        <v>43</v>
      </c>
      <c r="H2" s="6" t="s">
        <v>193</v>
      </c>
      <c r="I2" s="15" t="s">
        <v>119</v>
      </c>
      <c r="J2" s="15"/>
    </row>
    <row r="3" spans="1:10" x14ac:dyDescent="0.25">
      <c r="A3" s="9" t="s">
        <v>498</v>
      </c>
      <c r="B3" s="9" t="s">
        <v>498</v>
      </c>
      <c r="C3" s="9" t="s">
        <v>499</v>
      </c>
      <c r="D3" s="9" t="s">
        <v>499</v>
      </c>
      <c r="E3" s="9" t="s">
        <v>74</v>
      </c>
      <c r="F3" s="9" t="s">
        <v>483</v>
      </c>
      <c r="G3" s="9" t="s">
        <v>43</v>
      </c>
      <c r="H3" s="6" t="s">
        <v>193</v>
      </c>
      <c r="I3" s="15" t="s">
        <v>119</v>
      </c>
      <c r="J3" s="15"/>
    </row>
    <row r="4" spans="1:10" x14ac:dyDescent="0.25">
      <c r="A4" s="9" t="s">
        <v>498</v>
      </c>
      <c r="B4" s="9" t="s">
        <v>498</v>
      </c>
      <c r="C4" s="9" t="s">
        <v>499</v>
      </c>
      <c r="D4" s="9" t="s">
        <v>499</v>
      </c>
      <c r="E4" s="9" t="s">
        <v>227</v>
      </c>
      <c r="F4" s="9" t="s">
        <v>483</v>
      </c>
      <c r="G4" s="9" t="s">
        <v>43</v>
      </c>
      <c r="H4" s="6" t="s">
        <v>193</v>
      </c>
      <c r="I4" s="15" t="s">
        <v>119</v>
      </c>
      <c r="J4" s="15"/>
    </row>
    <row r="5" spans="1:10" x14ac:dyDescent="0.25">
      <c r="A5" s="9" t="s">
        <v>591</v>
      </c>
      <c r="B5" s="9" t="s">
        <v>591</v>
      </c>
      <c r="C5" s="9" t="s">
        <v>499</v>
      </c>
      <c r="D5" s="9" t="s">
        <v>499</v>
      </c>
      <c r="E5" s="9" t="s">
        <v>228</v>
      </c>
      <c r="F5" s="9" t="s">
        <v>484</v>
      </c>
      <c r="G5" s="9" t="s">
        <v>43</v>
      </c>
      <c r="H5" s="6" t="s">
        <v>193</v>
      </c>
      <c r="I5" s="15" t="s">
        <v>119</v>
      </c>
      <c r="J5" s="15"/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2" sqref="B2"/>
    </sheetView>
  </sheetViews>
  <sheetFormatPr defaultRowHeight="15" x14ac:dyDescent="0.25"/>
  <cols>
    <col min="1" max="1" width="18" bestFit="1" customWidth="1" collapsed="1"/>
    <col min="2" max="2" width="13.5703125" bestFit="1" customWidth="1" collapsed="1"/>
    <col min="3" max="3" width="20.7109375" bestFit="1" customWidth="1" collapsed="1"/>
    <col min="4" max="4" width="22" bestFit="1" customWidth="1" collapsed="1"/>
    <col min="6" max="6" width="59.7109375" bestFit="1" customWidth="1" collapsed="1"/>
    <col min="8" max="8" width="19" bestFit="1" customWidth="1" collapsed="1"/>
    <col min="10" max="10" width="19.28515625" bestFit="1" customWidth="1" collapsed="1"/>
    <col min="11" max="11" width="5.28515625" bestFit="1" customWidth="1" collapsed="1"/>
  </cols>
  <sheetData>
    <row r="1" spans="1:11" x14ac:dyDescent="0.25">
      <c r="A1" s="15" t="s">
        <v>485</v>
      </c>
      <c r="B1" s="15" t="s">
        <v>486</v>
      </c>
      <c r="C1" s="15" t="s">
        <v>487</v>
      </c>
      <c r="D1" s="15" t="s">
        <v>488</v>
      </c>
      <c r="E1" s="9" t="s">
        <v>6</v>
      </c>
      <c r="F1" s="9" t="s">
        <v>123</v>
      </c>
      <c r="G1" s="9" t="s">
        <v>42</v>
      </c>
      <c r="H1" s="16" t="s">
        <v>200</v>
      </c>
      <c r="I1" s="15" t="s">
        <v>118</v>
      </c>
      <c r="J1" s="2" t="s">
        <v>117</v>
      </c>
      <c r="K1" s="16" t="s">
        <v>57</v>
      </c>
    </row>
    <row r="2" spans="1:11" x14ac:dyDescent="0.25">
      <c r="A2" s="9" t="s">
        <v>591</v>
      </c>
      <c r="B2" s="9" t="s">
        <v>603</v>
      </c>
      <c r="C2" s="9" t="s">
        <v>592</v>
      </c>
      <c r="D2" s="9" t="s">
        <v>592</v>
      </c>
      <c r="E2" s="9" t="s">
        <v>73</v>
      </c>
      <c r="F2" s="9" t="s">
        <v>489</v>
      </c>
      <c r="G2" s="9" t="s">
        <v>43</v>
      </c>
      <c r="H2" s="16" t="s">
        <v>193</v>
      </c>
      <c r="I2" s="15" t="s">
        <v>119</v>
      </c>
      <c r="J2" s="15"/>
      <c r="K2" s="16" t="s">
        <v>602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5" bestFit="1" customWidth="1" collapsed="1"/>
    <col min="2" max="2" width="16.140625" bestFit="1" customWidth="1" collapsed="1"/>
    <col min="3" max="3" width="20" bestFit="1" customWidth="1" collapsed="1"/>
    <col min="4" max="4" width="17.5703125" bestFit="1" customWidth="1" collapsed="1"/>
    <col min="5" max="5" width="7.42578125" customWidth="1" collapsed="1"/>
    <col min="6" max="6" width="10.28515625" bestFit="1" customWidth="1" collapsed="1"/>
    <col min="7" max="7" width="11" bestFit="1" customWidth="1" collapsed="1"/>
  </cols>
  <sheetData>
    <row r="1" spans="1:7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</v>
      </c>
      <c r="F1" s="15" t="s">
        <v>42</v>
      </c>
      <c r="G1" s="16" t="s">
        <v>57</v>
      </c>
    </row>
    <row r="2" spans="1:7" x14ac:dyDescent="0.25">
      <c r="A2" s="16" t="s">
        <v>284</v>
      </c>
      <c r="B2" s="16" t="s">
        <v>63</v>
      </c>
      <c r="C2" s="6" t="str">
        <f ca="1">TEXT(NOW(),"YYYY-MM-DD")</f>
        <v>2026-09-15</v>
      </c>
      <c r="D2" s="6" t="str">
        <f ca="1">TEXT(NOW(),"YYYY-MM-DD")</f>
        <v>2026-09-15</v>
      </c>
      <c r="E2" s="7" t="s">
        <v>39</v>
      </c>
      <c r="F2" s="16" t="s">
        <v>43</v>
      </c>
      <c r="G2" s="16" t="s">
        <v>412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" sqref="A2"/>
    </sheetView>
  </sheetViews>
  <sheetFormatPr defaultRowHeight="15" x14ac:dyDescent="0.25"/>
  <cols>
    <col min="1" max="1" width="16.85546875" bestFit="1" customWidth="1" collapsed="1"/>
    <col min="3" max="3" width="38.42578125" bestFit="1" customWidth="1" collapsed="1"/>
    <col min="4" max="4" width="10.28515625" bestFit="1" customWidth="1" collapsed="1"/>
    <col min="5" max="5" width="19" bestFit="1" customWidth="1" collapsed="1"/>
    <col min="6" max="6" width="19.28515625" bestFit="1" customWidth="1" collapsed="1"/>
  </cols>
  <sheetData>
    <row r="1" spans="1:7" x14ac:dyDescent="0.25">
      <c r="A1" s="15" t="s">
        <v>479</v>
      </c>
      <c r="B1" s="9" t="s">
        <v>6</v>
      </c>
      <c r="C1" s="9" t="s">
        <v>123</v>
      </c>
      <c r="D1" s="9" t="s">
        <v>42</v>
      </c>
      <c r="E1" s="16" t="s">
        <v>200</v>
      </c>
      <c r="F1" s="15" t="s">
        <v>117</v>
      </c>
      <c r="G1" s="15"/>
    </row>
    <row r="2" spans="1:7" x14ac:dyDescent="0.25">
      <c r="A2" s="9" t="s">
        <v>498</v>
      </c>
      <c r="B2" s="9" t="s">
        <v>39</v>
      </c>
      <c r="C2" s="7" t="s">
        <v>507</v>
      </c>
      <c r="D2" s="9" t="s">
        <v>43</v>
      </c>
      <c r="E2" s="16" t="s">
        <v>193</v>
      </c>
      <c r="F2" s="15"/>
      <c r="G2" s="15"/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2" sqref="C2"/>
    </sheetView>
  </sheetViews>
  <sheetFormatPr defaultRowHeight="15" x14ac:dyDescent="0.25"/>
  <cols>
    <col min="2" max="2" width="42.140625" bestFit="1" customWidth="1" collapsed="1"/>
    <col min="3" max="3" width="19.28515625" bestFit="1" customWidth="1" collapsed="1"/>
    <col min="4" max="4" width="10.5703125" bestFit="1" customWidth="1" collapsed="1"/>
    <col min="5" max="5" width="10.28515625" bestFit="1" customWidth="1" collapsed="1"/>
    <col min="6" max="6" width="8" bestFit="1" customWidth="1" collapsed="1"/>
  </cols>
  <sheetData>
    <row r="1" spans="1:6" x14ac:dyDescent="0.25">
      <c r="A1" s="16" t="s">
        <v>6</v>
      </c>
      <c r="B1" s="16" t="s">
        <v>123</v>
      </c>
      <c r="C1" s="15" t="s">
        <v>117</v>
      </c>
      <c r="D1" s="15" t="s">
        <v>118</v>
      </c>
      <c r="E1" s="15" t="s">
        <v>42</v>
      </c>
      <c r="F1" s="16" t="s">
        <v>57</v>
      </c>
    </row>
    <row r="2" spans="1:6" x14ac:dyDescent="0.25">
      <c r="A2" s="16" t="s">
        <v>39</v>
      </c>
      <c r="B2" s="17" t="s">
        <v>512</v>
      </c>
      <c r="C2" s="15"/>
      <c r="D2" s="15" t="s">
        <v>119</v>
      </c>
      <c r="E2" s="16" t="s">
        <v>43</v>
      </c>
      <c r="F2" s="7" t="s">
        <v>349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F14" sqref="F14"/>
    </sheetView>
  </sheetViews>
  <sheetFormatPr defaultRowHeight="15" x14ac:dyDescent="0.25"/>
  <cols>
    <col min="2" max="2" width="44.85546875" bestFit="1" customWidth="1" collapsed="1"/>
    <col min="3" max="3" width="16.28515625" bestFit="1" customWidth="1" collapsed="1"/>
    <col min="5" max="5" width="11" bestFit="1" customWidth="1" collapsed="1"/>
  </cols>
  <sheetData>
    <row r="1" spans="1:5" x14ac:dyDescent="0.25">
      <c r="A1" s="16" t="s">
        <v>6</v>
      </c>
      <c r="B1" s="16" t="s">
        <v>123</v>
      </c>
      <c r="C1" s="16" t="s">
        <v>162</v>
      </c>
      <c r="D1" s="15" t="s">
        <v>42</v>
      </c>
      <c r="E1" s="16" t="s">
        <v>57</v>
      </c>
    </row>
    <row r="2" spans="1:5" x14ac:dyDescent="0.25">
      <c r="A2" s="16" t="s">
        <v>39</v>
      </c>
      <c r="B2" s="17" t="s">
        <v>513</v>
      </c>
      <c r="C2" s="17" t="s">
        <v>500</v>
      </c>
      <c r="D2" s="16" t="s">
        <v>43</v>
      </c>
      <c r="E2" s="16" t="s">
        <v>411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" width="22.140625" bestFit="1" customWidth="1" collapsed="1"/>
    <col min="2" max="2" width="12.28515625" bestFit="1" customWidth="1" collapsed="1"/>
    <col min="3" max="3" width="12.28515625" style="15" customWidth="1" collapsed="1"/>
  </cols>
  <sheetData>
    <row r="1" spans="1:4" x14ac:dyDescent="0.25">
      <c r="A1" s="16" t="s">
        <v>57</v>
      </c>
      <c r="B1" s="16" t="s">
        <v>212</v>
      </c>
      <c r="C1" s="16" t="s">
        <v>216</v>
      </c>
      <c r="D1" s="16" t="s">
        <v>6</v>
      </c>
    </row>
    <row r="2" spans="1:4" x14ac:dyDescent="0.25">
      <c r="A2" s="16" t="s">
        <v>315</v>
      </c>
      <c r="B2" s="16" t="str">
        <f ca="1">TEXT(NOW(),"YYYY-MM-DD")</f>
        <v>2026-09-15</v>
      </c>
      <c r="C2" s="16" t="s">
        <v>215</v>
      </c>
      <c r="D2" s="7" t="s">
        <v>39</v>
      </c>
    </row>
  </sheetData>
  <pageMargins left="0.7" right="0.7" top="0.75" bottom="0.75" header="0.3" footer="0.3"/>
  <pageSetup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21" sqref="H21"/>
    </sheetView>
  </sheetViews>
  <sheetFormatPr defaultRowHeight="15" x14ac:dyDescent="0.25"/>
  <cols>
    <col min="2" max="2" width="10.5703125" bestFit="1" customWidth="1" collapsed="1"/>
    <col min="4" max="4" width="10.28515625" bestFit="1" customWidth="1" collapsed="1"/>
    <col min="5" max="5" width="24.42578125" bestFit="1" customWidth="1" collapsed="1"/>
    <col min="6" max="6" width="10.5703125" bestFit="1" customWidth="1" collapsed="1"/>
    <col min="7" max="7" width="15" bestFit="1" customWidth="1" collapsed="1"/>
  </cols>
  <sheetData>
    <row r="1" spans="1:7" x14ac:dyDescent="0.25">
      <c r="A1" s="1" t="s">
        <v>32</v>
      </c>
      <c r="B1" s="1" t="s">
        <v>5</v>
      </c>
      <c r="C1" s="1" t="s">
        <v>6</v>
      </c>
      <c r="D1" t="s">
        <v>42</v>
      </c>
      <c r="E1" s="15" t="s">
        <v>117</v>
      </c>
      <c r="F1" s="16" t="s">
        <v>118</v>
      </c>
      <c r="G1" s="16" t="s">
        <v>57</v>
      </c>
    </row>
    <row r="2" spans="1:7" x14ac:dyDescent="0.25">
      <c r="A2" s="1" t="s">
        <v>224</v>
      </c>
      <c r="B2" s="1" t="s">
        <v>33</v>
      </c>
      <c r="C2" s="7" t="s">
        <v>39</v>
      </c>
      <c r="D2" s="1" t="s">
        <v>43</v>
      </c>
      <c r="E2" s="15"/>
      <c r="F2" s="16" t="s">
        <v>119</v>
      </c>
      <c r="G2" s="15" t="s">
        <v>57</v>
      </c>
    </row>
  </sheetData>
  <pageMargins left="0.7" right="0.7" top="0.75" bottom="0.75" header="0.3" footer="0.3"/>
  <pageSetup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5" sqref="C5"/>
    </sheetView>
  </sheetViews>
  <sheetFormatPr defaultRowHeight="15" x14ac:dyDescent="0.25"/>
  <cols>
    <col min="1" max="2" width="10.42578125" style="6" bestFit="1" customWidth="1" collapsed="1"/>
  </cols>
  <sheetData>
    <row r="1" spans="1:4" x14ac:dyDescent="0.25">
      <c r="A1" s="6" t="s">
        <v>34</v>
      </c>
      <c r="B1" s="6" t="s">
        <v>35</v>
      </c>
      <c r="C1" s="1" t="s">
        <v>6</v>
      </c>
      <c r="D1" t="s">
        <v>42</v>
      </c>
    </row>
    <row r="2" spans="1:4" x14ac:dyDescent="0.25">
      <c r="A2" s="6" t="str">
        <f ca="1">TEXT(NOW(),"YYYY-MM-DD")</f>
        <v>2026-09-15</v>
      </c>
      <c r="B2" s="6" t="str">
        <f ca="1">TEXT(NOW(),"YYYY-MM-DD")</f>
        <v>2026-09-15</v>
      </c>
      <c r="C2" s="7" t="s">
        <v>39</v>
      </c>
      <c r="D2" s="1" t="s">
        <v>43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ColWidth="9.140625" defaultRowHeight="15" x14ac:dyDescent="0.25"/>
  <cols>
    <col min="1" max="1" width="9.140625" style="15" collapsed="1"/>
    <col min="2" max="2" width="22.140625" style="15" bestFit="1" customWidth="1" collapsed="1"/>
    <col min="3" max="16384" width="9.140625" style="15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7" t="s">
        <v>39</v>
      </c>
      <c r="B2" s="15" t="s">
        <v>176</v>
      </c>
      <c r="C2" s="15" t="s">
        <v>119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 x14ac:dyDescent="0.25"/>
  <cols>
    <col min="1" max="1" width="23.28515625" bestFit="1" customWidth="1" collapsed="1"/>
    <col min="2" max="2" width="33.28515625" bestFit="1" customWidth="1" collapsed="1"/>
    <col min="3" max="3" width="11.5703125" bestFit="1" customWidth="1" collapsed="1"/>
    <col min="5" max="5" width="13.5703125" bestFit="1" customWidth="1" collapsed="1"/>
    <col min="7" max="7" width="19.28515625" bestFit="1" customWidth="1" collapsed="1"/>
    <col min="8" max="8" width="10.5703125" bestFit="1" customWidth="1" collapsed="1"/>
    <col min="9" max="9" width="10.28515625" bestFit="1" customWidth="1" collapsed="1"/>
    <col min="11" max="11" width="23.28515625" bestFit="1" customWidth="1" collapsed="1"/>
  </cols>
  <sheetData>
    <row r="1" spans="1:11" x14ac:dyDescent="0.25">
      <c r="A1" s="16" t="s">
        <v>514</v>
      </c>
      <c r="B1" s="16" t="s">
        <v>515</v>
      </c>
      <c r="C1" s="16" t="s">
        <v>5</v>
      </c>
      <c r="D1" s="16" t="s">
        <v>6</v>
      </c>
      <c r="E1" s="16" t="s">
        <v>123</v>
      </c>
      <c r="F1" s="16" t="s">
        <v>162</v>
      </c>
      <c r="G1" s="15" t="s">
        <v>117</v>
      </c>
      <c r="H1" s="15" t="s">
        <v>118</v>
      </c>
      <c r="I1" s="15" t="s">
        <v>42</v>
      </c>
      <c r="J1" s="15" t="s">
        <v>57</v>
      </c>
      <c r="K1" s="16" t="s">
        <v>516</v>
      </c>
    </row>
    <row r="2" spans="1:11" x14ac:dyDescent="0.25">
      <c r="A2" s="16" t="s">
        <v>517</v>
      </c>
      <c r="B2" s="26" t="s">
        <v>260</v>
      </c>
      <c r="C2" s="16" t="s">
        <v>518</v>
      </c>
      <c r="D2" s="7" t="s">
        <v>39</v>
      </c>
      <c r="E2" s="16" t="s">
        <v>519</v>
      </c>
      <c r="F2" s="7" t="s">
        <v>500</v>
      </c>
      <c r="G2" s="15" t="s">
        <v>121</v>
      </c>
      <c r="H2" s="15" t="s">
        <v>119</v>
      </c>
      <c r="I2" s="15" t="s">
        <v>43</v>
      </c>
      <c r="J2" s="15" t="s">
        <v>57</v>
      </c>
      <c r="K2" s="16" t="s">
        <v>517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2" sqref="D2"/>
    </sheetView>
  </sheetViews>
  <sheetFormatPr defaultRowHeight="15" x14ac:dyDescent="0.25"/>
  <cols>
    <col min="1" max="1" width="9" bestFit="1" customWidth="1" collapsed="1"/>
    <col min="2" max="2" width="10.42578125" bestFit="1" customWidth="1" collapsed="1"/>
    <col min="4" max="4" width="25.28515625" bestFit="1" customWidth="1" collapsed="1"/>
    <col min="8" max="8" width="13.5703125" bestFit="1" customWidth="1" collapsed="1"/>
    <col min="9" max="9" width="16.28515625" bestFit="1" customWidth="1" collapsed="1"/>
    <col min="10" max="10" width="25.140625" bestFit="1" customWidth="1" collapsed="1"/>
    <col min="11" max="11" width="10.5703125" bestFit="1" customWidth="1" collapsed="1"/>
    <col min="12" max="12" width="10.28515625" bestFit="1" customWidth="1" collapsed="1"/>
  </cols>
  <sheetData>
    <row r="1" spans="1:12" x14ac:dyDescent="0.25">
      <c r="A1" s="16" t="s">
        <v>46</v>
      </c>
      <c r="B1" s="16" t="s">
        <v>47</v>
      </c>
      <c r="C1" s="16" t="s">
        <v>48</v>
      </c>
      <c r="D1" s="16" t="s">
        <v>20</v>
      </c>
      <c r="E1" s="16" t="s">
        <v>36</v>
      </c>
      <c r="F1" s="16" t="s">
        <v>21</v>
      </c>
      <c r="G1" s="16" t="s">
        <v>6</v>
      </c>
      <c r="H1" s="16" t="s">
        <v>123</v>
      </c>
      <c r="I1" s="16" t="s">
        <v>162</v>
      </c>
      <c r="J1" s="15" t="s">
        <v>117</v>
      </c>
      <c r="K1" s="15" t="s">
        <v>118</v>
      </c>
      <c r="L1" s="15" t="s">
        <v>42</v>
      </c>
    </row>
    <row r="2" spans="1:12" x14ac:dyDescent="0.25">
      <c r="A2" s="9" t="s">
        <v>261</v>
      </c>
      <c r="B2" s="7" t="s">
        <v>520</v>
      </c>
      <c r="C2" s="16" t="s">
        <v>50</v>
      </c>
      <c r="D2" s="16" t="s">
        <v>263</v>
      </c>
      <c r="E2" s="7" t="s">
        <v>521</v>
      </c>
      <c r="F2" s="7" t="s">
        <v>10</v>
      </c>
      <c r="G2" s="7" t="s">
        <v>73</v>
      </c>
      <c r="H2" s="16" t="s">
        <v>519</v>
      </c>
      <c r="I2" s="7" t="s">
        <v>500</v>
      </c>
      <c r="J2" s="15" t="s">
        <v>166</v>
      </c>
      <c r="K2" s="15" t="s">
        <v>119</v>
      </c>
      <c r="L2" s="15" t="s">
        <v>43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A2"/>
    </sheetView>
  </sheetViews>
  <sheetFormatPr defaultRowHeight="15" x14ac:dyDescent="0.25"/>
  <cols>
    <col min="1" max="1" width="20.28515625" bestFit="1" customWidth="1" collapsed="1"/>
    <col min="2" max="2" width="8.28515625" customWidth="1" collapsed="1"/>
    <col min="3" max="3" width="23.28515625" bestFit="1" customWidth="1" collapsed="1"/>
  </cols>
  <sheetData>
    <row r="1" spans="1:3" x14ac:dyDescent="0.25">
      <c r="A1" s="15" t="s">
        <v>57</v>
      </c>
      <c r="B1" s="15" t="s">
        <v>6</v>
      </c>
      <c r="C1" s="15" t="s">
        <v>516</v>
      </c>
    </row>
    <row r="2" spans="1:3" x14ac:dyDescent="0.25">
      <c r="A2" s="15" t="s">
        <v>72</v>
      </c>
      <c r="B2" s="7" t="s">
        <v>73</v>
      </c>
      <c r="C2" s="16" t="s">
        <v>517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2" sqref="C2"/>
    </sheetView>
  </sheetViews>
  <sheetFormatPr defaultRowHeight="15" x14ac:dyDescent="0.25"/>
  <cols>
    <col min="1" max="1" width="20" bestFit="1" customWidth="1" collapsed="1"/>
    <col min="3" max="3" width="20.85546875" bestFit="1" customWidth="1" collapsed="1"/>
    <col min="4" max="4" width="22" bestFit="1" customWidth="1" collapsed="1"/>
    <col min="7" max="7" width="20" bestFit="1" customWidth="1" collapsed="1"/>
  </cols>
  <sheetData>
    <row r="1" spans="1:7" x14ac:dyDescent="0.25">
      <c r="A1" s="16" t="s">
        <v>57</v>
      </c>
      <c r="B1" s="16" t="s">
        <v>6</v>
      </c>
      <c r="C1" s="15" t="s">
        <v>123</v>
      </c>
      <c r="D1" s="15" t="s">
        <v>117</v>
      </c>
      <c r="E1" s="15" t="s">
        <v>118</v>
      </c>
      <c r="F1" s="15" t="s">
        <v>42</v>
      </c>
      <c r="G1" s="15" t="s">
        <v>212</v>
      </c>
    </row>
    <row r="2" spans="1:7" x14ac:dyDescent="0.25">
      <c r="A2" s="16" t="s">
        <v>605</v>
      </c>
      <c r="B2" s="7" t="s">
        <v>39</v>
      </c>
      <c r="C2" s="15" t="s">
        <v>606</v>
      </c>
      <c r="D2" s="15" t="s">
        <v>122</v>
      </c>
      <c r="E2" s="15" t="s">
        <v>119</v>
      </c>
      <c r="F2" s="15" t="s">
        <v>43</v>
      </c>
      <c r="G2" s="15" t="s">
        <v>605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cols>
    <col min="1" max="1" width="5.7109375" bestFit="1" customWidth="1" collapsed="1"/>
    <col min="2" max="2" width="34.85546875" bestFit="1" customWidth="1" collapsed="1"/>
    <col min="3" max="3" width="22" bestFit="1" customWidth="1" collapsed="1"/>
    <col min="4" max="4" width="10.5703125" bestFit="1" customWidth="1" collapsed="1"/>
  </cols>
  <sheetData>
    <row r="1" spans="1:4" x14ac:dyDescent="0.25">
      <c r="A1" s="15" t="s">
        <v>6</v>
      </c>
      <c r="B1" s="15" t="s">
        <v>123</v>
      </c>
      <c r="C1" s="15" t="s">
        <v>117</v>
      </c>
      <c r="D1" s="15" t="s">
        <v>118</v>
      </c>
    </row>
    <row r="2" spans="1:4" x14ac:dyDescent="0.25">
      <c r="A2" s="7" t="s">
        <v>73</v>
      </c>
      <c r="B2" s="15" t="s">
        <v>607</v>
      </c>
      <c r="C2" s="16" t="s">
        <v>122</v>
      </c>
      <c r="D2" s="15" t="s">
        <v>119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5" x14ac:dyDescent="0.25"/>
  <cols>
    <col min="1" max="1" width="20.42578125" customWidth="1" collapsed="1"/>
    <col min="2" max="2" width="11.42578125" bestFit="1" customWidth="1" collapsed="1"/>
  </cols>
  <sheetData>
    <row r="1" spans="1:2" x14ac:dyDescent="0.25">
      <c r="A1" s="12" t="s">
        <v>80</v>
      </c>
      <c r="B1" t="s">
        <v>81</v>
      </c>
    </row>
    <row r="2" spans="1:2" x14ac:dyDescent="0.25">
      <c r="A2" t="s">
        <v>82</v>
      </c>
      <c r="B2" s="9" t="s">
        <v>237</v>
      </c>
    </row>
    <row r="3" spans="1:2" x14ac:dyDescent="0.25">
      <c r="A3" t="s">
        <v>93</v>
      </c>
      <c r="B3" t="s">
        <v>94</v>
      </c>
    </row>
    <row r="4" spans="1:2" x14ac:dyDescent="0.25">
      <c r="A4" t="s">
        <v>195</v>
      </c>
      <c r="B4" s="9" t="s">
        <v>238</v>
      </c>
    </row>
  </sheetData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2" sqref="H2"/>
    </sheetView>
  </sheetViews>
  <sheetFormatPr defaultRowHeight="15" x14ac:dyDescent="0.25"/>
  <cols>
    <col min="2" max="2" width="32.7109375" bestFit="1" customWidth="1" collapsed="1"/>
    <col min="3" max="3" width="10.28515625" bestFit="1" customWidth="1" collapsed="1"/>
    <col min="4" max="4" width="10.5703125" bestFit="1" customWidth="1" collapsed="1"/>
    <col min="5" max="5" width="11.5703125" bestFit="1" customWidth="1" collapsed="1"/>
    <col min="6" max="6" width="12.42578125" bestFit="1" customWidth="1" collapsed="1"/>
    <col min="7" max="7" width="8.85546875" bestFit="1" customWidth="1" collapsed="1"/>
    <col min="8" max="8" width="6.140625" bestFit="1" customWidth="1" collapsed="1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7" t="s">
        <v>629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H2" sqref="H2"/>
    </sheetView>
  </sheetViews>
  <sheetFormatPr defaultRowHeight="15" x14ac:dyDescent="0.25"/>
  <cols>
    <col min="4" max="4" width="9" bestFit="1" customWidth="1" collapsed="1"/>
    <col min="5" max="5" width="24.28515625" bestFit="1" customWidth="1" collapsed="1"/>
    <col min="6" max="6" width="6.28515625" bestFit="1" customWidth="1" collapsed="1"/>
  </cols>
  <sheetData>
    <row r="1" spans="1:6" x14ac:dyDescent="0.25">
      <c r="A1" s="2" t="s">
        <v>6</v>
      </c>
      <c r="B1" s="2" t="s">
        <v>42</v>
      </c>
      <c r="C1" s="2" t="s">
        <v>118</v>
      </c>
      <c r="D1" s="2" t="s">
        <v>57</v>
      </c>
      <c r="E1" s="2" t="s">
        <v>212</v>
      </c>
      <c r="F1" s="2" t="s">
        <v>216</v>
      </c>
    </row>
    <row r="2" spans="1:6" x14ac:dyDescent="0.25">
      <c r="A2" s="7" t="s">
        <v>39</v>
      </c>
      <c r="B2" s="16" t="s">
        <v>43</v>
      </c>
      <c r="C2" s="16" t="s">
        <v>119</v>
      </c>
      <c r="D2" s="9" t="s">
        <v>261</v>
      </c>
      <c r="E2" s="15" t="s">
        <v>615</v>
      </c>
      <c r="F2" s="9" t="s">
        <v>39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B2" sqref="B2"/>
    </sheetView>
  </sheetViews>
  <sheetFormatPr defaultRowHeight="15" x14ac:dyDescent="0.25"/>
  <cols>
    <col min="2" max="2" width="32.7109375" bestFit="1" customWidth="1" collapsed="1"/>
    <col min="3" max="3" width="10.28515625" bestFit="1" customWidth="1" collapsed="1"/>
    <col min="4" max="4" width="10.5703125" bestFit="1" customWidth="1" collapsed="1"/>
    <col min="5" max="5" width="11.140625" bestFit="1" customWidth="1" collapsed="1"/>
    <col min="6" max="6" width="10" bestFit="1" customWidth="1" collapsed="1"/>
    <col min="7" max="7" width="11.28515625" bestFit="1" customWidth="1" collapsed="1"/>
    <col min="8" max="8" width="10.140625" bestFit="1" customWidth="1" collapsed="1"/>
    <col min="9" max="9" width="19" bestFit="1" customWidth="1" collapsed="1"/>
    <col min="10" max="10" width="19.28515625" bestFit="1" customWidth="1" collapsed="1"/>
  </cols>
  <sheetData>
    <row r="1" spans="1:10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630</v>
      </c>
      <c r="F1" s="2" t="s">
        <v>631</v>
      </c>
      <c r="G1" s="2" t="s">
        <v>632</v>
      </c>
      <c r="H1" s="2" t="s">
        <v>633</v>
      </c>
      <c r="I1" s="16" t="s">
        <v>200</v>
      </c>
      <c r="J1" s="2" t="s">
        <v>117</v>
      </c>
    </row>
    <row r="2" spans="1:10" x14ac:dyDescent="0.25">
      <c r="A2" s="7" t="s">
        <v>39</v>
      </c>
      <c r="B2" s="7" t="s">
        <v>629</v>
      </c>
      <c r="C2" s="16" t="s">
        <v>43</v>
      </c>
      <c r="D2" s="16" t="s">
        <v>119</v>
      </c>
      <c r="E2" s="7" t="s">
        <v>10</v>
      </c>
      <c r="F2" s="7" t="s">
        <v>10</v>
      </c>
      <c r="G2" s="7" t="s">
        <v>10</v>
      </c>
      <c r="H2" s="7" t="s">
        <v>10</v>
      </c>
      <c r="I2" s="16" t="s">
        <v>193</v>
      </c>
      <c r="J2" s="15"/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cols>
    <col min="2" max="2" width="19.28515625" bestFit="1" customWidth="1" collapsed="1"/>
    <col min="3" max="3" width="10.5703125" bestFit="1" customWidth="1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7" t="s">
        <v>39</v>
      </c>
      <c r="B2" s="15"/>
      <c r="C2" s="15" t="s">
        <v>119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B2"/>
    </sheetView>
  </sheetViews>
  <sheetFormatPr defaultRowHeight="15" x14ac:dyDescent="0.25"/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7" t="s">
        <v>646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2" sqref="B2"/>
    </sheetView>
  </sheetViews>
  <sheetFormatPr defaultRowHeight="15" x14ac:dyDescent="0.25"/>
  <sheetData>
    <row r="1" spans="1:7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57</v>
      </c>
      <c r="F1" s="2" t="s">
        <v>212</v>
      </c>
      <c r="G1" s="2" t="s">
        <v>216</v>
      </c>
    </row>
    <row r="2" spans="1:7" x14ac:dyDescent="0.25">
      <c r="A2" s="7" t="s">
        <v>39</v>
      </c>
      <c r="B2" s="7" t="s">
        <v>648</v>
      </c>
      <c r="C2" s="16" t="s">
        <v>43</v>
      </c>
      <c r="D2" s="16" t="s">
        <v>119</v>
      </c>
      <c r="E2" s="9">
        <v>20062889</v>
      </c>
      <c r="F2" s="15" t="s">
        <v>615</v>
      </c>
      <c r="G2" s="9" t="s">
        <v>39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2" sqref="B2"/>
    </sheetView>
  </sheetViews>
  <sheetFormatPr defaultRowHeight="15" x14ac:dyDescent="0.25"/>
  <sheetData>
    <row r="1" spans="1:11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618</v>
      </c>
      <c r="F1" s="2" t="s">
        <v>619</v>
      </c>
      <c r="G1" s="2" t="s">
        <v>330</v>
      </c>
      <c r="H1" s="2" t="s">
        <v>633</v>
      </c>
      <c r="I1" s="2" t="s">
        <v>645</v>
      </c>
      <c r="J1" s="16" t="s">
        <v>200</v>
      </c>
      <c r="K1" s="2" t="s">
        <v>117</v>
      </c>
    </row>
    <row r="2" spans="1:11" x14ac:dyDescent="0.25">
      <c r="A2" s="7" t="s">
        <v>39</v>
      </c>
      <c r="B2" s="7" t="s">
        <v>647</v>
      </c>
      <c r="C2" s="16" t="s">
        <v>43</v>
      </c>
      <c r="D2" s="16" t="s">
        <v>119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16" t="s">
        <v>193</v>
      </c>
      <c r="K2" s="15"/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5" x14ac:dyDescent="0.25"/>
  <cols>
    <col min="1" max="1" width="9.140625" style="15"/>
    <col min="2" max="2" width="32.7109375" style="15" bestFit="1" customWidth="1" collapsed="1"/>
    <col min="3" max="3" width="10.28515625" style="15" bestFit="1" customWidth="1" collapsed="1"/>
    <col min="4" max="4" width="10.5703125" style="15" bestFit="1" customWidth="1" collapsed="1"/>
    <col min="5" max="5" width="11.5703125" style="15" bestFit="1" customWidth="1" collapsed="1"/>
    <col min="6" max="6" width="12.42578125" style="15" bestFit="1" customWidth="1" collapsed="1"/>
    <col min="7" max="7" width="8.85546875" style="15" bestFit="1" customWidth="1" collapsed="1"/>
    <col min="8" max="8" width="6.140625" style="15" bestFit="1" customWidth="1" collapsed="1"/>
    <col min="9" max="16384" width="9.140625" style="15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7" t="s">
        <v>646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2"/>
    </sheetView>
  </sheetViews>
  <sheetFormatPr defaultRowHeight="15" x14ac:dyDescent="0.25"/>
  <cols>
    <col min="1" max="1" width="9.140625" style="15"/>
    <col min="2" max="2" width="40.42578125" style="15" bestFit="1" customWidth="1"/>
    <col min="3" max="3" width="9.140625" style="15"/>
    <col min="4" max="4" width="9" style="15" bestFit="1" customWidth="1" collapsed="1"/>
    <col min="5" max="5" width="24.28515625" style="15" bestFit="1" customWidth="1" collapsed="1"/>
    <col min="6" max="6" width="18.7109375" style="15" bestFit="1" customWidth="1" collapsed="1"/>
    <col min="7" max="16384" width="9.140625" style="15"/>
  </cols>
  <sheetData>
    <row r="1" spans="1:7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57</v>
      </c>
      <c r="F1" s="2" t="s">
        <v>212</v>
      </c>
      <c r="G1" s="2" t="s">
        <v>216</v>
      </c>
    </row>
    <row r="2" spans="1:7" x14ac:dyDescent="0.25">
      <c r="A2" s="7" t="s">
        <v>39</v>
      </c>
      <c r="B2" s="7" t="s">
        <v>648</v>
      </c>
      <c r="C2" s="16" t="s">
        <v>43</v>
      </c>
      <c r="D2" s="16" t="s">
        <v>119</v>
      </c>
      <c r="E2" s="9">
        <v>20062889</v>
      </c>
      <c r="F2" s="15" t="s">
        <v>615</v>
      </c>
      <c r="G2" s="9" t="s">
        <v>39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sqref="A1:K2"/>
    </sheetView>
  </sheetViews>
  <sheetFormatPr defaultRowHeight="15" x14ac:dyDescent="0.25"/>
  <cols>
    <col min="1" max="1" width="9.140625" style="15"/>
    <col min="2" max="2" width="32.7109375" style="15" bestFit="1" customWidth="1" collapsed="1"/>
    <col min="3" max="3" width="10.28515625" style="15" bestFit="1" customWidth="1" collapsed="1"/>
    <col min="4" max="4" width="10.5703125" style="15" bestFit="1" customWidth="1" collapsed="1"/>
    <col min="5" max="5" width="11.140625" style="15" bestFit="1" customWidth="1" collapsed="1"/>
    <col min="6" max="6" width="10" style="15" bestFit="1" customWidth="1" collapsed="1"/>
    <col min="7" max="7" width="11.28515625" style="15" bestFit="1" customWidth="1" collapsed="1"/>
    <col min="8" max="8" width="10.140625" style="15" bestFit="1" customWidth="1" collapsed="1"/>
    <col min="9" max="9" width="10.140625" style="15" customWidth="1"/>
    <col min="10" max="10" width="19" style="15" bestFit="1" customWidth="1" collapsed="1"/>
    <col min="11" max="11" width="19.28515625" style="15" bestFit="1" customWidth="1" collapsed="1"/>
    <col min="12" max="16384" width="9.140625" style="15"/>
  </cols>
  <sheetData>
    <row r="1" spans="1:11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618</v>
      </c>
      <c r="F1" s="2" t="s">
        <v>619</v>
      </c>
      <c r="G1" s="2" t="s">
        <v>330</v>
      </c>
      <c r="H1" s="2" t="s">
        <v>633</v>
      </c>
      <c r="I1" s="2" t="s">
        <v>645</v>
      </c>
      <c r="J1" s="16" t="s">
        <v>200</v>
      </c>
      <c r="K1" s="2" t="s">
        <v>117</v>
      </c>
    </row>
    <row r="2" spans="1:11" x14ac:dyDescent="0.25">
      <c r="A2" s="7" t="s">
        <v>39</v>
      </c>
      <c r="B2" s="7" t="s">
        <v>647</v>
      </c>
      <c r="C2" s="16" t="s">
        <v>43</v>
      </c>
      <c r="D2" s="16" t="s">
        <v>119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16" t="s">
        <v>193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B2"/>
    </sheetView>
  </sheetViews>
  <sheetFormatPr defaultRowHeight="15" x14ac:dyDescent="0.25"/>
  <cols>
    <col min="1" max="1" width="9.140625" style="15"/>
    <col min="2" max="2" width="32.7109375" style="15" bestFit="1" customWidth="1" collapsed="1"/>
    <col min="3" max="3" width="10.28515625" style="15" bestFit="1" customWidth="1" collapsed="1"/>
    <col min="4" max="4" width="10.5703125" style="15" bestFit="1" customWidth="1" collapsed="1"/>
    <col min="5" max="5" width="11.5703125" style="15" bestFit="1" customWidth="1" collapsed="1"/>
    <col min="6" max="6" width="12.42578125" style="15" bestFit="1" customWidth="1" collapsed="1"/>
    <col min="7" max="7" width="8.85546875" style="15" bestFit="1" customWidth="1" collapsed="1"/>
    <col min="8" max="8" width="6.140625" style="15" bestFit="1" customWidth="1" collapsed="1"/>
    <col min="9" max="16384" width="9.140625" style="15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7" t="s">
        <v>646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1" sqref="B1:B2"/>
    </sheetView>
  </sheetViews>
  <sheetFormatPr defaultRowHeight="15" x14ac:dyDescent="0.25"/>
  <cols>
    <col min="1" max="1" width="9.140625" style="15"/>
    <col min="2" max="2" width="41.140625" style="15" bestFit="1" customWidth="1"/>
    <col min="3" max="3" width="9.140625" style="15"/>
    <col min="4" max="4" width="9" style="15" bestFit="1" customWidth="1" collapsed="1"/>
    <col min="5" max="5" width="24.28515625" style="15" bestFit="1" customWidth="1" collapsed="1"/>
    <col min="6" max="6" width="6.28515625" style="15" bestFit="1" customWidth="1" collapsed="1"/>
    <col min="7" max="16384" width="9.140625" style="15"/>
  </cols>
  <sheetData>
    <row r="1" spans="1:7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57</v>
      </c>
      <c r="F1" s="2" t="s">
        <v>212</v>
      </c>
      <c r="G1" s="2" t="s">
        <v>216</v>
      </c>
    </row>
    <row r="2" spans="1:7" x14ac:dyDescent="0.25">
      <c r="A2" s="7" t="s">
        <v>39</v>
      </c>
      <c r="B2" s="7" t="s">
        <v>648</v>
      </c>
      <c r="C2" s="16" t="s">
        <v>43</v>
      </c>
      <c r="D2" s="16" t="s">
        <v>119</v>
      </c>
      <c r="E2" s="9">
        <v>20062889</v>
      </c>
      <c r="F2" s="15" t="s">
        <v>615</v>
      </c>
      <c r="G2" s="9" t="s">
        <v>39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K25" sqref="K25"/>
    </sheetView>
  </sheetViews>
  <sheetFormatPr defaultRowHeight="15" x14ac:dyDescent="0.25"/>
  <cols>
    <col min="1" max="1" width="9.140625" style="15"/>
    <col min="2" max="2" width="32.7109375" style="15" bestFit="1" customWidth="1" collapsed="1"/>
    <col min="3" max="3" width="10.28515625" style="15" bestFit="1" customWidth="1" collapsed="1"/>
    <col min="4" max="4" width="10.5703125" style="15" bestFit="1" customWidth="1" collapsed="1"/>
    <col min="5" max="5" width="11.140625" style="15" bestFit="1" customWidth="1" collapsed="1"/>
    <col min="6" max="6" width="10" style="15" bestFit="1" customWidth="1" collapsed="1"/>
    <col min="7" max="7" width="11.28515625" style="15" bestFit="1" customWidth="1" collapsed="1"/>
    <col min="8" max="8" width="10.140625" style="15" bestFit="1" customWidth="1" collapsed="1"/>
    <col min="9" max="9" width="10.140625" style="15" customWidth="1"/>
    <col min="10" max="10" width="19" style="15" bestFit="1" customWidth="1" collapsed="1"/>
    <col min="11" max="11" width="19.28515625" style="15" bestFit="1" customWidth="1" collapsed="1"/>
    <col min="12" max="16384" width="9.140625" style="15"/>
  </cols>
  <sheetData>
    <row r="1" spans="1:11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618</v>
      </c>
      <c r="F1" s="2" t="s">
        <v>619</v>
      </c>
      <c r="G1" s="2" t="s">
        <v>330</v>
      </c>
      <c r="H1" s="2" t="s">
        <v>633</v>
      </c>
      <c r="I1" s="2" t="s">
        <v>645</v>
      </c>
      <c r="J1" s="16" t="s">
        <v>200</v>
      </c>
      <c r="K1" s="2" t="s">
        <v>117</v>
      </c>
    </row>
    <row r="2" spans="1:11" x14ac:dyDescent="0.25">
      <c r="A2" s="7" t="s">
        <v>39</v>
      </c>
      <c r="B2" s="7" t="s">
        <v>647</v>
      </c>
      <c r="C2" s="16" t="s">
        <v>43</v>
      </c>
      <c r="D2" s="16" t="s">
        <v>119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16" t="s">
        <v>193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" sqref="A1:H2"/>
    </sheetView>
  </sheetViews>
  <sheetFormatPr defaultRowHeight="15" x14ac:dyDescent="0.25"/>
  <cols>
    <col min="1" max="1" width="9.140625" style="15"/>
    <col min="2" max="2" width="40.42578125" style="15" bestFit="1" customWidth="1" collapsed="1"/>
    <col min="3" max="3" width="10.28515625" style="15" bestFit="1" customWidth="1" collapsed="1"/>
    <col min="4" max="4" width="10.5703125" style="15" bestFit="1" customWidth="1" collapsed="1"/>
    <col min="5" max="5" width="11.5703125" style="15" bestFit="1" customWidth="1" collapsed="1"/>
    <col min="6" max="6" width="12.42578125" style="15" bestFit="1" customWidth="1" collapsed="1"/>
    <col min="7" max="7" width="8.85546875" style="15" bestFit="1" customWidth="1" collapsed="1"/>
    <col min="8" max="8" width="6.140625" style="15" bestFit="1" customWidth="1" collapsed="1"/>
    <col min="9" max="16384" width="9.140625" style="15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7" t="s">
        <v>646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1" sqref="A1:G2"/>
    </sheetView>
  </sheetViews>
  <sheetFormatPr defaultRowHeight="15" x14ac:dyDescent="0.25"/>
  <cols>
    <col min="1" max="1" width="9.140625" style="15"/>
    <col min="2" max="2" width="41.140625" style="15" bestFit="1" customWidth="1"/>
    <col min="3" max="3" width="9.140625" style="15"/>
    <col min="4" max="4" width="9" style="15" bestFit="1" customWidth="1" collapsed="1"/>
    <col min="5" max="5" width="24.28515625" style="15" bestFit="1" customWidth="1" collapsed="1"/>
    <col min="6" max="6" width="6.28515625" style="15" bestFit="1" customWidth="1" collapsed="1"/>
    <col min="7" max="16384" width="9.140625" style="15"/>
  </cols>
  <sheetData>
    <row r="1" spans="1:7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57</v>
      </c>
      <c r="F1" s="2" t="s">
        <v>212</v>
      </c>
      <c r="G1" s="2" t="s">
        <v>216</v>
      </c>
    </row>
    <row r="2" spans="1:7" x14ac:dyDescent="0.25">
      <c r="A2" s="7" t="s">
        <v>39</v>
      </c>
      <c r="B2" s="7" t="s">
        <v>648</v>
      </c>
      <c r="C2" s="16" t="s">
        <v>43</v>
      </c>
      <c r="D2" s="16" t="s">
        <v>119</v>
      </c>
      <c r="E2" s="9">
        <v>20062889</v>
      </c>
      <c r="F2" s="15" t="s">
        <v>615</v>
      </c>
      <c r="G2" s="9" t="s">
        <v>39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2" sqref="A1:K2"/>
    </sheetView>
  </sheetViews>
  <sheetFormatPr defaultRowHeight="15" x14ac:dyDescent="0.25"/>
  <cols>
    <col min="1" max="1" width="9.140625" style="15"/>
    <col min="2" max="2" width="32.7109375" style="15" bestFit="1" customWidth="1" collapsed="1"/>
    <col min="3" max="3" width="10.28515625" style="15" bestFit="1" customWidth="1" collapsed="1"/>
    <col min="4" max="4" width="10.5703125" style="15" bestFit="1" customWidth="1" collapsed="1"/>
    <col min="5" max="5" width="11.140625" style="15" bestFit="1" customWidth="1" collapsed="1"/>
    <col min="6" max="6" width="10" style="15" bestFit="1" customWidth="1" collapsed="1"/>
    <col min="7" max="7" width="11.28515625" style="15" bestFit="1" customWidth="1" collapsed="1"/>
    <col min="8" max="8" width="10.140625" style="15" bestFit="1" customWidth="1" collapsed="1"/>
    <col min="9" max="9" width="10.140625" style="15" customWidth="1"/>
    <col min="10" max="10" width="19" style="15" bestFit="1" customWidth="1" collapsed="1"/>
    <col min="11" max="11" width="19.28515625" style="15" bestFit="1" customWidth="1" collapsed="1"/>
    <col min="12" max="16384" width="9.140625" style="15"/>
  </cols>
  <sheetData>
    <row r="1" spans="1:11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618</v>
      </c>
      <c r="F1" s="2" t="s">
        <v>619</v>
      </c>
      <c r="G1" s="2" t="s">
        <v>330</v>
      </c>
      <c r="H1" s="2" t="s">
        <v>633</v>
      </c>
      <c r="I1" s="2" t="s">
        <v>645</v>
      </c>
      <c r="J1" s="16" t="s">
        <v>200</v>
      </c>
      <c r="K1" s="2" t="s">
        <v>117</v>
      </c>
    </row>
    <row r="2" spans="1:11" x14ac:dyDescent="0.25">
      <c r="A2" s="7" t="s">
        <v>39</v>
      </c>
      <c r="B2" s="7" t="s">
        <v>647</v>
      </c>
      <c r="C2" s="16" t="s">
        <v>43</v>
      </c>
      <c r="D2" s="16" t="s">
        <v>119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16" t="s">
        <v>193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1" sqref="A1:H2"/>
    </sheetView>
  </sheetViews>
  <sheetFormatPr defaultRowHeight="15" x14ac:dyDescent="0.25"/>
  <cols>
    <col min="1" max="1" width="3.28515625" bestFit="1" customWidth="1"/>
    <col min="2" max="2" width="40.42578125" bestFit="1" customWidth="1"/>
    <col min="3" max="3" width="10.28515625" bestFit="1" customWidth="1"/>
    <col min="4" max="4" width="10.5703125" bestFit="1" customWidth="1"/>
    <col min="5" max="5" width="11.5703125" bestFit="1" customWidth="1"/>
    <col min="6" max="6" width="12.42578125" bestFit="1" customWidth="1"/>
    <col min="7" max="7" width="8.85546875" bestFit="1" customWidth="1"/>
    <col min="8" max="8" width="6.140625" bestFit="1" customWidth="1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7" t="s">
        <v>646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2" sqref="A1:G2"/>
    </sheetView>
  </sheetViews>
  <sheetFormatPr defaultRowHeight="15" x14ac:dyDescent="0.25"/>
  <cols>
    <col min="1" max="1" width="3.28515625" bestFit="1" customWidth="1"/>
    <col min="2" max="2" width="41.140625" bestFit="1" customWidth="1"/>
    <col min="3" max="3" width="10.28515625" bestFit="1" customWidth="1"/>
    <col min="4" max="4" width="10.5703125" bestFit="1" customWidth="1"/>
    <col min="5" max="5" width="9" bestFit="1" customWidth="1"/>
    <col min="6" max="6" width="18.7109375" bestFit="1" customWidth="1"/>
    <col min="7" max="7" width="6.28515625" bestFit="1" customWidth="1"/>
  </cols>
  <sheetData>
    <row r="1" spans="1:7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57</v>
      </c>
      <c r="F1" s="2" t="s">
        <v>212</v>
      </c>
      <c r="G1" s="2" t="s">
        <v>216</v>
      </c>
    </row>
    <row r="2" spans="1:7" x14ac:dyDescent="0.25">
      <c r="A2" s="7" t="s">
        <v>39</v>
      </c>
      <c r="B2" s="7" t="s">
        <v>648</v>
      </c>
      <c r="C2" s="16" t="s">
        <v>43</v>
      </c>
      <c r="D2" s="16" t="s">
        <v>119</v>
      </c>
      <c r="E2" s="9">
        <v>20062889</v>
      </c>
      <c r="F2" s="15" t="s">
        <v>615</v>
      </c>
      <c r="G2" s="9" t="s">
        <v>39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C2" sqref="A1:K2"/>
    </sheetView>
  </sheetViews>
  <sheetFormatPr defaultRowHeight="15" x14ac:dyDescent="0.25"/>
  <cols>
    <col min="1" max="1" width="3.28515625" bestFit="1" customWidth="1"/>
    <col min="2" max="2" width="40.140625" bestFit="1" customWidth="1"/>
    <col min="3" max="3" width="10.28515625" bestFit="1" customWidth="1"/>
    <col min="4" max="4" width="10.5703125" bestFit="1" customWidth="1"/>
    <col min="5" max="5" width="5.42578125" bestFit="1" customWidth="1"/>
    <col min="6" max="6" width="7" bestFit="1" customWidth="1"/>
    <col min="7" max="7" width="12.140625" bestFit="1" customWidth="1"/>
    <col min="8" max="8" width="10.140625" bestFit="1" customWidth="1"/>
    <col min="9" max="9" width="7.140625" bestFit="1" customWidth="1"/>
    <col min="10" max="10" width="19" bestFit="1" customWidth="1"/>
    <col min="11" max="11" width="19.28515625" bestFit="1" customWidth="1"/>
  </cols>
  <sheetData>
    <row r="1" spans="1:11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618</v>
      </c>
      <c r="F1" s="2" t="s">
        <v>619</v>
      </c>
      <c r="G1" s="2" t="s">
        <v>330</v>
      </c>
      <c r="H1" s="2" t="s">
        <v>633</v>
      </c>
      <c r="I1" s="2" t="s">
        <v>645</v>
      </c>
      <c r="J1" s="16" t="s">
        <v>200</v>
      </c>
      <c r="K1" s="2" t="s">
        <v>117</v>
      </c>
    </row>
    <row r="2" spans="1:11" x14ac:dyDescent="0.25">
      <c r="A2" s="7" t="s">
        <v>39</v>
      </c>
      <c r="B2" s="7" t="s">
        <v>647</v>
      </c>
      <c r="C2" s="16" t="s">
        <v>43</v>
      </c>
      <c r="D2" s="16" t="s">
        <v>119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16" t="s">
        <v>193</v>
      </c>
      <c r="K2" s="15"/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A1:H2"/>
    </sheetView>
  </sheetViews>
  <sheetFormatPr defaultRowHeight="15" x14ac:dyDescent="0.25"/>
  <cols>
    <col min="1" max="1" width="3.28515625" bestFit="1" customWidth="1"/>
    <col min="2" max="2" width="40.42578125" bestFit="1" customWidth="1"/>
    <col min="3" max="3" width="10.28515625" bestFit="1" customWidth="1"/>
    <col min="4" max="4" width="10.5703125" bestFit="1" customWidth="1"/>
    <col min="5" max="5" width="11.5703125" bestFit="1" customWidth="1"/>
    <col min="6" max="6" width="12.42578125" bestFit="1" customWidth="1"/>
    <col min="7" max="7" width="8.85546875" bestFit="1" customWidth="1"/>
    <col min="8" max="8" width="6.140625" bestFit="1" customWidth="1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7" t="s">
        <v>646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2" sqref="A1:G2"/>
    </sheetView>
  </sheetViews>
  <sheetFormatPr defaultRowHeight="15" x14ac:dyDescent="0.25"/>
  <cols>
    <col min="1" max="1" width="3.28515625" bestFit="1" customWidth="1"/>
    <col min="2" max="2" width="41.140625" bestFit="1" customWidth="1"/>
    <col min="3" max="3" width="10.28515625" bestFit="1" customWidth="1"/>
    <col min="4" max="4" width="10.5703125" bestFit="1" customWidth="1"/>
    <col min="5" max="5" width="9" bestFit="1" customWidth="1"/>
    <col min="6" max="6" width="18.7109375" bestFit="1" customWidth="1"/>
    <col min="7" max="7" width="6.28515625" bestFit="1" customWidth="1"/>
  </cols>
  <sheetData>
    <row r="1" spans="1:7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57</v>
      </c>
      <c r="F1" s="2" t="s">
        <v>212</v>
      </c>
      <c r="G1" s="2" t="s">
        <v>216</v>
      </c>
    </row>
    <row r="2" spans="1:7" x14ac:dyDescent="0.25">
      <c r="A2" s="7" t="s">
        <v>39</v>
      </c>
      <c r="B2" s="7" t="s">
        <v>648</v>
      </c>
      <c r="C2" s="16" t="s">
        <v>43</v>
      </c>
      <c r="D2" s="16" t="s">
        <v>119</v>
      </c>
      <c r="E2" s="9">
        <v>20062889</v>
      </c>
      <c r="F2" s="15" t="s">
        <v>615</v>
      </c>
      <c r="G2" s="9" t="s">
        <v>39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2" sqref="A1:K2"/>
    </sheetView>
  </sheetViews>
  <sheetFormatPr defaultRowHeight="15" x14ac:dyDescent="0.25"/>
  <cols>
    <col min="1" max="1" width="3.28515625" bestFit="1" customWidth="1"/>
    <col min="2" max="2" width="40.140625" bestFit="1" customWidth="1"/>
    <col min="3" max="3" width="10.28515625" bestFit="1" customWidth="1"/>
    <col min="4" max="4" width="10.5703125" bestFit="1" customWidth="1"/>
    <col min="5" max="5" width="5.42578125" bestFit="1" customWidth="1"/>
    <col min="6" max="6" width="7" bestFit="1" customWidth="1"/>
    <col min="7" max="7" width="12.140625" bestFit="1" customWidth="1"/>
    <col min="8" max="8" width="10.140625" bestFit="1" customWidth="1"/>
    <col min="9" max="9" width="7.140625" bestFit="1" customWidth="1"/>
    <col min="10" max="10" width="19" bestFit="1" customWidth="1"/>
    <col min="11" max="11" width="19.28515625" bestFit="1" customWidth="1"/>
  </cols>
  <sheetData>
    <row r="1" spans="1:11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618</v>
      </c>
      <c r="F1" s="2" t="s">
        <v>619</v>
      </c>
      <c r="G1" s="2" t="s">
        <v>330</v>
      </c>
      <c r="H1" s="2" t="s">
        <v>633</v>
      </c>
      <c r="I1" s="2" t="s">
        <v>645</v>
      </c>
      <c r="J1" s="16" t="s">
        <v>200</v>
      </c>
      <c r="K1" s="2" t="s">
        <v>117</v>
      </c>
    </row>
    <row r="2" spans="1:11" x14ac:dyDescent="0.25">
      <c r="A2" s="7" t="s">
        <v>39</v>
      </c>
      <c r="B2" s="7" t="s">
        <v>647</v>
      </c>
      <c r="C2" s="16" t="s">
        <v>43</v>
      </c>
      <c r="D2" s="16" t="s">
        <v>119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16" t="s">
        <v>193</v>
      </c>
      <c r="K2" s="15"/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A1:H2"/>
    </sheetView>
  </sheetViews>
  <sheetFormatPr defaultRowHeight="15" x14ac:dyDescent="0.25"/>
  <cols>
    <col min="1" max="1" width="3.28515625" bestFit="1" customWidth="1"/>
    <col min="2" max="2" width="40.42578125" bestFit="1" customWidth="1"/>
    <col min="3" max="3" width="10.28515625" bestFit="1" customWidth="1"/>
    <col min="4" max="4" width="10.5703125" bestFit="1" customWidth="1"/>
    <col min="5" max="5" width="11.5703125" bestFit="1" customWidth="1"/>
    <col min="6" max="6" width="12.42578125" bestFit="1" customWidth="1"/>
    <col min="7" max="7" width="8.85546875" bestFit="1" customWidth="1"/>
    <col min="8" max="8" width="6.140625" bestFit="1" customWidth="1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7" t="s">
        <v>646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1" sqref="A1:G2"/>
    </sheetView>
  </sheetViews>
  <sheetFormatPr defaultRowHeight="15" x14ac:dyDescent="0.25"/>
  <cols>
    <col min="1" max="1" width="3.28515625" bestFit="1" customWidth="1"/>
    <col min="2" max="2" width="41.140625" bestFit="1" customWidth="1"/>
    <col min="3" max="3" width="10.28515625" bestFit="1" customWidth="1"/>
    <col min="4" max="4" width="10.5703125" bestFit="1" customWidth="1"/>
    <col min="5" max="5" width="9" bestFit="1" customWidth="1"/>
    <col min="6" max="6" width="18.7109375" bestFit="1" customWidth="1"/>
    <col min="7" max="7" width="6.28515625" bestFit="1" customWidth="1"/>
  </cols>
  <sheetData>
    <row r="1" spans="1:7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57</v>
      </c>
      <c r="F1" s="2" t="s">
        <v>212</v>
      </c>
      <c r="G1" s="2" t="s">
        <v>216</v>
      </c>
    </row>
    <row r="2" spans="1:7" x14ac:dyDescent="0.25">
      <c r="A2" s="7" t="s">
        <v>39</v>
      </c>
      <c r="B2" s="7" t="s">
        <v>648</v>
      </c>
      <c r="C2" s="16" t="s">
        <v>43</v>
      </c>
      <c r="D2" s="16" t="s">
        <v>119</v>
      </c>
      <c r="E2" s="9">
        <v>20062889</v>
      </c>
      <c r="F2" s="15" t="s">
        <v>615</v>
      </c>
      <c r="G2" s="9" t="s">
        <v>39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2" sqref="A1:K2"/>
    </sheetView>
  </sheetViews>
  <sheetFormatPr defaultRowHeight="15" x14ac:dyDescent="0.25"/>
  <cols>
    <col min="1" max="1" width="3.28515625" bestFit="1" customWidth="1"/>
    <col min="2" max="2" width="40.140625" bestFit="1" customWidth="1"/>
    <col min="3" max="3" width="10.28515625" bestFit="1" customWidth="1"/>
    <col min="4" max="4" width="10.5703125" bestFit="1" customWidth="1"/>
    <col min="5" max="5" width="5.42578125" bestFit="1" customWidth="1"/>
    <col min="6" max="6" width="7" bestFit="1" customWidth="1"/>
    <col min="7" max="7" width="12.140625" bestFit="1" customWidth="1"/>
    <col min="8" max="8" width="10.140625" bestFit="1" customWidth="1"/>
    <col min="9" max="9" width="7.140625" bestFit="1" customWidth="1"/>
    <col min="10" max="10" width="19" bestFit="1" customWidth="1"/>
    <col min="11" max="11" width="19.28515625" bestFit="1" customWidth="1"/>
  </cols>
  <sheetData>
    <row r="1" spans="1:11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618</v>
      </c>
      <c r="F1" s="2" t="s">
        <v>619</v>
      </c>
      <c r="G1" s="2" t="s">
        <v>330</v>
      </c>
      <c r="H1" s="2" t="s">
        <v>633</v>
      </c>
      <c r="I1" s="2" t="s">
        <v>645</v>
      </c>
      <c r="J1" s="16" t="s">
        <v>200</v>
      </c>
      <c r="K1" s="2" t="s">
        <v>117</v>
      </c>
    </row>
    <row r="2" spans="1:11" x14ac:dyDescent="0.25">
      <c r="A2" s="7" t="s">
        <v>39</v>
      </c>
      <c r="B2" s="7" t="s">
        <v>647</v>
      </c>
      <c r="C2" s="16" t="s">
        <v>43</v>
      </c>
      <c r="D2" s="16" t="s">
        <v>119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16" t="s">
        <v>193</v>
      </c>
      <c r="K2" s="15"/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1" sqref="A1:H2"/>
    </sheetView>
  </sheetViews>
  <sheetFormatPr defaultRowHeight="15" x14ac:dyDescent="0.25"/>
  <cols>
    <col min="1" max="1" width="3.28515625" bestFit="1" customWidth="1"/>
    <col min="2" max="2" width="40.42578125" bestFit="1" customWidth="1"/>
    <col min="3" max="3" width="10.28515625" bestFit="1" customWidth="1"/>
    <col min="4" max="4" width="10.5703125" bestFit="1" customWidth="1"/>
    <col min="5" max="5" width="11.5703125" bestFit="1" customWidth="1"/>
    <col min="6" max="6" width="12.42578125" bestFit="1" customWidth="1"/>
    <col min="7" max="7" width="8.85546875" bestFit="1" customWidth="1"/>
    <col min="8" max="8" width="6.140625" bestFit="1" customWidth="1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7" t="s">
        <v>646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2" sqref="A1:G2"/>
    </sheetView>
  </sheetViews>
  <sheetFormatPr defaultRowHeight="15" x14ac:dyDescent="0.25"/>
  <cols>
    <col min="1" max="1" width="3.28515625" bestFit="1" customWidth="1"/>
    <col min="2" max="2" width="41.140625" bestFit="1" customWidth="1"/>
    <col min="3" max="3" width="10.28515625" bestFit="1" customWidth="1"/>
    <col min="4" max="4" width="10.5703125" bestFit="1" customWidth="1"/>
    <col min="5" max="5" width="9" bestFit="1" customWidth="1"/>
    <col min="6" max="6" width="18.7109375" bestFit="1" customWidth="1"/>
    <col min="7" max="7" width="6.28515625" bestFit="1" customWidth="1"/>
  </cols>
  <sheetData>
    <row r="1" spans="1:7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57</v>
      </c>
      <c r="F1" s="2" t="s">
        <v>212</v>
      </c>
      <c r="G1" s="2" t="s">
        <v>216</v>
      </c>
    </row>
    <row r="2" spans="1:7" x14ac:dyDescent="0.25">
      <c r="A2" s="7" t="s">
        <v>39</v>
      </c>
      <c r="B2" s="7" t="s">
        <v>648</v>
      </c>
      <c r="C2" s="16" t="s">
        <v>43</v>
      </c>
      <c r="D2" s="16" t="s">
        <v>119</v>
      </c>
      <c r="E2" s="9">
        <v>20062889</v>
      </c>
      <c r="F2" s="15" t="s">
        <v>615</v>
      </c>
      <c r="G2" s="9" t="s">
        <v>39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2" sqref="A1:K2"/>
    </sheetView>
  </sheetViews>
  <sheetFormatPr defaultRowHeight="15" x14ac:dyDescent="0.25"/>
  <cols>
    <col min="1" max="1" width="3.28515625" bestFit="1" customWidth="1"/>
    <col min="2" max="2" width="40.140625" bestFit="1" customWidth="1"/>
    <col min="3" max="3" width="10.28515625" bestFit="1" customWidth="1"/>
    <col min="4" max="4" width="10.5703125" bestFit="1" customWidth="1"/>
    <col min="5" max="5" width="5.42578125" bestFit="1" customWidth="1"/>
    <col min="6" max="6" width="7" bestFit="1" customWidth="1"/>
    <col min="7" max="7" width="12.140625" bestFit="1" customWidth="1"/>
    <col min="8" max="8" width="10.140625" bestFit="1" customWidth="1"/>
    <col min="9" max="9" width="7.140625" bestFit="1" customWidth="1"/>
    <col min="10" max="10" width="19" bestFit="1" customWidth="1"/>
    <col min="11" max="11" width="19.28515625" bestFit="1" customWidth="1"/>
  </cols>
  <sheetData>
    <row r="1" spans="1:11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618</v>
      </c>
      <c r="F1" s="2" t="s">
        <v>619</v>
      </c>
      <c r="G1" s="2" t="s">
        <v>330</v>
      </c>
      <c r="H1" s="2" t="s">
        <v>633</v>
      </c>
      <c r="I1" s="2" t="s">
        <v>645</v>
      </c>
      <c r="J1" s="16" t="s">
        <v>200</v>
      </c>
      <c r="K1" s="2" t="s">
        <v>117</v>
      </c>
    </row>
    <row r="2" spans="1:11" x14ac:dyDescent="0.25">
      <c r="A2" s="7" t="s">
        <v>39</v>
      </c>
      <c r="B2" s="7" t="s">
        <v>647</v>
      </c>
      <c r="C2" s="16" t="s">
        <v>43</v>
      </c>
      <c r="D2" s="16" t="s">
        <v>119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16" t="s">
        <v>193</v>
      </c>
      <c r="K2" s="15"/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8" sqref="B8"/>
    </sheetView>
  </sheetViews>
  <sheetFormatPr defaultRowHeight="15" x14ac:dyDescent="0.25"/>
  <cols>
    <col min="1" max="1" width="3.28515625" bestFit="1" customWidth="1"/>
    <col min="2" max="2" width="40.42578125" bestFit="1" customWidth="1"/>
    <col min="3" max="3" width="10.28515625" bestFit="1" customWidth="1"/>
    <col min="4" max="4" width="10.5703125" bestFit="1" customWidth="1"/>
    <col min="5" max="5" width="11.5703125" bestFit="1" customWidth="1"/>
    <col min="6" max="6" width="12.42578125" bestFit="1" customWidth="1"/>
    <col min="7" max="7" width="8.85546875" bestFit="1" customWidth="1"/>
    <col min="8" max="8" width="6.140625" bestFit="1" customWidth="1"/>
  </cols>
  <sheetData>
    <row r="1" spans="1:8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64</v>
      </c>
      <c r="F1" s="15" t="s">
        <v>65</v>
      </c>
      <c r="G1" s="15" t="s">
        <v>608</v>
      </c>
      <c r="H1" s="15" t="s">
        <v>609</v>
      </c>
    </row>
    <row r="2" spans="1:8" x14ac:dyDescent="0.25">
      <c r="A2" s="9" t="s">
        <v>39</v>
      </c>
      <c r="B2" s="7" t="s">
        <v>646</v>
      </c>
      <c r="C2" s="16" t="s">
        <v>43</v>
      </c>
      <c r="D2" s="15" t="s">
        <v>119</v>
      </c>
      <c r="E2" s="16" t="s">
        <v>66</v>
      </c>
      <c r="F2" s="15" t="str">
        <f ca="1">TEXT(NOW(),"YYYY-MM-DD")</f>
        <v>2026-09-15</v>
      </c>
      <c r="G2" s="15" t="s">
        <v>63</v>
      </c>
      <c r="H2" s="15" t="s">
        <v>63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O30" sqref="O30"/>
    </sheetView>
  </sheetViews>
  <sheetFormatPr defaultRowHeight="15" x14ac:dyDescent="0.25"/>
  <cols>
    <col min="1" max="1" width="3.28515625" bestFit="1" customWidth="1"/>
    <col min="2" max="2" width="41.140625" bestFit="1" customWidth="1"/>
    <col min="3" max="3" width="10.28515625" bestFit="1" customWidth="1"/>
    <col min="4" max="4" width="10.5703125" bestFit="1" customWidth="1"/>
    <col min="5" max="5" width="9" bestFit="1" customWidth="1"/>
    <col min="6" max="6" width="18.7109375" bestFit="1" customWidth="1"/>
    <col min="7" max="7" width="6.28515625" bestFit="1" customWidth="1"/>
  </cols>
  <sheetData>
    <row r="1" spans="1:7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57</v>
      </c>
      <c r="F1" s="2" t="s">
        <v>212</v>
      </c>
      <c r="G1" s="2" t="s">
        <v>216</v>
      </c>
    </row>
    <row r="2" spans="1:7" x14ac:dyDescent="0.25">
      <c r="A2" s="7" t="s">
        <v>39</v>
      </c>
      <c r="B2" s="7" t="s">
        <v>648</v>
      </c>
      <c r="C2" s="16" t="s">
        <v>43</v>
      </c>
      <c r="D2" s="16" t="s">
        <v>119</v>
      </c>
      <c r="E2" s="9">
        <v>20062889</v>
      </c>
      <c r="F2" s="15" t="s">
        <v>615</v>
      </c>
      <c r="G2" s="9" t="s">
        <v>39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G7" sqref="G7"/>
    </sheetView>
  </sheetViews>
  <sheetFormatPr defaultRowHeight="15" x14ac:dyDescent="0.25"/>
  <cols>
    <col min="1" max="1" width="3.28515625" bestFit="1" customWidth="1"/>
    <col min="2" max="2" width="40.140625" bestFit="1" customWidth="1"/>
    <col min="3" max="3" width="10.28515625" bestFit="1" customWidth="1"/>
    <col min="4" max="4" width="10.5703125" bestFit="1" customWidth="1"/>
    <col min="5" max="5" width="5.42578125" bestFit="1" customWidth="1"/>
    <col min="6" max="6" width="7" bestFit="1" customWidth="1"/>
    <col min="7" max="7" width="12.140625" bestFit="1" customWidth="1"/>
    <col min="8" max="8" width="10.140625" bestFit="1" customWidth="1"/>
    <col min="9" max="9" width="7.140625" bestFit="1" customWidth="1"/>
    <col min="10" max="10" width="19" bestFit="1" customWidth="1"/>
    <col min="11" max="11" width="19.28515625" bestFit="1" customWidth="1"/>
  </cols>
  <sheetData>
    <row r="1" spans="1:11" x14ac:dyDescent="0.25">
      <c r="A1" s="2" t="s">
        <v>6</v>
      </c>
      <c r="B1" s="2" t="s">
        <v>123</v>
      </c>
      <c r="C1" s="2" t="s">
        <v>42</v>
      </c>
      <c r="D1" s="2" t="s">
        <v>118</v>
      </c>
      <c r="E1" s="2" t="s">
        <v>618</v>
      </c>
      <c r="F1" s="2" t="s">
        <v>619</v>
      </c>
      <c r="G1" s="2" t="s">
        <v>330</v>
      </c>
      <c r="H1" s="2" t="s">
        <v>633</v>
      </c>
      <c r="I1" s="2" t="s">
        <v>645</v>
      </c>
      <c r="J1" s="16" t="s">
        <v>200</v>
      </c>
      <c r="K1" s="2" t="s">
        <v>117</v>
      </c>
    </row>
    <row r="2" spans="1:11" x14ac:dyDescent="0.25">
      <c r="A2" s="7" t="s">
        <v>39</v>
      </c>
      <c r="B2" s="7" t="s">
        <v>647</v>
      </c>
      <c r="C2" s="16" t="s">
        <v>43</v>
      </c>
      <c r="D2" s="16" t="s">
        <v>119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16" t="s">
        <v>193</v>
      </c>
      <c r="K2" s="15"/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85546875" style="15" customWidth="1" collapsed="1"/>
    <col min="2" max="2" width="30.140625" style="15" bestFit="1" customWidth="1" collapsed="1"/>
    <col min="3" max="3" width="36.85546875" style="15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184</v>
      </c>
      <c r="C2" s="16" t="s">
        <v>191</v>
      </c>
      <c r="D2" s="15" t="s">
        <v>119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cols>
    <col min="1" max="1" width="20.28515625" bestFit="1" customWidth="1" collapsed="1"/>
    <col min="2" max="2" width="11.28515625" bestFit="1" customWidth="1" collapsed="1"/>
  </cols>
  <sheetData>
    <row r="1" spans="1:3" x14ac:dyDescent="0.25">
      <c r="A1" s="1" t="s">
        <v>56</v>
      </c>
      <c r="B1" s="1" t="s">
        <v>87</v>
      </c>
      <c r="C1" s="1" t="s">
        <v>6</v>
      </c>
    </row>
    <row r="2" spans="1:3" x14ac:dyDescent="0.25">
      <c r="A2" s="1" t="s">
        <v>72</v>
      </c>
      <c r="B2" s="1" t="s">
        <v>88</v>
      </c>
      <c r="C2" s="7" t="s">
        <v>39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.140625" defaultRowHeight="15" x14ac:dyDescent="0.25"/>
  <cols>
    <col min="1" max="1" width="20.28515625" style="15" bestFit="1" customWidth="1" collapsed="1"/>
    <col min="2" max="2" width="11.28515625" style="15" bestFit="1" customWidth="1" collapsed="1"/>
    <col min="3" max="16384" width="9.140625" style="15" collapsed="1"/>
  </cols>
  <sheetData>
    <row r="1" spans="1:3" x14ac:dyDescent="0.25">
      <c r="A1" s="16" t="s">
        <v>56</v>
      </c>
      <c r="B1" s="16" t="s">
        <v>87</v>
      </c>
      <c r="C1" s="16" t="s">
        <v>6</v>
      </c>
    </row>
    <row r="2" spans="1:3" x14ac:dyDescent="0.25">
      <c r="A2" s="16" t="s">
        <v>72</v>
      </c>
      <c r="B2" s="16" t="s">
        <v>88</v>
      </c>
      <c r="C2" s="7" t="s">
        <v>39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85546875" style="15" customWidth="1" collapsed="1"/>
    <col min="2" max="2" width="30.140625" style="15" bestFit="1" customWidth="1" collapsed="1"/>
    <col min="3" max="3" width="19.28515625" style="15" bestFit="1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186</v>
      </c>
      <c r="C2" s="16" t="s">
        <v>122</v>
      </c>
      <c r="D2" s="15" t="s">
        <v>119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T17" sqref="T17"/>
    </sheetView>
  </sheetViews>
  <sheetFormatPr defaultRowHeight="15" x14ac:dyDescent="0.25"/>
  <cols>
    <col min="1" max="1" width="12.42578125" bestFit="1" customWidth="1" collapsed="1"/>
  </cols>
  <sheetData>
    <row r="1" spans="1:2" x14ac:dyDescent="0.25">
      <c r="A1" t="s">
        <v>57</v>
      </c>
      <c r="B1" t="s">
        <v>6</v>
      </c>
    </row>
    <row r="2" spans="1:2" x14ac:dyDescent="0.25">
      <c r="A2" t="s">
        <v>203</v>
      </c>
      <c r="B2" s="9" t="s">
        <v>39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cols>
    <col min="2" max="2" width="29.42578125" bestFit="1" customWidth="1" collapsed="1"/>
    <col min="3" max="3" width="29.28515625" bestFit="1" customWidth="1" collapsed="1"/>
    <col min="4" max="4" width="10.5703125" bestFit="1" customWidth="1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211</v>
      </c>
      <c r="C2" s="15" t="s">
        <v>181</v>
      </c>
      <c r="D2" s="15" t="s">
        <v>119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:F2"/>
    </sheetView>
  </sheetViews>
  <sheetFormatPr defaultRowHeight="15" x14ac:dyDescent="0.25"/>
  <cols>
    <col min="2" max="2" width="15.7109375" customWidth="1" collapsed="1"/>
    <col min="3" max="3" width="20" bestFit="1" customWidth="1" collapsed="1"/>
    <col min="4" max="4" width="17.5703125" bestFit="1" customWidth="1" collapsed="1"/>
  </cols>
  <sheetData>
    <row r="1" spans="1:6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</v>
      </c>
      <c r="F1" t="s">
        <v>42</v>
      </c>
    </row>
    <row r="2" spans="1:6" x14ac:dyDescent="0.25">
      <c r="A2" s="1" t="s">
        <v>62</v>
      </c>
      <c r="B2" s="1" t="s">
        <v>63</v>
      </c>
      <c r="C2" s="6" t="str">
        <f ca="1">TEXT(NOW(),"YYYY-MM-DD")</f>
        <v>2026-09-15</v>
      </c>
      <c r="D2" s="6" t="str">
        <f ca="1">TEXT(NOW(),"YYYY-MM-DD")</f>
        <v>2026-09-15</v>
      </c>
      <c r="E2" s="7" t="s">
        <v>39</v>
      </c>
      <c r="F2" s="1" t="s">
        <v>43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3" sqref="A3:XFD3"/>
    </sheetView>
  </sheetViews>
  <sheetFormatPr defaultColWidth="9.140625" defaultRowHeight="15" x14ac:dyDescent="0.25"/>
  <cols>
    <col min="1" max="1" width="9.85546875" style="15" customWidth="1" collapsed="1"/>
    <col min="2" max="2" width="28.140625" style="15" bestFit="1" customWidth="1" collapsed="1"/>
    <col min="3" max="3" width="70" style="15" customWidth="1" collapsed="1"/>
    <col min="4" max="4" width="10.5703125" style="15" bestFit="1" customWidth="1" collapsed="1"/>
    <col min="5" max="16384" width="9.140625" style="15" collapsed="1"/>
  </cols>
  <sheetData>
    <row r="1" spans="1:4" x14ac:dyDescent="0.25">
      <c r="A1" s="16" t="s">
        <v>6</v>
      </c>
      <c r="B1" s="16" t="s">
        <v>123</v>
      </c>
      <c r="C1" s="15" t="s">
        <v>117</v>
      </c>
      <c r="D1" s="16" t="s">
        <v>118</v>
      </c>
    </row>
    <row r="2" spans="1:4" x14ac:dyDescent="0.25">
      <c r="A2" s="17" t="s">
        <v>39</v>
      </c>
      <c r="B2" s="17" t="s">
        <v>187</v>
      </c>
      <c r="C2" s="18" t="s">
        <v>192</v>
      </c>
      <c r="D2" s="15" t="s">
        <v>119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F1" sqref="F1"/>
    </sheetView>
  </sheetViews>
  <sheetFormatPr defaultRowHeight="15" x14ac:dyDescent="0.25"/>
  <cols>
    <col min="4" max="4" width="12.42578125" style="6" bestFit="1" customWidth="1" collapsed="1"/>
  </cols>
  <sheetData>
    <row r="1" spans="1:5" x14ac:dyDescent="0.25">
      <c r="A1" t="s">
        <v>64</v>
      </c>
      <c r="B1" t="s">
        <v>65</v>
      </c>
      <c r="C1" s="1" t="s">
        <v>64</v>
      </c>
      <c r="D1" s="6" t="s">
        <v>65</v>
      </c>
      <c r="E1" s="1" t="s">
        <v>6</v>
      </c>
    </row>
    <row r="2" spans="1:5" x14ac:dyDescent="0.25">
      <c r="A2" s="1" t="s">
        <v>66</v>
      </c>
      <c r="B2" s="1" t="s">
        <v>63</v>
      </c>
      <c r="C2" s="1" t="s">
        <v>66</v>
      </c>
      <c r="D2" s="6" t="str">
        <f ca="1">TEXT(NOW(),"YYYY-MM-DD")</f>
        <v>2026-09-15</v>
      </c>
      <c r="E2" s="7" t="s">
        <v>39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A2"/>
    </sheetView>
  </sheetViews>
  <sheetFormatPr defaultRowHeight="15" x14ac:dyDescent="0.25"/>
  <cols>
    <col min="1" max="1" width="13.140625" bestFit="1" customWidth="1" collapsed="1"/>
    <col min="3" max="3" width="14.85546875" bestFit="1" customWidth="1" collapsed="1"/>
    <col min="4" max="4" width="14" bestFit="1" customWidth="1" collapsed="1"/>
    <col min="6" max="6" width="14.85546875" bestFit="1" customWidth="1" collapsed="1"/>
  </cols>
  <sheetData>
    <row r="1" spans="1:6" x14ac:dyDescent="0.25">
      <c r="A1" s="15" t="s">
        <v>196</v>
      </c>
      <c r="B1" s="16" t="s">
        <v>6</v>
      </c>
      <c r="C1" s="15" t="s">
        <v>42</v>
      </c>
      <c r="D1" s="15"/>
      <c r="E1" s="16"/>
      <c r="F1" s="15"/>
    </row>
    <row r="2" spans="1:6" x14ac:dyDescent="0.25">
      <c r="A2" s="19" t="str">
        <f ca="1">TEXT(NOW(),"YYYY-MM-DD")</f>
        <v>2026-09-15</v>
      </c>
      <c r="B2" s="7" t="s">
        <v>39</v>
      </c>
      <c r="C2" s="16" t="s">
        <v>43</v>
      </c>
      <c r="D2" s="15"/>
      <c r="E2" s="15"/>
      <c r="F2" s="20"/>
    </row>
  </sheetData>
  <pageMargins left="0.7" right="0.7" top="0.75" bottom="0.75" header="0.3" footer="0.3"/>
  <pageSetup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23" sqref="J23"/>
    </sheetView>
  </sheetViews>
  <sheetFormatPr defaultRowHeight="15" x14ac:dyDescent="0.25"/>
  <cols>
    <col min="1" max="1" width="11.7109375" style="15" bestFit="1" customWidth="1" collapsed="1"/>
    <col min="2" max="2" width="9.140625" style="15" collapsed="1"/>
    <col min="3" max="3" width="15.140625" bestFit="1" customWidth="1" collapsed="1"/>
    <col min="4" max="4" width="15" bestFit="1" customWidth="1" collapsed="1"/>
    <col min="5" max="5" width="21.7109375" bestFit="1" customWidth="1" collapsed="1"/>
    <col min="6" max="6" width="6.85546875" customWidth="1" collapsed="1"/>
    <col min="7" max="7" width="10.28515625" bestFit="1" customWidth="1" collapsed="1"/>
  </cols>
  <sheetData>
    <row r="1" spans="1:8" x14ac:dyDescent="0.25">
      <c r="A1" s="16" t="s">
        <v>17</v>
      </c>
      <c r="B1" s="15" t="s">
        <v>199</v>
      </c>
      <c r="C1" s="15" t="s">
        <v>209</v>
      </c>
      <c r="D1" s="16" t="s">
        <v>197</v>
      </c>
      <c r="E1" s="15" t="s">
        <v>35</v>
      </c>
      <c r="F1" s="16" t="s">
        <v>6</v>
      </c>
      <c r="G1" s="15" t="s">
        <v>42</v>
      </c>
      <c r="H1" s="16" t="s">
        <v>57</v>
      </c>
    </row>
    <row r="2" spans="1:8" x14ac:dyDescent="0.25">
      <c r="A2" s="9" t="s">
        <v>244</v>
      </c>
      <c r="B2" s="9" t="s">
        <v>244</v>
      </c>
      <c r="C2" t="s">
        <v>198</v>
      </c>
      <c r="D2" t="s">
        <v>201</v>
      </c>
      <c r="E2" s="21" t="str">
        <f ca="1">TEXT(NOW(),"yyyy-mm-dd hh:mm:ss AM/PM")</f>
        <v>2026-09-15 12:18:36 PM</v>
      </c>
      <c r="F2" s="7" t="s">
        <v>39</v>
      </c>
      <c r="G2" s="16" t="s">
        <v>43</v>
      </c>
      <c r="H2" s="16">
        <v>6111</v>
      </c>
    </row>
  </sheetData>
  <pageMargins left="0.7" right="0.7" top="0.75" bottom="0.75" header="0.3" footer="0.3"/>
  <pageSetup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cols>
    <col min="2" max="2" width="26.85546875" bestFit="1" customWidth="1" collapsed="1"/>
    <col min="3" max="3" width="10.5703125" bestFit="1" customWidth="1" collapsed="1"/>
  </cols>
  <sheetData>
    <row r="1" spans="1:3" x14ac:dyDescent="0.25">
      <c r="A1" s="16" t="s">
        <v>6</v>
      </c>
      <c r="B1" s="15" t="s">
        <v>117</v>
      </c>
      <c r="C1" s="15" t="s">
        <v>118</v>
      </c>
    </row>
    <row r="2" spans="1:3" x14ac:dyDescent="0.25">
      <c r="A2" s="7" t="s">
        <v>39</v>
      </c>
      <c r="B2" s="15" t="s">
        <v>210</v>
      </c>
      <c r="C2" s="15" t="s">
        <v>119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2" sqref="C2"/>
    </sheetView>
  </sheetViews>
  <sheetFormatPr defaultRowHeight="15" x14ac:dyDescent="0.25"/>
  <cols>
    <col min="1" max="1" width="10.7109375" bestFit="1" customWidth="1" collapsed="1"/>
    <col min="2" max="2" width="13.140625" bestFit="1" customWidth="1" collapsed="1"/>
    <col min="3" max="3" width="21.42578125" bestFit="1" customWidth="1" collapsed="1"/>
    <col min="5" max="5" width="10.28515625" bestFit="1" customWidth="1" collapsed="1"/>
    <col min="6" max="6" width="32.7109375" bestFit="1" customWidth="1" collapsed="1"/>
    <col min="7" max="7" width="11.85546875" bestFit="1" customWidth="1" collapsed="1"/>
  </cols>
  <sheetData>
    <row r="1" spans="1:7" x14ac:dyDescent="0.25">
      <c r="A1" s="15" t="s">
        <v>16</v>
      </c>
      <c r="B1" s="15" t="s">
        <v>13</v>
      </c>
      <c r="C1" s="15" t="s">
        <v>17</v>
      </c>
      <c r="D1" s="16" t="s">
        <v>6</v>
      </c>
      <c r="E1" s="15" t="s">
        <v>42</v>
      </c>
      <c r="F1" s="16" t="s">
        <v>57</v>
      </c>
      <c r="G1" s="16" t="s">
        <v>212</v>
      </c>
    </row>
    <row r="2" spans="1:7" x14ac:dyDescent="0.25">
      <c r="A2" s="6" t="str">
        <f ca="1">TEXT(NOW(),"YYYY-MM-DD")</f>
        <v>2026-09-15</v>
      </c>
      <c r="B2" s="6" t="str">
        <f ca="1">TEXT(NOW() + 1, "YYYY-MM-DD")</f>
        <v>2026-09-16</v>
      </c>
      <c r="C2" s="9" t="s">
        <v>232</v>
      </c>
      <c r="D2" s="7" t="s">
        <v>39</v>
      </c>
      <c r="E2" s="16" t="s">
        <v>43</v>
      </c>
      <c r="F2" s="16" t="s">
        <v>221</v>
      </c>
      <c r="G2" s="16" t="s">
        <v>22</v>
      </c>
    </row>
  </sheetData>
  <pageMargins left="0.7" right="0.7" top="0.75" bottom="0.75" header="0.3" footer="0.3"/>
  <pageSetup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12" sqref="F12"/>
    </sheetView>
  </sheetViews>
  <sheetFormatPr defaultRowHeight="15" x14ac:dyDescent="0.25"/>
  <sheetData>
    <row r="1" spans="1:2" x14ac:dyDescent="0.25">
      <c r="A1" s="15" t="s">
        <v>245</v>
      </c>
      <c r="B1" s="15" t="s">
        <v>6</v>
      </c>
    </row>
    <row r="2" spans="1:2" x14ac:dyDescent="0.25">
      <c r="A2" s="7">
        <v>50200411</v>
      </c>
      <c r="B2" s="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221</vt:i4>
      </vt:variant>
    </vt:vector>
  </HeadingPairs>
  <TitlesOfParts>
    <vt:vector size="221" baseType="lpstr">
      <vt:lpstr>Dispatch Advice PH (2)</vt:lpstr>
      <vt:lpstr>Dispatch Advice PH</vt:lpstr>
      <vt:lpstr>Dispatch Advice Detail2 PH</vt:lpstr>
      <vt:lpstr>Dispatch Advice Detail PH</vt:lpstr>
      <vt:lpstr>Dispatch Advice Loss PH</vt:lpstr>
      <vt:lpstr>DA Amount Val PH</vt:lpstr>
      <vt:lpstr>Dispatch Advice Loss Approval</vt:lpstr>
      <vt:lpstr>DA_APPROVALFRWD_ASSR</vt:lpstr>
      <vt:lpstr>Dispatch Advice Approval</vt:lpstr>
      <vt:lpstr>Dispatch Advice Forward PH</vt:lpstr>
      <vt:lpstr>Dispatch Advice II Approval</vt:lpstr>
      <vt:lpstr>Stock_Val_after_DA_R2_PH</vt:lpstr>
      <vt:lpstr>Stock_Val_after_DA_2_R2_PH</vt:lpstr>
      <vt:lpstr>Stock_Val_after_DA_3_R2_PH</vt:lpstr>
      <vt:lpstr>Stock_ValafterDA3_ASSR</vt:lpstr>
      <vt:lpstr>DA_FORWARD_ASSR</vt:lpstr>
      <vt:lpstr>DA_LOSS_APPROVALFRWD_ASSR</vt:lpstr>
      <vt:lpstr>OTC Stock Out R2 PH</vt:lpstr>
      <vt:lpstr>OTC Stock Out Det R2 PH</vt:lpstr>
      <vt:lpstr>OTC Stock Out Fwd R2 PH</vt:lpstr>
      <vt:lpstr>SAN_FWD_ASSR</vt:lpstr>
      <vt:lpstr>Order Booking PH</vt:lpstr>
      <vt:lpstr>Order Booking Detail PH</vt:lpstr>
      <vt:lpstr>Order Booking Detail2 PH</vt:lpstr>
      <vt:lpstr>ORD_BOOK_SAVE_ASSR</vt:lpstr>
      <vt:lpstr>Trans Inquiry val after OB PH</vt:lpstr>
      <vt:lpstr>Trans Inquiry Detail  Val OB PH</vt:lpstr>
      <vt:lpstr>Trans Inq Header Val OB PH</vt:lpstr>
      <vt:lpstr>Total Offering Amt Val OB PH</vt:lpstr>
      <vt:lpstr>Transecti After OB Tax PH</vt:lpstr>
      <vt:lpstr>Stock Allocation</vt:lpstr>
      <vt:lpstr>Allocation_ASSR</vt:lpstr>
      <vt:lpstr>Order Editing QTY Increase PH</vt:lpstr>
      <vt:lpstr>Order Editing Detail QTY IN PH</vt:lpstr>
      <vt:lpstr>Order Editing Detail4 QTY IN PH</vt:lpstr>
      <vt:lpstr>ORD_EDIT_VALD_ASSR</vt:lpstr>
      <vt:lpstr>ORD_EDIT_SAVE_ASSR</vt:lpstr>
      <vt:lpstr>Order Editing QTY Decrease PH</vt:lpstr>
      <vt:lpstr>Order Editing Detail QTY Dec PH</vt:lpstr>
      <vt:lpstr>Order Edit Detail4 QTY Dec PH</vt:lpstr>
      <vt:lpstr>Trans Inq val after Editing PH</vt:lpstr>
      <vt:lpstr>Trans Inq Detail Val Editing PH</vt:lpstr>
      <vt:lpstr>Trans Inq Header Val Editing PH</vt:lpstr>
      <vt:lpstr>Total Offeri Amt Val Editing PH</vt:lpstr>
      <vt:lpstr>Transecti After Editing Tax PH</vt:lpstr>
      <vt:lpstr>Stock Unallocation</vt:lpstr>
      <vt:lpstr>Unallocated_ASSR</vt:lpstr>
      <vt:lpstr>Stock_Allocation_ASSR</vt:lpstr>
      <vt:lpstr>Order Cancellation</vt:lpstr>
      <vt:lpstr>Order Cancellation Detail</vt:lpstr>
      <vt:lpstr>Order Cancellation Detail_Val</vt:lpstr>
      <vt:lpstr>Delivery Date Change</vt:lpstr>
      <vt:lpstr>Goods Issue Note PH</vt:lpstr>
      <vt:lpstr>screenshot_ASSR</vt:lpstr>
      <vt:lpstr>G Issue Note CM Select PH</vt:lpstr>
      <vt:lpstr>G Issue Note Detail PH</vt:lpstr>
      <vt:lpstr>Goods_Issue_Note_Detail_ASSR</vt:lpstr>
      <vt:lpstr>G Issue N Val Detail PH</vt:lpstr>
      <vt:lpstr>G Issue Note Forward PH</vt:lpstr>
      <vt:lpstr>GIN_FORWARD_ASSR</vt:lpstr>
      <vt:lpstr>Stock_Val_after_GIN_R2_PH</vt:lpstr>
      <vt:lpstr>Stock_Val_after_GIN_2_R2_PH</vt:lpstr>
      <vt:lpstr>Stock_Val_after_GIN_3_R2_PH</vt:lpstr>
      <vt:lpstr>Stock_ValafterGIN3_ASSR</vt:lpstr>
      <vt:lpstr>Tran Inq val aftr Good I Not PH</vt:lpstr>
      <vt:lpstr>Tran Inq Detail Val G I N PH</vt:lpstr>
      <vt:lpstr>Trans Inq Header Val G I N PH</vt:lpstr>
      <vt:lpstr>Total Offer Amt Val G I N PH</vt:lpstr>
      <vt:lpstr>Transecti After G I N Tax PH</vt:lpstr>
      <vt:lpstr>Cashmemo Status PH</vt:lpstr>
      <vt:lpstr>ORD_STATUS_SAVE_ASSR</vt:lpstr>
      <vt:lpstr>Cashmemo Status Val PH</vt:lpstr>
      <vt:lpstr>Goods Issue Note Approval</vt:lpstr>
      <vt:lpstr>GIN_ APPROVAL_ASSR</vt:lpstr>
      <vt:lpstr>GIN_DTL_SAVE_ASSR</vt:lpstr>
      <vt:lpstr>FRESH_SALES_RETURN PH</vt:lpstr>
      <vt:lpstr>FRESH_SALES_RETURN_ASSR</vt:lpstr>
      <vt:lpstr>F_SALES_RETURN DTL Partial PH</vt:lpstr>
      <vt:lpstr>F SALES RETURN Val Partial PH</vt:lpstr>
      <vt:lpstr>FRESH SALES RETURN Full PH</vt:lpstr>
      <vt:lpstr>FRESH_SALES_RETURN_Full_ASSR</vt:lpstr>
      <vt:lpstr>F_SALES_RETURN DTL_Full PH</vt:lpstr>
      <vt:lpstr>F SALES_RETURN Val Full PH</vt:lpstr>
      <vt:lpstr>Trans InqVal Aft Partial Ful PH</vt:lpstr>
      <vt:lpstr>Tra InqVal Fresh S R P DetlPH</vt:lpstr>
      <vt:lpstr>Tran InqVal Aft Fresh  H PH</vt:lpstr>
      <vt:lpstr>Tran Val Fresh Parti TOffer PH</vt:lpstr>
      <vt:lpstr>Trans Aft Fresh Partial Tax PH</vt:lpstr>
      <vt:lpstr>Sales Return PH</vt:lpstr>
      <vt:lpstr>Sales Return Detail PH</vt:lpstr>
      <vt:lpstr>Sales Return Validat PH</vt:lpstr>
      <vt:lpstr>S Return View Forward PH</vt:lpstr>
      <vt:lpstr>S Return View Detl Forward PH</vt:lpstr>
      <vt:lpstr>S Return View Forward Valid (2</vt:lpstr>
      <vt:lpstr>S Return View Forward Valid PH</vt:lpstr>
      <vt:lpstr>Sales Return View Appro PH</vt:lpstr>
      <vt:lpstr>Sales Re View Val Approval PH</vt:lpstr>
      <vt:lpstr>Sales Return Full PH</vt:lpstr>
      <vt:lpstr>SALES_Retu Detil_Full PH</vt:lpstr>
      <vt:lpstr>Sales Return FullVal PH</vt:lpstr>
      <vt:lpstr>Sales R Full Forward PH</vt:lpstr>
      <vt:lpstr>Tran Val Aft S R Partial Ful PH</vt:lpstr>
      <vt:lpstr>Tra InqVal Sales R P F Detl (2</vt:lpstr>
      <vt:lpstr>Tra InqVal Sales R P F DetlPH</vt:lpstr>
      <vt:lpstr>Tran InqVal Aft Sales R H P (2</vt:lpstr>
      <vt:lpstr>Tran InqVal Aft Sales R H PH</vt:lpstr>
      <vt:lpstr>Tran Val Sales R P F TOffer PH</vt:lpstr>
      <vt:lpstr>Trans Aft Sale R Partial Tax PH</vt:lpstr>
      <vt:lpstr>Sales Ret Status Change PH</vt:lpstr>
      <vt:lpstr>Sales R Status Change Detail PH</vt:lpstr>
      <vt:lpstr>Sales R Status Change Val PH</vt:lpstr>
      <vt:lpstr>Deposit Slip Full Cash</vt:lpstr>
      <vt:lpstr>Deposit Slip,Cmemos Full Cash</vt:lpstr>
      <vt:lpstr>Deposit Slip FullAmount Cheque</vt:lpstr>
      <vt:lpstr>Deposit Slip Unposted</vt:lpstr>
      <vt:lpstr>Deposit Slip,Cash memos unPost</vt:lpstr>
      <vt:lpstr>Deposit slip Val Unposted</vt:lpstr>
      <vt:lpstr>Depo Slip,Cash m F Amount Che</vt:lpstr>
      <vt:lpstr>Deposit Slip,Cash PH</vt:lpstr>
      <vt:lpstr>Deposit Slip,Cash memos,Cash PH</vt:lpstr>
      <vt:lpstr>Deposit Slip Cheque PH</vt:lpstr>
      <vt:lpstr>Deposit Slip,Cash memos PH</vt:lpstr>
      <vt:lpstr>Deposit Slip,Cash memos</vt:lpstr>
      <vt:lpstr>Deposit Slip</vt:lpstr>
      <vt:lpstr>Deposit Slip,Outlet</vt:lpstr>
      <vt:lpstr>Deposit Slip,Other</vt:lpstr>
      <vt:lpstr>Deposit Slip,Cash memos,Other</vt:lpstr>
      <vt:lpstr>Dispatch_Advice_Detail2_ASSR</vt:lpstr>
      <vt:lpstr>DA Loss Approval Request</vt:lpstr>
      <vt:lpstr>Approval Screen</vt:lpstr>
      <vt:lpstr>Sales Return</vt:lpstr>
      <vt:lpstr>Sales Return Detail</vt:lpstr>
      <vt:lpstr>SaleRetDTL_Valid_ASSR</vt:lpstr>
      <vt:lpstr>SaleRetDTL_SAVE_ASSR</vt:lpstr>
      <vt:lpstr>Sales Return Status Change</vt:lpstr>
      <vt:lpstr>Sales Return Status Change Det</vt:lpstr>
      <vt:lpstr>SR_StatsChang_DTL_SAVE_ASSR</vt:lpstr>
      <vt:lpstr>Sales Return View</vt:lpstr>
      <vt:lpstr>SaleRetrunView_ASSR</vt:lpstr>
      <vt:lpstr>Sales Return View Approval</vt:lpstr>
      <vt:lpstr>SaleRetrunViewApprval_ASSR</vt:lpstr>
      <vt:lpstr>Goods Return Note</vt:lpstr>
      <vt:lpstr>Good Return Note Detail</vt:lpstr>
      <vt:lpstr>Good Return Note Detail_Valida</vt:lpstr>
      <vt:lpstr>GRN_DTL_SAVE_ASSR</vt:lpstr>
      <vt:lpstr>Goods Return Note Forward</vt:lpstr>
      <vt:lpstr>GRN_FORWARD_ASSR</vt:lpstr>
      <vt:lpstr>Good Return Note Approval</vt:lpstr>
      <vt:lpstr>GRN_APPROVAL_ASSR</vt:lpstr>
      <vt:lpstr>Stock_Val_after_GRN_R2_PH</vt:lpstr>
      <vt:lpstr>Stock_Val_after_GRN_2_R2_PH</vt:lpstr>
      <vt:lpstr>Stock_Val_after_GRN_3_R2_PH</vt:lpstr>
      <vt:lpstr>Stock_ValafterGRN3_ASSR</vt:lpstr>
      <vt:lpstr>DEPOSIT_SAVE_ASSR</vt:lpstr>
      <vt:lpstr>Deposit Slip,Cash</vt:lpstr>
      <vt:lpstr>Deposit Slip,Cash memos,Cash</vt:lpstr>
      <vt:lpstr>Route Settlement PH</vt:lpstr>
      <vt:lpstr>Route Settlement Validation PH</vt:lpstr>
      <vt:lpstr>Route Settlement Validation1PH</vt:lpstr>
      <vt:lpstr>Route Settlement Validation (2</vt:lpstr>
      <vt:lpstr>Route Settlement Validation2PH</vt:lpstr>
      <vt:lpstr>Route Settlement Validation3PH</vt:lpstr>
      <vt:lpstr>T Inquiry Search outlet PH</vt:lpstr>
      <vt:lpstr>Validate Offset amount PH</vt:lpstr>
      <vt:lpstr>Dslip cash aft ord removal PH</vt:lpstr>
      <vt:lpstr>Dslip chequ aft ord removd PH</vt:lpstr>
      <vt:lpstr>Cheque Status</vt:lpstr>
      <vt:lpstr>DSR Adjustment Amount</vt:lpstr>
      <vt:lpstr>DSR Adjustment Amount,Detail</vt:lpstr>
      <vt:lpstr>DSR_ADJ_AMOUNT_ASSR</vt:lpstr>
      <vt:lpstr>SAN Admin PH</vt:lpstr>
      <vt:lpstr>SAN Admin Detail PH</vt:lpstr>
      <vt:lpstr>SAN Admin Forward PH</vt:lpstr>
      <vt:lpstr>SAN Approval PH</vt:lpstr>
      <vt:lpstr>SAN_APP_ASSR</vt:lpstr>
      <vt:lpstr>GLOBAL-REPO</vt:lpstr>
      <vt:lpstr>Open_Close_Stock_Val_R2_PH</vt:lpstr>
      <vt:lpstr>Open_Close_Stock_Val2_R2_PH</vt:lpstr>
      <vt:lpstr>Open_Close_Stock_Val3_R2_PH</vt:lpstr>
      <vt:lpstr>Open_CloseStockVal3_ASSR</vt:lpstr>
      <vt:lpstr>Free_SKU_Val_Aft_DA_1_PH</vt:lpstr>
      <vt:lpstr>Free_SKU_Val_Aft_DA_2_PH</vt:lpstr>
      <vt:lpstr>Free_SKU_Val_Aft_DA_3_PH</vt:lpstr>
      <vt:lpstr>Free_SKU_Val_Aft_OB_1_PH</vt:lpstr>
      <vt:lpstr>Free_SKU_Val_Aft_OB_2_PH</vt:lpstr>
      <vt:lpstr>Free_SKU_Val_Aft_OB_3_PH</vt:lpstr>
      <vt:lpstr>Free_SKU_Val_Aft_StockUnAl_1_PH</vt:lpstr>
      <vt:lpstr>Free_SKU_Val_Aft_StockUnAl_2_PH</vt:lpstr>
      <vt:lpstr>Free_SKU_Val_Aft_StockUnAl_3_PH</vt:lpstr>
      <vt:lpstr>FreeSKU_Val_Aft_OrdEdit_IN_1_PH</vt:lpstr>
      <vt:lpstr>FreeSKU_Val_Aft_OrdEdit_IN_2_PH</vt:lpstr>
      <vt:lpstr>FreeSKU_Val_Aft_OrdEdit_IN_3_PH</vt:lpstr>
      <vt:lpstr>FreeSKU_Val_AftOrdEdit_DEC_1_PH</vt:lpstr>
      <vt:lpstr>FreeSKU_Val_AftOrdEdit_DEC_2_PH</vt:lpstr>
      <vt:lpstr>FreeSKU_Val_AftOrdEdit_DEC_3_PH</vt:lpstr>
      <vt:lpstr>Free_SKU_Val_Aft_StockAllo_1_PH</vt:lpstr>
      <vt:lpstr>Free_SKU_Val_Aft_StockAllo_2_PH</vt:lpstr>
      <vt:lpstr>Free_SKU_Val_Aft_StockAllo_3_PH</vt:lpstr>
      <vt:lpstr>FreeSKU_Val_Aft_OrdrCancel_1_PH</vt:lpstr>
      <vt:lpstr>FreeSKU_Val_Aft_OrdrCancel_2_PH</vt:lpstr>
      <vt:lpstr>FreeSKU_Val_Aft_OrdrCancel_3_PH</vt:lpstr>
      <vt:lpstr>Free_SKU_Val_Aft_GIN_1_PH</vt:lpstr>
      <vt:lpstr>Free_SKU_Val_Aft_GIN_2_PH</vt:lpstr>
      <vt:lpstr>Free_SKU_Val_Aft_GIN_3_PH</vt:lpstr>
      <vt:lpstr>FreeSKU_Val_Aft_FreshRet_P_1_PH</vt:lpstr>
      <vt:lpstr>FreeSKU_Val_Aft_FreshRet_P_2_PH</vt:lpstr>
      <vt:lpstr>FreeSKU_Val_Aft_FreshRet_P_3_PH</vt:lpstr>
      <vt:lpstr>DEPOSIT_DTL_SAVE_ASSR</vt:lpstr>
      <vt:lpstr>Deposit Slip,Forward</vt:lpstr>
      <vt:lpstr>Deposit Slip,Approval</vt:lpstr>
      <vt:lpstr>DEPOSITSLIP_FWD_ASSR</vt:lpstr>
      <vt:lpstr>Deposit Slip Update</vt:lpstr>
      <vt:lpstr>Cheque_Status_ASSR</vt:lpstr>
      <vt:lpstr>Transaction Inquiry</vt:lpstr>
      <vt:lpstr>DELIVERYDATE_CHNG_ASSR</vt:lpstr>
      <vt:lpstr>Stock Inquiry</vt:lpstr>
      <vt:lpstr>PJP Daily PH</vt:lpstr>
      <vt:lpstr>PJP Daily2 PH</vt:lpstr>
      <vt:lpstr>PJP_Daily2_ASSR</vt:lpstr>
      <vt:lpstr>Cashmemo Reschedule</vt:lpstr>
      <vt:lpstr>Distributor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Hussain</dc:creator>
  <cp:lastModifiedBy>Hadi Imran</cp:lastModifiedBy>
  <dcterms:created xsi:type="dcterms:W3CDTF">2006-09-16T00:00:00Z</dcterms:created>
  <dcterms:modified xsi:type="dcterms:W3CDTF">2026-09-15T07:36:46Z</dcterms:modified>
</cp:coreProperties>
</file>