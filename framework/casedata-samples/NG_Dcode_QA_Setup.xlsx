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lenium\Automation\PAK_QA\casedata\"/>
    </mc:Choice>
  </mc:AlternateContent>
  <bookViews>
    <workbookView xWindow="0" yWindow="0" windowWidth="24000" windowHeight="9630" tabRatio="844" firstSheet="196" activeTab="202"/>
  </bookViews>
  <sheets>
    <sheet name="DSR Profile, Demographics BD" sheetId="273" r:id="rId1"/>
    <sheet name="DSR ProfileAdress Comp BD" sheetId="274" r:id="rId2"/>
    <sheet name="DSR ProfileAddress Busi BD" sheetId="275" r:id="rId3"/>
    <sheet name="DSR ProfileAddress,Resi BD" sheetId="276" r:id="rId4"/>
    <sheet name="DSR Profile Document BD" sheetId="277" r:id="rId5"/>
    <sheet name="DSR Profile Qualification BD" sheetId="278" r:id="rId6"/>
    <sheet name="DSR Profile Prev Exp BD" sheetId="279" r:id="rId7"/>
    <sheet name="DSR Profile Device BD" sheetId="280" r:id="rId8"/>
    <sheet name="DSR Profile DemoForward BD" sheetId="281" r:id="rId9"/>
    <sheet name="DSR Profile, Demographics" sheetId="57" r:id="rId10"/>
    <sheet name="DSR Profile, Demographics2" sheetId="164" r:id="rId11"/>
    <sheet name="DSR Profile, Address" sheetId="59" r:id="rId12"/>
    <sheet name="DSR_Profile_Address_ASSR" sheetId="137" r:id="rId13"/>
    <sheet name="DSR ProfileAddress,Business" sheetId="61" r:id="rId14"/>
    <sheet name="DSR_Profile_Busniess_ASSR" sheetId="138" r:id="rId15"/>
    <sheet name="DSR ProfileAddress,Residenc(3)" sheetId="263" r:id="rId16"/>
    <sheet name="DSR ProfileAddress,Residence" sheetId="63" r:id="rId17"/>
    <sheet name="DSR Profile, Documents (2)" sheetId="264" r:id="rId18"/>
    <sheet name="DSR Profile, Documents" sheetId="65" r:id="rId19"/>
    <sheet name="DSR Profile, Qualification" sheetId="67" r:id="rId20"/>
    <sheet name="DSR_Profile, Qualification_ASSR" sheetId="142" r:id="rId21"/>
    <sheet name="DSR,Previous Experience (2)" sheetId="265" r:id="rId22"/>
    <sheet name="DSR,Previous Experience" sheetId="68" r:id="rId23"/>
    <sheet name="DSR Profile, Device" sheetId="69" r:id="rId24"/>
    <sheet name="DSR_Profile, Device_ASSR" sheetId="144" r:id="rId25"/>
    <sheet name="DSR Profile,DemoForward" sheetId="140" r:id="rId26"/>
    <sheet name="DSR Approval" sheetId="150" r:id="rId27"/>
    <sheet name="DSR Profile, Demographics HQ" sheetId="170" r:id="rId28"/>
    <sheet name="DSR Profile, Address HQ" sheetId="173" r:id="rId29"/>
    <sheet name="DSR_Profile_AddressHQ_ASSR" sheetId="174" r:id="rId30"/>
    <sheet name="DSR ProfileAddress,Business HQ" sheetId="175" r:id="rId31"/>
    <sheet name="DSR_Profile_BusniessHQ_ASSR" sheetId="176" r:id="rId32"/>
    <sheet name="DSR ProfileAddress,Other HQ" sheetId="177" r:id="rId33"/>
    <sheet name="DSR ProfileAddress,Other HQ (3" sheetId="185" r:id="rId34"/>
    <sheet name="DSR Profile, Documents HQ (2)" sheetId="245" r:id="rId35"/>
    <sheet name="DSR Profile, Documents HQ" sheetId="178" r:id="rId36"/>
    <sheet name="DSR Profile, Qualification HQ" sheetId="179" r:id="rId37"/>
    <sheet name="DSR_Profile, QualificatiHQ_ASSR" sheetId="181" r:id="rId38"/>
    <sheet name="DSR,Previous Experience HQ (2)" sheetId="246" r:id="rId39"/>
    <sheet name="DSR,Previous Experience HQ" sheetId="180" r:id="rId40"/>
    <sheet name="DSR Profile, Device HQ" sheetId="182" r:id="rId41"/>
    <sheet name="DSR_Profile, DeviceHQ_ASSR" sheetId="183" r:id="rId42"/>
    <sheet name="DSR Profile,DemoForward HQ" sheetId="184" r:id="rId43"/>
    <sheet name="DSR Profile, Demographics PH" sheetId="186" r:id="rId44"/>
    <sheet name="DSR Profile, Address PH" sheetId="187" r:id="rId45"/>
    <sheet name="DSR_Profile_AddressPH_ASSR" sheetId="188" r:id="rId46"/>
    <sheet name="DSR ProfileAddress,Business PH" sheetId="189" r:id="rId47"/>
    <sheet name="DSR_Profile_BusniessPH_ASSR" sheetId="190" r:id="rId48"/>
    <sheet name="DSR ProfileAddress,Other PH" sheetId="191" r:id="rId49"/>
    <sheet name="DSR Profile, Documents PH" sheetId="192" r:id="rId50"/>
    <sheet name="DSR Profile, Qualification PH" sheetId="193" r:id="rId51"/>
    <sheet name="DSR_Profile, QualificatiPH_ASSR" sheetId="194" r:id="rId52"/>
    <sheet name="DSR,Previous Experience PH" sheetId="195" r:id="rId53"/>
    <sheet name="DSR Profile, Device PH" sheetId="196" r:id="rId54"/>
    <sheet name="DSR_Profile, DevicePH_ASSR" sheetId="197" r:id="rId55"/>
    <sheet name="DSR Profile,DemoForward PH" sheetId="198" r:id="rId56"/>
    <sheet name="Change Track DSR" sheetId="231" r:id="rId57"/>
    <sheet name="Change Track DSR Document" sheetId="233" r:id="rId58"/>
    <sheet name="Change Track Outlet profile" sheetId="234" r:id="rId59"/>
    <sheet name="ChangeTrack_Outlet_profile_ASSR" sheetId="235" r:id="rId60"/>
    <sheet name="Change Track Outlet Oper Info" sheetId="237" r:id="rId61"/>
    <sheet name="Change Track Outlet Document" sheetId="238" r:id="rId62"/>
    <sheet name="Frequency" sheetId="239" r:id="rId63"/>
    <sheet name="Frequency_ASSR" sheetId="240" r:id="rId64"/>
    <sheet name="Segment Setup" sheetId="241" r:id="rId65"/>
    <sheet name="USER LOGIN" sheetId="243" r:id="rId66"/>
    <sheet name="Segment Setup_ASSR" sheetId="242" r:id="rId67"/>
    <sheet name="Section PH" sheetId="199" r:id="rId68"/>
    <sheet name="Section Allowable PH" sheetId="200" r:id="rId69"/>
    <sheet name="Section Forward PH" sheetId="112" r:id="rId70"/>
    <sheet name="Section Reject PH" sheetId="201" r:id="rId71"/>
    <sheet name="Section Setup" sheetId="202" r:id="rId72"/>
    <sheet name="Section Creation HQ" sheetId="206" r:id="rId73"/>
    <sheet name="PJP Creation BG" sheetId="270" r:id="rId74"/>
    <sheet name="PJP Creation HQ" sheetId="247" r:id="rId75"/>
    <sheet name="PJP Configuration HQ" sheetId="248" r:id="rId76"/>
    <sheet name="PJP Creation Forward HQ" sheetId="249" r:id="rId77"/>
    <sheet name="PJP Creation DT" sheetId="203" r:id="rId78"/>
    <sheet name="PJP Configuration DT" sheetId="204" r:id="rId79"/>
    <sheet name="PJP Creation Forward DT" sheetId="205" r:id="rId80"/>
    <sheet name="OutletProfile,Demographics" sheetId="70" r:id="rId81"/>
    <sheet name="OutletProfile,Demographics2" sheetId="160" r:id="rId82"/>
    <sheet name="OutletProfile,Operative Info" sheetId="71" r:id="rId83"/>
    <sheet name="OutletProfile,Operative Info2" sheetId="161" r:id="rId84"/>
    <sheet name="OutletProfile-Address" sheetId="74" r:id="rId85"/>
    <sheet name="OutletProfile_Address_ASSR" sheetId="99" r:id="rId86"/>
    <sheet name="OutletProfile-Address,Business" sheetId="75" r:id="rId87"/>
    <sheet name="Outlet_Address_Business_ASSR" sheetId="100" r:id="rId88"/>
    <sheet name="OutletProfile-Address,Residence" sheetId="76" r:id="rId89"/>
    <sheet name="OutletProfile,Documents (2)" sheetId="260" r:id="rId90"/>
    <sheet name="OutletProfile,Documents" sheetId="77" r:id="rId91"/>
    <sheet name="OutletProfile, Bank2" sheetId="261" r:id="rId92"/>
    <sheet name="OutletProfile, Bank" sheetId="78" r:id="rId93"/>
    <sheet name="OutletProfile,ContactPersonDet3" sheetId="236" r:id="rId94"/>
    <sheet name="OutletProfile,ContactPersonDet" sheetId="79" r:id="rId95"/>
    <sheet name="OutletProfile, CreditLimit3" sheetId="262" r:id="rId96"/>
    <sheet name="OutletProfile, CreditLimit" sheetId="80" r:id="rId97"/>
    <sheet name="outlet Prof,DemographicsForward" sheetId="90" r:id="rId98"/>
    <sheet name="Outlet Approval" sheetId="149" r:id="rId99"/>
    <sheet name="OutletProfile,Demographics HQ" sheetId="207" r:id="rId100"/>
    <sheet name="OutletProfile,Operative Info HQ" sheetId="208" r:id="rId101"/>
    <sheet name="OutletProfile-Address HQ" sheetId="209" r:id="rId102"/>
    <sheet name="OutletProfile_AddressHQ_ASSR" sheetId="210" r:id="rId103"/>
    <sheet name="OutletProfile-Address,BusinesHQ" sheetId="211" r:id="rId104"/>
    <sheet name="Outlet_Address_BusinessHQ_ASSR" sheetId="212" r:id="rId105"/>
    <sheet name="OutletProfileAddressResidenceHQ" sheetId="213" r:id="rId106"/>
    <sheet name="OutletProfile,Documents HQ" sheetId="214" r:id="rId107"/>
    <sheet name="OutletProfile, Bank HQ" sheetId="215" r:id="rId108"/>
    <sheet name="OutletProfileContPersonDet HQ" sheetId="216" r:id="rId109"/>
    <sheet name="OutletProfile, CreditLimit HQ" sheetId="217" r:id="rId110"/>
    <sheet name="OutletProfDemographicsForwardHQ" sheetId="218" r:id="rId111"/>
    <sheet name="Prospect Outlet Demogra" sheetId="222" r:id="rId112"/>
    <sheet name="Prospect_Outlet_Demogra_ASSR" sheetId="219" r:id="rId113"/>
    <sheet name="Prospect Outlet OperInfo" sheetId="220" r:id="rId114"/>
    <sheet name="Prospect_Outlet_OperInfo_ASSR" sheetId="225" r:id="rId115"/>
    <sheet name="Prosoect Outlet Add Other" sheetId="221" r:id="rId116"/>
    <sheet name="Prosoect_Outlet_Add_Other_ASSR" sheetId="227" r:id="rId117"/>
    <sheet name="ProspectOutlet,Documents" sheetId="223" r:id="rId118"/>
    <sheet name="Prospect_Outlet_Documents_ASSR" sheetId="226" r:id="rId119"/>
    <sheet name="Prospect Outlet Approval" sheetId="282" r:id="rId120"/>
    <sheet name="ProspectOutletProfDemo Forward" sheetId="224" r:id="rId121"/>
    <sheet name="Daily Visit Plan" sheetId="228" r:id="rId122"/>
    <sheet name="Daily Visit Plan 2" sheetId="229" r:id="rId123"/>
    <sheet name="PJP Daily" sheetId="230" r:id="rId124"/>
    <sheet name="Distributor,DemographicsDT" sheetId="251" r:id="rId125"/>
    <sheet name="Distributor,Operati,InfoDT (2)" sheetId="266" r:id="rId126"/>
    <sheet name="Distributor,Operati,InfoDT" sheetId="252" r:id="rId127"/>
    <sheet name="Distributor,Other Info1" sheetId="253" r:id="rId128"/>
    <sheet name="Distributor, Address1" sheetId="254" r:id="rId129"/>
    <sheet name="Distributor,Demographics (2)" sheetId="271" r:id="rId130"/>
    <sheet name="Distributor,Demographics" sheetId="81" r:id="rId131"/>
    <sheet name="Distributor,Demographics3" sheetId="162" r:id="rId132"/>
    <sheet name="Distributor,Operative Info" sheetId="82" r:id="rId133"/>
    <sheet name="Distributor_Profile_ASSR" sheetId="102" r:id="rId134"/>
    <sheet name="Distributor,Other Info" sheetId="83" r:id="rId135"/>
    <sheet name="Distributor, Address" sheetId="84" r:id="rId136"/>
    <sheet name="Distributor-Address,Business_DT" sheetId="255" r:id="rId137"/>
    <sheet name="Distributor-Address,Business" sheetId="85" r:id="rId138"/>
    <sheet name="Distributor-Address,Reside_DT" sheetId="256" r:id="rId139"/>
    <sheet name="Distributor-Address,Residence" sheetId="86" r:id="rId140"/>
    <sheet name="Distributor, DocumentsDT" sheetId="257" r:id="rId141"/>
    <sheet name="Distributor, Documents" sheetId="87" r:id="rId142"/>
    <sheet name="Distributor, BankDT" sheetId="259" r:id="rId143"/>
    <sheet name="Distributor, Bank" sheetId="88" r:id="rId144"/>
    <sheet name="Distributor,ContactPersonDetail" sheetId="89" r:id="rId145"/>
    <sheet name="Distributor,ContactPersonDetai2" sheetId="163" r:id="rId146"/>
    <sheet name="Location" sheetId="152" r:id="rId147"/>
    <sheet name="Sheet1" sheetId="158" r:id="rId148"/>
    <sheet name="Location_Classification" sheetId="108" r:id="rId149"/>
    <sheet name="Location Other Info" sheetId="109" r:id="rId150"/>
    <sheet name="Warehouse Profile (2)" sheetId="289" r:id="rId151"/>
    <sheet name="Warehouse Profile" sheetId="95" r:id="rId152"/>
    <sheet name="Transaction Inquiry" sheetId="73" r:id="rId153"/>
    <sheet name="Product Configuration" sheetId="91" r:id="rId154"/>
    <sheet name="Produc_Configuration_ASSR" sheetId="92" r:id="rId155"/>
    <sheet name="Product_Analysis_ASSR" sheetId="93" r:id="rId156"/>
    <sheet name="Other_Info_ASSR" sheetId="94" r:id="rId157"/>
    <sheet name="User" sheetId="103" r:id="rId158"/>
    <sheet name="User2" sheetId="167" r:id="rId159"/>
    <sheet name="User Profile" sheetId="148" r:id="rId160"/>
    <sheet name="Vehicle Profile" sheetId="104" r:id="rId161"/>
    <sheet name="Vehicle Profile2" sheetId="166" r:id="rId162"/>
    <sheet name="Vehicle Color" sheetId="105" r:id="rId163"/>
    <sheet name="Vehicle Make" sheetId="106" r:id="rId164"/>
    <sheet name="Section (2)" sheetId="269" r:id="rId165"/>
    <sheet name="Section" sheetId="110" r:id="rId166"/>
    <sheet name="Section Allowable" sheetId="111" r:id="rId167"/>
    <sheet name="Section Forward" sheetId="268" r:id="rId168"/>
    <sheet name="Section Approval" sheetId="113" r:id="rId169"/>
    <sheet name="PJP Creation" sheetId="114" r:id="rId170"/>
    <sheet name="PJP Configuration" sheetId="115" r:id="rId171"/>
    <sheet name="PJP Creation2" sheetId="165" r:id="rId172"/>
    <sheet name="Approval Screen" sheetId="116" r:id="rId173"/>
    <sheet name="Return Advice" sheetId="121" r:id="rId174"/>
    <sheet name="Return_Advice_ASSR" sheetId="133" r:id="rId175"/>
    <sheet name="Return Advice Detail" sheetId="122" r:id="rId176"/>
    <sheet name="Return_Advice_Detail_ASSR" sheetId="134" r:id="rId177"/>
    <sheet name="Return Advice Forward" sheetId="123" r:id="rId178"/>
    <sheet name="Stock Adjustment SAN" sheetId="124" r:id="rId179"/>
    <sheet name="Stock Adjustment SAN Detail2" sheetId="153" r:id="rId180"/>
    <sheet name="Stock Adjustment SAN Forward" sheetId="126" r:id="rId181"/>
    <sheet name="Stock Inquiry" sheetId="130" r:id="rId182"/>
    <sheet name="Debits Credit Note" sheetId="131" r:id="rId183"/>
    <sheet name="Debits_Credit_Note_ASSR" sheetId="132" r:id="rId184"/>
    <sheet name="Stock Master Inquiry" sheetId="136" r:id="rId185"/>
    <sheet name="GIN GRN Inquiry" sheetId="145" r:id="rId186"/>
    <sheet name="PJP Change Request" sheetId="267" r:id="rId187"/>
    <sheet name="Change Track PJP Request" sheetId="272" r:id="rId188"/>
    <sheet name="Saved_assertion" sheetId="283" r:id="rId189"/>
    <sheet name="Save_assertion" sheetId="284" r:id="rId190"/>
    <sheet name="Forward_assertion" sheetId="285" r:id="rId191"/>
    <sheet name="Process_ASSR" sheetId="286" r:id="rId192"/>
    <sheet name="Forward_ASSR" sheetId="287" r:id="rId193"/>
    <sheet name="Update_assertion" sheetId="288" r:id="rId194"/>
    <sheet name="Change Track PJP Config" sheetId="146" r:id="rId195"/>
    <sheet name="Credit Debit Note Inquiry" sheetId="147" r:id="rId196"/>
    <sheet name="Selling Category (2)" sheetId="290" r:id="rId197"/>
    <sheet name="Selling Category" sheetId="155" r:id="rId198"/>
    <sheet name="Company Mapping" sheetId="169" r:id="rId199"/>
    <sheet name="DSR Mapping HQ" sheetId="291" r:id="rId200"/>
    <sheet name="Distributor Mapping" sheetId="156" r:id="rId201"/>
    <sheet name="DMS_Order_Booking" sheetId="292" r:id="rId202"/>
    <sheet name="DMS_Order_Booking_Detail" sheetId="293" r:id="rId203"/>
    <sheet name="DMS_Order_Booking_Detail2" sheetId="294" r:id="rId204"/>
    <sheet name="Delivery Man Shuffling" sheetId="295" r:id="rId205"/>
    <sheet name="DM_Shuffling_ASSR" sheetId="296" r:id="rId206"/>
    <sheet name="GLOBAL-REPO" sheetId="159" r:id="rId207"/>
  </sheets>
  <calcPr calcId="162913"/>
</workbook>
</file>

<file path=xl/calcChain.xml><?xml version="1.0" encoding="utf-8"?>
<calcChain xmlns="http://schemas.openxmlformats.org/spreadsheetml/2006/main">
  <c r="A2" i="170" l="1"/>
  <c r="A2" i="231"/>
  <c r="A6" i="290" l="1"/>
  <c r="A5" i="290"/>
  <c r="A4" i="290"/>
  <c r="A3" i="290"/>
  <c r="A2" i="81" l="1"/>
  <c r="F2" i="279" l="1"/>
  <c r="E2" i="279"/>
  <c r="D2" i="279"/>
  <c r="D2" i="277"/>
  <c r="B2" i="277"/>
  <c r="J2" i="276"/>
  <c r="I2" i="276"/>
  <c r="J2" i="275"/>
  <c r="I2" i="275"/>
  <c r="J2" i="274"/>
  <c r="I2" i="274"/>
  <c r="A2" i="273"/>
  <c r="A2" i="247" l="1"/>
  <c r="A2" i="203"/>
  <c r="F2" i="204"/>
  <c r="F2" i="248"/>
  <c r="F2" i="115"/>
  <c r="A2" i="271"/>
  <c r="A5" i="269" l="1"/>
  <c r="A4" i="269"/>
  <c r="A3" i="269"/>
  <c r="A2" i="251" l="1"/>
  <c r="F4" i="265" l="1"/>
  <c r="E4" i="265"/>
  <c r="D4" i="265"/>
  <c r="E3" i="265"/>
  <c r="D3" i="265"/>
  <c r="F2" i="265"/>
  <c r="D2" i="265"/>
  <c r="D5" i="264"/>
  <c r="B5" i="264"/>
  <c r="B4" i="264"/>
  <c r="D3" i="264"/>
  <c r="B3" i="264"/>
  <c r="D2" i="264"/>
  <c r="B2" i="264"/>
  <c r="J6" i="263"/>
  <c r="I6" i="263"/>
  <c r="J5" i="263"/>
  <c r="I5" i="263"/>
  <c r="J4" i="263"/>
  <c r="J3" i="263"/>
  <c r="I3" i="263"/>
  <c r="J2" i="263"/>
  <c r="I2" i="263"/>
  <c r="D7" i="260" l="1"/>
  <c r="D6" i="260"/>
  <c r="B6" i="260"/>
  <c r="B5" i="260"/>
  <c r="D4" i="260"/>
  <c r="B4" i="260"/>
  <c r="D3" i="260"/>
  <c r="B3" i="260"/>
  <c r="D2" i="260"/>
  <c r="B2" i="260"/>
  <c r="D4" i="257" l="1"/>
  <c r="D3" i="257"/>
  <c r="D2" i="257"/>
  <c r="K4" i="256"/>
  <c r="J4" i="256"/>
  <c r="K3" i="256"/>
  <c r="J3" i="256"/>
  <c r="K2" i="256"/>
  <c r="J2" i="256"/>
  <c r="K2" i="255"/>
  <c r="J2" i="255"/>
  <c r="K2" i="254"/>
  <c r="J2" i="254"/>
  <c r="F4" i="246" l="1"/>
  <c r="E4" i="246"/>
  <c r="D4" i="246"/>
  <c r="E3" i="246"/>
  <c r="D3" i="246"/>
  <c r="F2" i="246"/>
  <c r="D2" i="246"/>
  <c r="D4" i="245"/>
  <c r="B4" i="245"/>
  <c r="D3" i="245"/>
  <c r="B3" i="245"/>
  <c r="B2" i="245"/>
  <c r="D8" i="241" l="1"/>
  <c r="E8" i="241"/>
  <c r="E5" i="241"/>
  <c r="D6" i="241"/>
  <c r="E7" i="241"/>
  <c r="D7" i="241"/>
  <c r="E4" i="241"/>
  <c r="E3" i="241"/>
  <c r="D4" i="241"/>
  <c r="D3" i="241"/>
  <c r="E2" i="241"/>
  <c r="D2" i="241"/>
  <c r="A2" i="202"/>
  <c r="E6" i="236"/>
  <c r="D6" i="236"/>
  <c r="D5" i="236"/>
  <c r="E4" i="236"/>
  <c r="E3" i="236"/>
  <c r="D3" i="236"/>
  <c r="E2" i="236"/>
  <c r="D2" i="236"/>
  <c r="B2" i="65" l="1"/>
  <c r="A2" i="230" l="1"/>
  <c r="D2" i="214"/>
  <c r="E6" i="216"/>
  <c r="D6" i="216"/>
  <c r="D5" i="216"/>
  <c r="E4" i="216"/>
  <c r="E3" i="216"/>
  <c r="D3" i="216"/>
  <c r="E2" i="216"/>
  <c r="D2" i="216"/>
  <c r="K4" i="213"/>
  <c r="J4" i="213"/>
  <c r="K3" i="213"/>
  <c r="J3" i="213"/>
  <c r="K2" i="213"/>
  <c r="J2" i="213"/>
  <c r="D7" i="214"/>
  <c r="D6" i="214"/>
  <c r="B6" i="214"/>
  <c r="B5" i="214"/>
  <c r="D4" i="214"/>
  <c r="B4" i="214"/>
  <c r="D3" i="214"/>
  <c r="B3" i="214"/>
  <c r="B2" i="214"/>
  <c r="K2" i="211"/>
  <c r="J2" i="211"/>
  <c r="K2" i="209"/>
  <c r="J2" i="209"/>
  <c r="A2" i="206" l="1"/>
  <c r="F4" i="195" l="1"/>
  <c r="E4" i="195"/>
  <c r="D4" i="195"/>
  <c r="E3" i="195"/>
  <c r="D3" i="195"/>
  <c r="F2" i="195"/>
  <c r="D2" i="195"/>
  <c r="D4" i="192"/>
  <c r="B4" i="192"/>
  <c r="D3" i="192"/>
  <c r="B3" i="192"/>
  <c r="B2" i="192"/>
  <c r="J2" i="191"/>
  <c r="I2" i="191"/>
  <c r="J2" i="189"/>
  <c r="I2" i="189"/>
  <c r="J2" i="187"/>
  <c r="I2" i="187"/>
  <c r="A2" i="186" l="1"/>
  <c r="J6" i="185" l="1"/>
  <c r="I6" i="185"/>
  <c r="J5" i="185"/>
  <c r="I5" i="185"/>
  <c r="J4" i="185"/>
  <c r="J3" i="185"/>
  <c r="I3" i="185"/>
  <c r="J2" i="185"/>
  <c r="I2" i="185"/>
  <c r="B2" i="178"/>
  <c r="F2" i="180"/>
  <c r="E2" i="180"/>
  <c r="D2" i="180"/>
  <c r="D2" i="178"/>
  <c r="J2" i="177" l="1"/>
  <c r="I2" i="177"/>
  <c r="J2" i="175"/>
  <c r="I2" i="175"/>
  <c r="J2" i="173"/>
  <c r="I2" i="173"/>
  <c r="C11" i="167" l="1"/>
  <c r="A11" i="167"/>
  <c r="C10" i="167"/>
  <c r="A10" i="167"/>
  <c r="A9" i="167"/>
  <c r="C8" i="167"/>
  <c r="A8" i="167"/>
  <c r="C7" i="167"/>
  <c r="A7" i="167"/>
  <c r="C6" i="167"/>
  <c r="A6" i="167"/>
  <c r="C5" i="167"/>
  <c r="A5" i="167"/>
  <c r="A4" i="167"/>
  <c r="C3" i="167"/>
  <c r="A3" i="167"/>
  <c r="C2" i="167"/>
  <c r="A8" i="166"/>
  <c r="A6" i="166"/>
  <c r="A5" i="166"/>
  <c r="A4" i="166"/>
  <c r="A3" i="166"/>
  <c r="A7" i="164" l="1"/>
  <c r="A5" i="164"/>
  <c r="A4" i="164"/>
  <c r="A3" i="164"/>
  <c r="H8" i="163"/>
  <c r="H7" i="163"/>
  <c r="H5" i="163"/>
  <c r="H4" i="163"/>
  <c r="H3" i="163"/>
  <c r="H2" i="163"/>
  <c r="A13" i="162"/>
  <c r="A12" i="162"/>
  <c r="A11" i="162"/>
  <c r="A10" i="162"/>
  <c r="A9" i="162"/>
  <c r="A8" i="162"/>
  <c r="A7" i="162"/>
  <c r="A6" i="162"/>
  <c r="A5" i="162"/>
  <c r="A4" i="162"/>
  <c r="A3" i="162"/>
  <c r="A11" i="158" l="1"/>
  <c r="A10" i="158"/>
  <c r="A8" i="158"/>
  <c r="A7" i="158"/>
  <c r="A6" i="158"/>
  <c r="A5" i="158"/>
  <c r="A4" i="158"/>
  <c r="A3" i="158"/>
  <c r="A1" i="158"/>
  <c r="A2" i="155" l="1"/>
  <c r="A2" i="110" l="1"/>
  <c r="A2" i="152"/>
  <c r="C11" i="103" l="1"/>
  <c r="A11" i="103"/>
  <c r="C10" i="103"/>
  <c r="A10" i="103"/>
  <c r="A9" i="103"/>
  <c r="C8" i="103"/>
  <c r="A8" i="103"/>
  <c r="C7" i="103"/>
  <c r="A7" i="103"/>
  <c r="C6" i="103"/>
  <c r="A6" i="103"/>
  <c r="C5" i="103"/>
  <c r="A5" i="103"/>
  <c r="A4" i="103"/>
  <c r="C3" i="103"/>
  <c r="A3" i="103"/>
  <c r="C2" i="103"/>
  <c r="H2" i="89" l="1"/>
  <c r="D4" i="87"/>
  <c r="D3" i="87"/>
  <c r="K4" i="86"/>
  <c r="J4" i="86"/>
  <c r="K3" i="86"/>
  <c r="J3" i="86"/>
  <c r="A3" i="106" l="1"/>
  <c r="A6" i="106"/>
  <c r="A4" i="106"/>
  <c r="A5" i="106"/>
  <c r="A7" i="106"/>
  <c r="A3" i="105"/>
  <c r="A6" i="105"/>
  <c r="A4" i="105"/>
  <c r="A5" i="105"/>
  <c r="A7" i="105"/>
  <c r="A2" i="104" l="1"/>
  <c r="F2" i="79" l="1"/>
  <c r="G2" i="79"/>
  <c r="F2" i="68" l="1"/>
  <c r="E2" i="68"/>
  <c r="D2" i="68"/>
  <c r="D2" i="65"/>
  <c r="D2" i="77" l="1"/>
  <c r="K4" i="76" l="1"/>
  <c r="J4" i="76"/>
  <c r="K3" i="76"/>
  <c r="J3" i="76"/>
  <c r="J2" i="63"/>
  <c r="I2" i="63"/>
  <c r="A2" i="57"/>
  <c r="C2" i="145" l="1"/>
  <c r="A2" i="147"/>
  <c r="B2" i="147"/>
  <c r="D2" i="145"/>
  <c r="B2" i="136"/>
  <c r="B2" i="131"/>
  <c r="B2" i="130"/>
  <c r="L2" i="121"/>
  <c r="I2" i="121"/>
  <c r="A2" i="121"/>
  <c r="F2" i="121"/>
  <c r="E2" i="73"/>
  <c r="D2" i="73"/>
  <c r="K2" i="86"/>
  <c r="J2" i="86"/>
  <c r="K2" i="85"/>
  <c r="J2" i="85"/>
  <c r="K2" i="84"/>
  <c r="J2" i="84"/>
  <c r="K2" i="76"/>
  <c r="J2" i="76"/>
  <c r="K2" i="75"/>
  <c r="J2" i="75"/>
  <c r="K2" i="74"/>
  <c r="J2" i="74"/>
  <c r="J2" i="61"/>
  <c r="I2" i="61"/>
  <c r="J2" i="59"/>
  <c r="I2" i="59"/>
  <c r="D2" i="87" l="1"/>
</calcChain>
</file>

<file path=xl/sharedStrings.xml><?xml version="1.0" encoding="utf-8"?>
<sst xmlns="http://schemas.openxmlformats.org/spreadsheetml/2006/main" count="7114" uniqueCount="961">
  <si>
    <t>PK</t>
  </si>
  <si>
    <t>Order Booker</t>
  </si>
  <si>
    <t>Vehicle</t>
  </si>
  <si>
    <t>01</t>
  </si>
  <si>
    <t>STPONERR</t>
  </si>
  <si>
    <t>N</t>
  </si>
  <si>
    <t>EXPECTED_MESSAGE</t>
  </si>
  <si>
    <t>CASE_TYPE</t>
  </si>
  <si>
    <t>TN</t>
  </si>
  <si>
    <t>PK_DESC</t>
  </si>
  <si>
    <t>DSR Code</t>
  </si>
  <si>
    <t>DSR Name</t>
  </si>
  <si>
    <t>DSR Type</t>
  </si>
  <si>
    <t>Employee No</t>
  </si>
  <si>
    <t>Sales Hierarchy</t>
  </si>
  <si>
    <t>Date of Appointment</t>
  </si>
  <si>
    <t>Report To</t>
  </si>
  <si>
    <t>Counter Sales</t>
  </si>
  <si>
    <t>Working Nature</t>
  </si>
  <si>
    <t>Route Starting</t>
  </si>
  <si>
    <t>User ID</t>
  </si>
  <si>
    <t>Automation</t>
  </si>
  <si>
    <t>2024-11-12</t>
  </si>
  <si>
    <t>Yes</t>
  </si>
  <si>
    <t>Status</t>
  </si>
  <si>
    <t>Local</t>
  </si>
  <si>
    <t>Vehicle 001</t>
  </si>
  <si>
    <t>Distributor</t>
  </si>
  <si>
    <t>Designation</t>
  </si>
  <si>
    <t>Manager</t>
  </si>
  <si>
    <t>Incentive Eligibility</t>
  </si>
  <si>
    <t>Premises Number</t>
  </si>
  <si>
    <t>Street/Road</t>
  </si>
  <si>
    <t>Area/Market Name</t>
  </si>
  <si>
    <t>Reference</t>
  </si>
  <si>
    <t>City</t>
  </si>
  <si>
    <t>Region</t>
  </si>
  <si>
    <t>Landline 1</t>
  </si>
  <si>
    <t>Landline 2</t>
  </si>
  <si>
    <t>Cell Phone 1</t>
  </si>
  <si>
    <t>Cell Phone 2</t>
  </si>
  <si>
    <t>Fax</t>
  </si>
  <si>
    <t>Email 1</t>
  </si>
  <si>
    <t>Email 2</t>
  </si>
  <si>
    <t>ZIP Code</t>
  </si>
  <si>
    <t>Postal Code</t>
  </si>
  <si>
    <t>DSR Adrees Positive '02</t>
  </si>
  <si>
    <t>Automation QA</t>
  </si>
  <si>
    <t>Saddar</t>
  </si>
  <si>
    <t>Saddar 1</t>
  </si>
  <si>
    <t>Karachi</t>
  </si>
  <si>
    <t>East</t>
  </si>
  <si>
    <t>Automation@gmail.com</t>
  </si>
  <si>
    <t>In-Active</t>
  </si>
  <si>
    <t>31221234567</t>
  </si>
  <si>
    <t>DSR Business Positive '03</t>
  </si>
  <si>
    <t>Document Type</t>
  </si>
  <si>
    <t>Document Number</t>
  </si>
  <si>
    <t>Issue Date</t>
  </si>
  <si>
    <t>Expiry Date</t>
  </si>
  <si>
    <t>Document Status</t>
  </si>
  <si>
    <t>Reference No</t>
  </si>
  <si>
    <t>CNIC</t>
  </si>
  <si>
    <t>2024-12-04</t>
  </si>
  <si>
    <t>2024-12-12</t>
  </si>
  <si>
    <t>Active</t>
  </si>
  <si>
    <t>Qualification Type</t>
  </si>
  <si>
    <t>Qualification Detail</t>
  </si>
  <si>
    <t>Year Passed</t>
  </si>
  <si>
    <t>Institution</t>
  </si>
  <si>
    <t>Organization</t>
  </si>
  <si>
    <t>Address</t>
  </si>
  <si>
    <t>Phone</t>
  </si>
  <si>
    <t xml:space="preserve">Cell Phone </t>
  </si>
  <si>
    <t>Period From</t>
  </si>
  <si>
    <t>Period To</t>
  </si>
  <si>
    <t>DSR Adrees Previous Experience Positive '06</t>
  </si>
  <si>
    <t>Device Type</t>
  </si>
  <si>
    <t>Device Name</t>
  </si>
  <si>
    <t>Make</t>
  </si>
  <si>
    <t>Model</t>
  </si>
  <si>
    <t>Serial No</t>
  </si>
  <si>
    <t>IMEI No</t>
  </si>
  <si>
    <t>Andriod</t>
  </si>
  <si>
    <t>Auto</t>
  </si>
  <si>
    <t>Outlet Short Name</t>
  </si>
  <si>
    <t>Outlet Long Name</t>
  </si>
  <si>
    <t>Outlet Type</t>
  </si>
  <si>
    <t>Channel Hierarchy</t>
  </si>
  <si>
    <t>Geographical Hierarchy</t>
  </si>
  <si>
    <t>Outlet Rank</t>
  </si>
  <si>
    <t>Company Rank</t>
  </si>
  <si>
    <t>Coordinates Latitude</t>
  </si>
  <si>
    <t>Coordinates Longitude</t>
  </si>
  <si>
    <t>Area Type</t>
  </si>
  <si>
    <t>Identified by</t>
  </si>
  <si>
    <t>Corporate Code</t>
  </si>
  <si>
    <t>Bill to Code</t>
  </si>
  <si>
    <t>Analysis 1</t>
  </si>
  <si>
    <t>Analysis 2</t>
  </si>
  <si>
    <t>Analysis 3</t>
  </si>
  <si>
    <t>Is B2B</t>
  </si>
  <si>
    <t>Sub Distributor</t>
  </si>
  <si>
    <t>Sub Distributor Code</t>
  </si>
  <si>
    <t>Manual Order Creation</t>
  </si>
  <si>
    <t>Requested Section</t>
  </si>
  <si>
    <t>Prospect ID</t>
  </si>
  <si>
    <t>AutomationQA</t>
  </si>
  <si>
    <t>Modern Trade</t>
  </si>
  <si>
    <t>Previous Outlet Code</t>
  </si>
  <si>
    <t>C16430 - CAFE</t>
  </si>
  <si>
    <t>NA</t>
  </si>
  <si>
    <t>Urban</t>
  </si>
  <si>
    <t>2024-12-13</t>
  </si>
  <si>
    <t>TMP00065867</t>
  </si>
  <si>
    <t>Outlet A</t>
  </si>
  <si>
    <t>Outlet B</t>
  </si>
  <si>
    <t>Outlet C</t>
  </si>
  <si>
    <t>No</t>
  </si>
  <si>
    <t>Automation_Testing_Section</t>
  </si>
  <si>
    <t>222</t>
  </si>
  <si>
    <t>SMSNotification</t>
  </si>
  <si>
    <t>WHT FLAG</t>
  </si>
  <si>
    <t>Post dated Cheque</t>
  </si>
  <si>
    <t>Preferred Ordering Time From</t>
  </si>
  <si>
    <t>Preferred Ordering Time To</t>
  </si>
  <si>
    <t>Preferred Delivery Time From</t>
  </si>
  <si>
    <t>Preferred Delivery Time To</t>
  </si>
  <si>
    <t>Tax Registered</t>
  </si>
  <si>
    <t>Tax Payer</t>
  </si>
  <si>
    <t>Tiers</t>
  </si>
  <si>
    <t>Perfect Village</t>
  </si>
  <si>
    <t>Channel TTS</t>
  </si>
  <si>
    <t>Perfect Store</t>
  </si>
  <si>
    <t>Perfect Store Compliance</t>
  </si>
  <si>
    <t>Point of Consumption</t>
  </si>
  <si>
    <t>Loyalty Programs</t>
  </si>
  <si>
    <t>Chain Outlets</t>
  </si>
  <si>
    <t>Customer Attribute 12</t>
  </si>
  <si>
    <t>Outlet Programs</t>
  </si>
  <si>
    <t>B2B Phone</t>
  </si>
  <si>
    <t>B2B Email</t>
  </si>
  <si>
    <t>01:00:00</t>
  </si>
  <si>
    <t>02:00:00</t>
  </si>
  <si>
    <t>02:30:00</t>
  </si>
  <si>
    <t>03:00:00</t>
  </si>
  <si>
    <t>Tax Exemption</t>
  </si>
  <si>
    <t>Registered</t>
  </si>
  <si>
    <t>Advance Tax Exemption</t>
  </si>
  <si>
    <t>Gourmet Bakers</t>
  </si>
  <si>
    <t>Outlet Classification</t>
  </si>
  <si>
    <t>A</t>
  </si>
  <si>
    <t>Outlet Range</t>
  </si>
  <si>
    <t>Outlet,Profile,Operative Positive '01</t>
  </si>
  <si>
    <t>AutomationQ</t>
  </si>
  <si>
    <t>PJP Number</t>
  </si>
  <si>
    <t>Document Date From</t>
  </si>
  <si>
    <t>Document Date To</t>
  </si>
  <si>
    <t>SKU</t>
  </si>
  <si>
    <t>Sales</t>
  </si>
  <si>
    <t>All</t>
  </si>
  <si>
    <t>Locality</t>
  </si>
  <si>
    <t>Opening Time</t>
  </si>
  <si>
    <t>Closing Time</t>
  </si>
  <si>
    <t>Estimate Delivery Date</t>
  </si>
  <si>
    <t>Saddar1</t>
  </si>
  <si>
    <t>Anarkali-1</t>
  </si>
  <si>
    <t>3122436095</t>
  </si>
  <si>
    <t>1313</t>
  </si>
  <si>
    <t>North</t>
  </si>
  <si>
    <t>Outlet,Profile,Address,Busniess Positive '04</t>
  </si>
  <si>
    <t>12121</t>
  </si>
  <si>
    <t>1111</t>
  </si>
  <si>
    <t>7:00</t>
  </si>
  <si>
    <t>8:00</t>
  </si>
  <si>
    <t>Outlet,Profile,Address, Positive '03</t>
  </si>
  <si>
    <t>Faislabad</t>
  </si>
  <si>
    <t>South</t>
  </si>
  <si>
    <t>Bank</t>
  </si>
  <si>
    <t>Branch</t>
  </si>
  <si>
    <t>Details</t>
  </si>
  <si>
    <t>Identification Type</t>
  </si>
  <si>
    <t>ID No</t>
  </si>
  <si>
    <t>Qualification</t>
  </si>
  <si>
    <t>Land Line #</t>
  </si>
  <si>
    <t>Cell Phone #</t>
  </si>
  <si>
    <t>Email ID</t>
  </si>
  <si>
    <t>Name</t>
  </si>
  <si>
    <t>Male</t>
  </si>
  <si>
    <t>Credit Amount Limit</t>
  </si>
  <si>
    <t>Amount Action</t>
  </si>
  <si>
    <t>Day Limit</t>
  </si>
  <si>
    <t>Day Action</t>
  </si>
  <si>
    <t>Allowed</t>
  </si>
  <si>
    <t>Reference ID</t>
  </si>
  <si>
    <t>MIS Type</t>
  </si>
  <si>
    <t>Geo Hierarchy</t>
  </si>
  <si>
    <t>Location</t>
  </si>
  <si>
    <t>Appointment Date</t>
  </si>
  <si>
    <t>Currency</t>
  </si>
  <si>
    <t>Registration No</t>
  </si>
  <si>
    <t>Registration Date</t>
  </si>
  <si>
    <t>Incorporation Date</t>
  </si>
  <si>
    <t>Spending Time</t>
  </si>
  <si>
    <t>Number Generation Prefix</t>
  </si>
  <si>
    <t>Starting Latitude</t>
  </si>
  <si>
    <t>Starting Longitude</t>
  </si>
  <si>
    <t>Ending latitude</t>
  </si>
  <si>
    <t>Ending Longitude</t>
  </si>
  <si>
    <t>Off Days</t>
  </si>
  <si>
    <t>Auto Inventory Allocation</t>
  </si>
  <si>
    <t>Threshold Time For Delivery</t>
  </si>
  <si>
    <t>Delivery Days After Threshold</t>
  </si>
  <si>
    <t>Invoice Print Message</t>
  </si>
  <si>
    <t>15142470</t>
  </si>
  <si>
    <t>HPC</t>
  </si>
  <si>
    <t>2024-12-26</t>
  </si>
  <si>
    <t>PKR - PKR</t>
  </si>
  <si>
    <t>20231218_165040_MST_DIST</t>
  </si>
  <si>
    <t>2024-01-17</t>
  </si>
  <si>
    <t>24.8509442</t>
  </si>
  <si>
    <t>67.0169831</t>
  </si>
  <si>
    <t>8</t>
  </si>
  <si>
    <t>COL</t>
  </si>
  <si>
    <t>AA TRADERS</t>
  </si>
  <si>
    <t>SUN</t>
  </si>
  <si>
    <t>1</t>
  </si>
  <si>
    <t>4CHAIN44444</t>
  </si>
  <si>
    <t>001003002002-IC Karachi</t>
  </si>
  <si>
    <t>POP Inactive Days</t>
  </si>
  <si>
    <t>Limit</t>
  </si>
  <si>
    <t>Default Delivery Days</t>
  </si>
  <si>
    <t>Max Order Delivery Days</t>
  </si>
  <si>
    <t>Scheme Apply Date</t>
  </si>
  <si>
    <t>Auto GIN</t>
  </si>
  <si>
    <t>Delivery Optimization</t>
  </si>
  <si>
    <t>Tax On Date</t>
  </si>
  <si>
    <t>Distributor Margin</t>
  </si>
  <si>
    <t>Reference Company Code</t>
  </si>
  <si>
    <t>Track IQ</t>
  </si>
  <si>
    <t>Distributor Type</t>
  </si>
  <si>
    <t>Sales Organization</t>
  </si>
  <si>
    <t>GPS Restriction</t>
  </si>
  <si>
    <t>GPS Radius</t>
  </si>
  <si>
    <t>Claim Days</t>
  </si>
  <si>
    <t>2</t>
  </si>
  <si>
    <t>Order Date</t>
  </si>
  <si>
    <t>TEST</t>
  </si>
  <si>
    <t>Distributor,Operative Positive '01</t>
  </si>
  <si>
    <t>Reference Sales Organization</t>
  </si>
  <si>
    <t>Capital Investment</t>
  </si>
  <si>
    <t>Credit Limit/ Bank Guarantee</t>
  </si>
  <si>
    <t>Distributor Adrees Positive '04</t>
  </si>
  <si>
    <t>501</t>
  </si>
  <si>
    <t>Jodia Bazar</t>
  </si>
  <si>
    <t>Jodia Bazar - 1</t>
  </si>
  <si>
    <t>Distributor Business Positive '05</t>
  </si>
  <si>
    <t>21312</t>
  </si>
  <si>
    <t>Larkana</t>
  </si>
  <si>
    <t>testbug</t>
  </si>
  <si>
    <t>NTN</t>
  </si>
  <si>
    <t>12121212</t>
  </si>
  <si>
    <t>121212</t>
  </si>
  <si>
    <t>Habib Bank Limited</t>
  </si>
  <si>
    <t>Tower Branch</t>
  </si>
  <si>
    <t>Phone Number</t>
  </si>
  <si>
    <t>Email</t>
  </si>
  <si>
    <t>GIN Creation Time</t>
  </si>
  <si>
    <t>Shandaar Karobaar</t>
  </si>
  <si>
    <t>PS Non Compliant</t>
  </si>
  <si>
    <t>31245678</t>
  </si>
  <si>
    <t>001003002002009001MTA001</t>
  </si>
  <si>
    <t>Short Description</t>
  </si>
  <si>
    <t>Knorr Zero Tax</t>
  </si>
  <si>
    <t>Market Return</t>
  </si>
  <si>
    <t>Sellable</t>
  </si>
  <si>
    <t>Sales Return Rate</t>
  </si>
  <si>
    <t>Product Configuration Positive '01</t>
  </si>
  <si>
    <t>Updated successfully</t>
  </si>
  <si>
    <t>Product Analysis Positive '01</t>
  </si>
  <si>
    <t>Product Other Info Positive '01</t>
  </si>
  <si>
    <t>Warehouse Type</t>
  </si>
  <si>
    <t>Default</t>
  </si>
  <si>
    <t>Sound Stock</t>
  </si>
  <si>
    <t>Description</t>
  </si>
  <si>
    <t>Saved successfully</t>
  </si>
  <si>
    <t>Outlet Profile Adderss '01</t>
  </si>
  <si>
    <t>Outlet Profile Adderss Business '01</t>
  </si>
  <si>
    <t>Distributor Profile Residence '01</t>
  </si>
  <si>
    <t>Code</t>
  </si>
  <si>
    <t>NIC</t>
  </si>
  <si>
    <t>Password</t>
  </si>
  <si>
    <t>Re-type Password</t>
  </si>
  <si>
    <t>Session Timeout (minutes)</t>
  </si>
  <si>
    <t>Remarks</t>
  </si>
  <si>
    <t>Comments</t>
  </si>
  <si>
    <t>passwordNeverExpired</t>
  </si>
  <si>
    <t>Force Change Password</t>
  </si>
  <si>
    <t>Power Bi User</t>
  </si>
  <si>
    <t>Power Bi Principal</t>
  </si>
  <si>
    <t>12</t>
  </si>
  <si>
    <t>Test</t>
  </si>
  <si>
    <t>Auto QA</t>
  </si>
  <si>
    <t>Record Save Successfully</t>
  </si>
  <si>
    <t>Test Auto</t>
  </si>
  <si>
    <t>Abbreviation</t>
  </si>
  <si>
    <t>Auto Test</t>
  </si>
  <si>
    <t>Model Name</t>
  </si>
  <si>
    <t>Shezor Pakistan</t>
  </si>
  <si>
    <t>Vehicle Color</t>
  </si>
  <si>
    <t>Blue</t>
  </si>
  <si>
    <t>Model Description</t>
  </si>
  <si>
    <t>1ton</t>
  </si>
  <si>
    <t>Registration Number</t>
  </si>
  <si>
    <t>121-212</t>
  </si>
  <si>
    <t>Model ID</t>
  </si>
  <si>
    <t>1212</t>
  </si>
  <si>
    <t>Chasis Number</t>
  </si>
  <si>
    <t>1234</t>
  </si>
  <si>
    <t>Engine Number</t>
  </si>
  <si>
    <t>22222</t>
  </si>
  <si>
    <t>Manufacturing Year</t>
  </si>
  <si>
    <t>1985</t>
  </si>
  <si>
    <t>Owner CNIC</t>
  </si>
  <si>
    <t>42101-1112222-9</t>
  </si>
  <si>
    <t>Owner Name</t>
  </si>
  <si>
    <t>Fuel Type</t>
  </si>
  <si>
    <t>Petrol</t>
  </si>
  <si>
    <t>Meter Reading Type</t>
  </si>
  <si>
    <t>DLY</t>
  </si>
  <si>
    <t>Dimensions (L,W,H) Cubic Meters</t>
  </si>
  <si>
    <t>Unloading Side</t>
  </si>
  <si>
    <t>Top</t>
  </si>
  <si>
    <t>Average Rate</t>
  </si>
  <si>
    <t>Mileage</t>
  </si>
  <si>
    <t>10</t>
  </si>
  <si>
    <t>Min Volume</t>
  </si>
  <si>
    <t>Max Volume</t>
  </si>
  <si>
    <t>Vehicle Type</t>
  </si>
  <si>
    <t>Truck</t>
  </si>
  <si>
    <t>Allow Multiple Trips</t>
  </si>
  <si>
    <t>Fleet Type</t>
  </si>
  <si>
    <t>Captive</t>
  </si>
  <si>
    <t>Deep Freezer</t>
  </si>
  <si>
    <t>Cold Chain</t>
  </si>
  <si>
    <t>User Count</t>
  </si>
  <si>
    <t>Unit of Volume</t>
  </si>
  <si>
    <t>Meters / Cubic</t>
  </si>
  <si>
    <t>Unit of Weight</t>
  </si>
  <si>
    <t>KG</t>
  </si>
  <si>
    <t>Min Weight</t>
  </si>
  <si>
    <t>200</t>
  </si>
  <si>
    <t>Min GSV</t>
  </si>
  <si>
    <t>Max GSV</t>
  </si>
  <si>
    <t>100000000</t>
  </si>
  <si>
    <t>Limit Multi Trip</t>
  </si>
  <si>
    <t>Min NIV</t>
  </si>
  <si>
    <t>Max NIV</t>
  </si>
  <si>
    <t>Min TIV</t>
  </si>
  <si>
    <t>Max TIV</t>
  </si>
  <si>
    <t>1200</t>
  </si>
  <si>
    <t>Max Weight</t>
  </si>
  <si>
    <t>Location Type</t>
  </si>
  <si>
    <t>Entity Type</t>
  </si>
  <si>
    <t>Entity Code</t>
  </si>
  <si>
    <t>Ref - Date 1</t>
  </si>
  <si>
    <t>Ref - Date 2</t>
  </si>
  <si>
    <t>Ref - Date 3</t>
  </si>
  <si>
    <t>Ref - Date 4</t>
  </si>
  <si>
    <t>Ref - Date 5</t>
  </si>
  <si>
    <t>Ref Val 1</t>
  </si>
  <si>
    <t>2024-12-23</t>
  </si>
  <si>
    <t>Ref Val 2</t>
  </si>
  <si>
    <t>Ref Val 3</t>
  </si>
  <si>
    <t>Ref Val 4</t>
  </si>
  <si>
    <t>Ref Val 5</t>
  </si>
  <si>
    <t>Au</t>
  </si>
  <si>
    <t>to</t>
  </si>
  <si>
    <t>ma</t>
  </si>
  <si>
    <t>ti</t>
  </si>
  <si>
    <t>on</t>
  </si>
  <si>
    <t>Ref - Number 1</t>
  </si>
  <si>
    <t>Ref - Number 2</t>
  </si>
  <si>
    <t>Ref - Number 3</t>
  </si>
  <si>
    <t>Ref - Number 4</t>
  </si>
  <si>
    <t>Ref - Number 5</t>
  </si>
  <si>
    <t>3</t>
  </si>
  <si>
    <t>4</t>
  </si>
  <si>
    <t>5</t>
  </si>
  <si>
    <t>Catalogue Email ID</t>
  </si>
  <si>
    <t>Auto@gmail.com</t>
  </si>
  <si>
    <t>Catalogue Email ID CC</t>
  </si>
  <si>
    <t>Ref - Text 3</t>
  </si>
  <si>
    <t>Ref - Text 4</t>
  </si>
  <si>
    <t>34</t>
  </si>
  <si>
    <t>Ref - Text 5</t>
  </si>
  <si>
    <t>56</t>
  </si>
  <si>
    <t>Ref - Text 6</t>
  </si>
  <si>
    <t>78</t>
  </si>
  <si>
    <t>Ref - Text 7</t>
  </si>
  <si>
    <t>98</t>
  </si>
  <si>
    <t>Location Classification Positive '02</t>
  </si>
  <si>
    <t>Corporate ID</t>
  </si>
  <si>
    <t>Working Date</t>
  </si>
  <si>
    <t>Closing Date</t>
  </si>
  <si>
    <t>Day Off</t>
  </si>
  <si>
    <t>Origin Date</t>
  </si>
  <si>
    <t>2024-12-20</t>
  </si>
  <si>
    <t>2024-12-21</t>
  </si>
  <si>
    <t>Sunday</t>
  </si>
  <si>
    <t>03</t>
  </si>
  <si>
    <t>Location Other info Positive '02</t>
  </si>
  <si>
    <t>Automation section</t>
  </si>
  <si>
    <t>comments</t>
  </si>
  <si>
    <t>Automation KARACHI QA</t>
  </si>
  <si>
    <t>PJP Description</t>
  </si>
  <si>
    <t>DSR</t>
  </si>
  <si>
    <t>Warehouse</t>
  </si>
  <si>
    <t>Enable NFC</t>
  </si>
  <si>
    <t>Mandatory NFC</t>
  </si>
  <si>
    <t>GPS Radius(Meters)</t>
  </si>
  <si>
    <t>DDO Indicator</t>
  </si>
  <si>
    <t>Virtual PJP</t>
  </si>
  <si>
    <t>Auto14980</t>
  </si>
  <si>
    <t>Auto_test</t>
  </si>
  <si>
    <t>0091 - SamadOB - Order Booker</t>
  </si>
  <si>
    <t>0000000025-IBT Main warehouse</t>
  </si>
  <si>
    <t>Selling Category</t>
  </si>
  <si>
    <t>Section</t>
  </si>
  <si>
    <t>Frequency</t>
  </si>
  <si>
    <t>Repeat Days</t>
  </si>
  <si>
    <t>Week Day First</t>
  </si>
  <si>
    <t>Start Date</t>
  </si>
  <si>
    <t>Reference PJP</t>
  </si>
  <si>
    <t>Full Range SKU</t>
  </si>
  <si>
    <t>0466~Test-sect</t>
  </si>
  <si>
    <t>Daily</t>
  </si>
  <si>
    <t>Product Configuration  Positive '01</t>
  </si>
  <si>
    <t>distributors</t>
  </si>
  <si>
    <t>Distributor,Other Info Positive '03</t>
  </si>
  <si>
    <t>Gender</t>
  </si>
  <si>
    <t>11</t>
  </si>
  <si>
    <t>Automation QA TEST</t>
  </si>
  <si>
    <t>1333</t>
  </si>
  <si>
    <t>22</t>
  </si>
  <si>
    <t>Automation Approval</t>
  </si>
  <si>
    <t>10000</t>
  </si>
  <si>
    <t>Record Saved Successfully!</t>
  </si>
  <si>
    <t>Document Date</t>
  </si>
  <si>
    <t>RA Type</t>
  </si>
  <si>
    <t>Vendor Code</t>
  </si>
  <si>
    <t>SO Number</t>
  </si>
  <si>
    <t>Deliver No</t>
  </si>
  <si>
    <t>Invoice Due Date</t>
  </si>
  <si>
    <t>Tax Invoice Number</t>
  </si>
  <si>
    <t>Reference Date</t>
  </si>
  <si>
    <t>To Warehouse</t>
  </si>
  <si>
    <t>Truck No</t>
  </si>
  <si>
    <t>Stock Arrival</t>
  </si>
  <si>
    <t>VAT Challan Number</t>
  </si>
  <si>
    <t>DT CLOSE</t>
  </si>
  <si>
    <t>TATA</t>
  </si>
  <si>
    <t>Auto123</t>
  </si>
  <si>
    <t>123</t>
  </si>
  <si>
    <t>111</t>
  </si>
  <si>
    <t>Rerurn Advice Positive '01</t>
  </si>
  <si>
    <t>Product</t>
  </si>
  <si>
    <t>Expired</t>
  </si>
  <si>
    <t>Stock Type</t>
  </si>
  <si>
    <t>Batch</t>
  </si>
  <si>
    <t>1-1</t>
  </si>
  <si>
    <t>CS</t>
  </si>
  <si>
    <t>PC</t>
  </si>
  <si>
    <t>Rerurn Advice Detail Positive '02</t>
  </si>
  <si>
    <t>11111</t>
  </si>
  <si>
    <t>testing 44</t>
  </si>
  <si>
    <t>SAN Type</t>
  </si>
  <si>
    <t>From Warehouse</t>
  </si>
  <si>
    <t>C0000000055-Auto Main Warehouse</t>
  </si>
  <si>
    <t>20061858</t>
  </si>
  <si>
    <t>01-Sound</t>
  </si>
  <si>
    <t>Stock Adjustment Admin</t>
  </si>
  <si>
    <t>Stock Adjustment SAN Detail Positive '02</t>
  </si>
  <si>
    <t>Period Type</t>
  </si>
  <si>
    <t>DAILY</t>
  </si>
  <si>
    <t>Balance Date</t>
  </si>
  <si>
    <t>Category</t>
  </si>
  <si>
    <t>Brand</t>
  </si>
  <si>
    <t>Stock Inquiry Positive '01</t>
  </si>
  <si>
    <t>FABRIC CLEANING</t>
  </si>
  <si>
    <t>Credit Note</t>
  </si>
  <si>
    <t>123 - test_zack123 - Order Booker</t>
  </si>
  <si>
    <t>Sadar Bazar</t>
  </si>
  <si>
    <t>Outlet Name</t>
  </si>
  <si>
    <t>Siva Outlet</t>
  </si>
  <si>
    <t>Amount</t>
  </si>
  <si>
    <t>Debits Credit Note Positive '01</t>
  </si>
  <si>
    <t>Status Comments</t>
  </si>
  <si>
    <t>Debit Credit Note ASSR Positive '01</t>
  </si>
  <si>
    <t>Saved Successfully</t>
  </si>
  <si>
    <t>Return Advice ASSR Positive '01</t>
  </si>
  <si>
    <t>Return Advice Detail ASSR Positive '02</t>
  </si>
  <si>
    <t>Dispatch Advice</t>
  </si>
  <si>
    <t>Stock MasterPositive '01</t>
  </si>
  <si>
    <t>DSR Profile Address Positive ASSR 02</t>
  </si>
  <si>
    <t>DSR Business ASSR Positive '03</t>
  </si>
  <si>
    <t>DOVE SHAMPOO IDT PK P 6X4X175ML</t>
  </si>
  <si>
    <t>Goods Issue Note</t>
  </si>
  <si>
    <t>GN-01 - Authorized</t>
  </si>
  <si>
    <t>Date From</t>
  </si>
  <si>
    <t>Date To</t>
  </si>
  <si>
    <t>GIN GRN Inquiry Positive '01</t>
  </si>
  <si>
    <t>Credit Debit Note Inquiry Positive '01</t>
  </si>
  <si>
    <t>ASM North - TSM North</t>
  </si>
  <si>
    <t>Intermediate</t>
  </si>
  <si>
    <t>DSR Qulification Positive '05</t>
  </si>
  <si>
    <t>DSR Qulification ASSR Positive '05</t>
  </si>
  <si>
    <t>32436111</t>
  </si>
  <si>
    <t>DSR Previous Experience Positive '06</t>
  </si>
  <si>
    <t>DSR Previous Experience ASSR Positive '06</t>
  </si>
  <si>
    <t>Samsung</t>
  </si>
  <si>
    <t>31221234568</t>
  </si>
  <si>
    <t>31221234566</t>
  </si>
  <si>
    <t>0103~Karachi West</t>
  </si>
  <si>
    <t>31234567</t>
  </si>
  <si>
    <t>ITB0190</t>
  </si>
  <si>
    <t>TP</t>
  </si>
  <si>
    <t>EXPECTED_INPUT</t>
  </si>
  <si>
    <t>REQ_FIELD</t>
  </si>
  <si>
    <t>DSR Profile Demographocs Negative Case 01</t>
  </si>
  <si>
    <t>DSR Profile Demographocs Negative Case 02</t>
  </si>
  <si>
    <t>DSR Profile Demographocs Negative Case 03</t>
  </si>
  <si>
    <t>DSR Profile Demographocs Negative Case 04</t>
  </si>
  <si>
    <t>DSR Profile Demographocs Positive Case 01</t>
  </si>
  <si>
    <t>Required field can not be empty.</t>
  </si>
  <si>
    <t>Duplicate Record Found.</t>
  </si>
  <si>
    <t>INVALID_INPUT</t>
  </si>
  <si>
    <t>DSR Address Residence Negative Case 01</t>
  </si>
  <si>
    <t>DSR Address Residence Negative Case 02</t>
  </si>
  <si>
    <t>DSR Address Residence Positive Case 01</t>
  </si>
  <si>
    <t>DSR Address Residence Negative Case 04</t>
  </si>
  <si>
    <t>DSR Address Residence Negative Case 05</t>
  </si>
  <si>
    <t>Outlet,Profile,Demographics Positive Case '01</t>
  </si>
  <si>
    <t>02</t>
  </si>
  <si>
    <t>04</t>
  </si>
  <si>
    <t>05</t>
  </si>
  <si>
    <t>06</t>
  </si>
  <si>
    <t>DSR Profile Demographocs Negative Case 05 for Check duplicate DSRCode</t>
  </si>
  <si>
    <t>Outlet,Profile,Address,Residence Negative Case '01</t>
  </si>
  <si>
    <t>Outlet,Profile,Address,Residence Negative Case '02</t>
  </si>
  <si>
    <t>Outlet,Profile,Address,Residence Positive Case '01</t>
  </si>
  <si>
    <t>Document Type-Field is required, Document Status-Field is required</t>
  </si>
  <si>
    <t>Document Number-Value is Not According to the Format</t>
  </si>
  <si>
    <t>Issue Date-Field is required</t>
  </si>
  <si>
    <t>The Expiry Date should be greater than Issue Date</t>
  </si>
  <si>
    <t>Outlet,Profile,Documents Negative Case '02</t>
  </si>
  <si>
    <t>Outlet,Profile,Documents Negative Case '04</t>
  </si>
  <si>
    <t>Outlet,Profile,Documents Negative Case '05</t>
  </si>
  <si>
    <t>Outlet,Profile,Documents Positive Case '01</t>
  </si>
  <si>
    <t>Document Status-Field is required</t>
  </si>
  <si>
    <t>Outlet,Profile,Documents Negative Case '06</t>
  </si>
  <si>
    <t>Outlet,Profile,Documents Negative Case '07</t>
  </si>
  <si>
    <t>Distributor,Demographics Negative Case '01</t>
  </si>
  <si>
    <t>Distributor,Demographics Negative Case '02</t>
  </si>
  <si>
    <t>Distributor,Demographics Negative Case '03</t>
  </si>
  <si>
    <t>Distributor,Demographics Negative Case '04</t>
  </si>
  <si>
    <t>Distributor,Demographics Negative Case '05</t>
  </si>
  <si>
    <t>Distributor,Demographics Negative Case '06</t>
  </si>
  <si>
    <t>Distributor,Demographics Negative Case '07</t>
  </si>
  <si>
    <t>Distributor,Demographics Negative Case '08</t>
  </si>
  <si>
    <t>Distributor,Demographics Negative Case '09</t>
  </si>
  <si>
    <t>Distributor,Demographics Positive Case '01</t>
  </si>
  <si>
    <t>01-01</t>
  </si>
  <si>
    <t>01-02</t>
  </si>
  <si>
    <t>01-03</t>
  </si>
  <si>
    <t>01-04</t>
  </si>
  <si>
    <t>01-05</t>
  </si>
  <si>
    <t>01-06</t>
  </si>
  <si>
    <t>01-07</t>
  </si>
  <si>
    <t/>
  </si>
  <si>
    <t>DSR Document Negative Case '02</t>
  </si>
  <si>
    <t>Document Type-Field is required</t>
  </si>
  <si>
    <t>DSR Document Negative Case '04</t>
  </si>
  <si>
    <t>Invalid Date Entry</t>
  </si>
  <si>
    <t>DSR Document Negative Case '05</t>
  </si>
  <si>
    <t>DSR Document Positive Case '01</t>
  </si>
  <si>
    <t>DSR Previous Experience Negative Case '02</t>
  </si>
  <si>
    <t>Period From-Field is required</t>
  </si>
  <si>
    <t>DSR Previous Experience Negative Case '03</t>
  </si>
  <si>
    <t>Period To-Field is required</t>
  </si>
  <si>
    <t>DSR Previous Experience Positive Case '01</t>
  </si>
  <si>
    <t>Outlet,Profile,Operative Negative Case '01</t>
  </si>
  <si>
    <t>Outlet,Profile,Operative Negative Case '02</t>
  </si>
  <si>
    <t>Outlet,Profile,Operative Negative Case '03</t>
  </si>
  <si>
    <t>Outlet,Profile,Operative Negative Case '04</t>
  </si>
  <si>
    <t>Name-Field is required</t>
  </si>
  <si>
    <t>Land Line #-Field is required</t>
  </si>
  <si>
    <t>Cell Phone #-Field is required</t>
  </si>
  <si>
    <t>Outlet,Profile,ContactPersonDet,Negative Case '01</t>
  </si>
  <si>
    <t>Outlet,Profile,ContactPersonDet,Negative Case '02</t>
  </si>
  <si>
    <t>Outlet,Profile,ContactPersonDet,Negative Case '04</t>
  </si>
  <si>
    <t>Outlet,Profile,ContactPersonDet,Negative Case '05</t>
  </si>
  <si>
    <t>Outlet,Profile,ContactPersonDet,Positive '01</t>
  </si>
  <si>
    <t>Credit Amount Limit-Field is required</t>
  </si>
  <si>
    <t>Amount Action-Field is required</t>
  </si>
  <si>
    <t>Day Limit-Field is required</t>
  </si>
  <si>
    <t>Day Action-Field is required</t>
  </si>
  <si>
    <t>Outlet,Profile,CreditLimit,Negative Case '01</t>
  </si>
  <si>
    <t>Outlet,Profile,CreditLimit,Negative Case '02</t>
  </si>
  <si>
    <t>Outlet,Profile,CreditLimit,Negative Case '03</t>
  </si>
  <si>
    <t>Outlet,Profile,CreditLimit,Negative Case '04</t>
  </si>
  <si>
    <t>Outlet,Profile,CreditLimit,Positive '05</t>
  </si>
  <si>
    <t>323.4,139.5,165</t>
  </si>
  <si>
    <t>Vehicle Profile Negative Case '02</t>
  </si>
  <si>
    <t>Vehicle Profile Negative Case '03</t>
  </si>
  <si>
    <t>Vehicle Profile Negative Case '04</t>
  </si>
  <si>
    <t>Vehicle Profile Negative Case '05</t>
  </si>
  <si>
    <t>Aut</t>
  </si>
  <si>
    <t>Vehicle Profile Negative Case '06</t>
  </si>
  <si>
    <t>07</t>
  </si>
  <si>
    <t>Vehicle Profile Positive Case '01</t>
  </si>
  <si>
    <t>Distributor,Demographics Negative Case '10</t>
  </si>
  <si>
    <t>Distributor,Demographics Negative Case '11</t>
  </si>
  <si>
    <t>length of the given code is not valid ,valid length is/are 7</t>
  </si>
  <si>
    <t>Distributor,Operative Negative Case '01</t>
  </si>
  <si>
    <t>Distributor,Operative Negative Case '02</t>
  </si>
  <si>
    <t>Distributor,Operative Negative Case '03</t>
  </si>
  <si>
    <t>08</t>
  </si>
  <si>
    <t>09</t>
  </si>
  <si>
    <t>Outlet,Profile,Bank,Negative Case '01</t>
  </si>
  <si>
    <t>Outlet,Profile,Bank,Negative Case '02</t>
  </si>
  <si>
    <t>Outlet,Profile,Bank,Positive '03</t>
  </si>
  <si>
    <t>Vehicle Color Negative Case '01</t>
  </si>
  <si>
    <t>Vehicle Color Negative Case '02</t>
  </si>
  <si>
    <t>Vehicle Color Negative Case '03</t>
  </si>
  <si>
    <t>Vehicle Color Positive Case '01</t>
  </si>
  <si>
    <t>Vehicle Color Negative Case '04</t>
  </si>
  <si>
    <t>Vehicle Color Negative Case '05</t>
  </si>
  <si>
    <t>length of the given code is not valid ,valid length is/are 4</t>
  </si>
  <si>
    <t>Vehicle Make Negative Case '01</t>
  </si>
  <si>
    <t>Vehicle Make Negative Case '02</t>
  </si>
  <si>
    <t>Vehicle Make Negative Case '03</t>
  </si>
  <si>
    <t>Vehicle Make Negative Case '04</t>
  </si>
  <si>
    <t>Vehicle Make Negative Case '05</t>
  </si>
  <si>
    <t>Vehicle Make Positive Case '06</t>
  </si>
  <si>
    <t>Location Negative Case '02</t>
  </si>
  <si>
    <t>Location Negative Case '03</t>
  </si>
  <si>
    <t>Location Negative Case '04</t>
  </si>
  <si>
    <t>Location Negative Case '05</t>
  </si>
  <si>
    <t>Location Negative Case '06</t>
  </si>
  <si>
    <t>record with default true already exists at code:01</t>
  </si>
  <si>
    <t>Section Negative Case '01</t>
  </si>
  <si>
    <t>Section Negative Case '02</t>
  </si>
  <si>
    <t>Section Positive Case '01</t>
  </si>
  <si>
    <t>Outlet,Profile,Demographics Negative Case '01</t>
  </si>
  <si>
    <t>Outlet,Profile,Demographics Negative Case '02</t>
  </si>
  <si>
    <t>Outlet,Profile,Demographics Negative Case '03</t>
  </si>
  <si>
    <t>Outlet,Profile,Demographics Negative Case '04</t>
  </si>
  <si>
    <t>Outlet,Profile,Demographics Negative Case '05</t>
  </si>
  <si>
    <t>Outlet,Profile,Demographics Negative Case '06</t>
  </si>
  <si>
    <t>Bank-Field is required, Branch-Field is required</t>
  </si>
  <si>
    <t>Branch-Field is required</t>
  </si>
  <si>
    <t>Identification Type-Field is required</t>
  </si>
  <si>
    <t>Distributor Residence Negative Case '01</t>
  </si>
  <si>
    <t>Distributor Residence Negative Case '02</t>
  </si>
  <si>
    <t>Distributor Residence Positive Case '01</t>
  </si>
  <si>
    <t>Distributor Documents Negative Case '01</t>
  </si>
  <si>
    <t>Distributor Documents Negative Case '02</t>
  </si>
  <si>
    <t>Distributor Documents Positive Case '03</t>
  </si>
  <si>
    <t>Distributor Bank Negative Case '02</t>
  </si>
  <si>
    <t>Distributor Bank Positive Case '01</t>
  </si>
  <si>
    <t>Distributor,Contactperson Negative Case '01</t>
  </si>
  <si>
    <t>Distributor,Contactperson Negative Case '02</t>
  </si>
  <si>
    <t>Distributor,Contactperson Negative Case '03</t>
  </si>
  <si>
    <t>Distributor,Contactperson Negative Case '04</t>
  </si>
  <si>
    <t>Distributor,Contactperson Positive Case '01</t>
  </si>
  <si>
    <t>Name-Field is required, Phone Number-Invalid Phone Number</t>
  </si>
  <si>
    <t>ID No-Field is required, Phone Number-Invalid Phone Number</t>
  </si>
  <si>
    <t>Designation-Field is required, Phone Number-Invalid Phone Number</t>
  </si>
  <si>
    <t>Phone Number-Invalid Phone Number</t>
  </si>
  <si>
    <t>Distributor,Contactperson Negative Case '05</t>
  </si>
  <si>
    <t>Phone Number-Field is required</t>
  </si>
  <si>
    <t>User Negative Case '01</t>
  </si>
  <si>
    <t>User Negative Case '02</t>
  </si>
  <si>
    <t>User Negative Case '03</t>
  </si>
  <si>
    <t>User Negative Case '04</t>
  </si>
  <si>
    <t>User Negative Case '05</t>
  </si>
  <si>
    <t>User Negative Case '06</t>
  </si>
  <si>
    <t>456</t>
  </si>
  <si>
    <t>User Negative Case '07</t>
  </si>
  <si>
    <t>Re-type password cannot be different from password</t>
  </si>
  <si>
    <t>11111-1111111-1</t>
  </si>
  <si>
    <t>User Negative Case '08</t>
  </si>
  <si>
    <t>User with Same Identification No. Already Exists</t>
  </si>
  <si>
    <t>User Negative Case '09</t>
  </si>
  <si>
    <t>User Positive Case '01</t>
  </si>
  <si>
    <t>test 123 update</t>
  </si>
  <si>
    <t>000</t>
  </si>
  <si>
    <t>Code2</t>
  </si>
  <si>
    <t>Warehouse Profile Negative Case '01</t>
  </si>
  <si>
    <t>Location Negative Case '01</t>
  </si>
  <si>
    <t>Location Negative Case '07</t>
  </si>
  <si>
    <t>Location Negative Case '08</t>
  </si>
  <si>
    <t>Location Positive Case '09</t>
  </si>
  <si>
    <t>09-01</t>
  </si>
  <si>
    <t>Location Positive Case '10</t>
  </si>
  <si>
    <t>length of the given code is not valid ,valid length is/are 2,5,8</t>
  </si>
  <si>
    <t>Section Negative Case '03</t>
  </si>
  <si>
    <t>04-01</t>
  </si>
  <si>
    <t>PJP Creation Negative Case '01</t>
  </si>
  <si>
    <t>PJP Creation Negative Case '02</t>
  </si>
  <si>
    <t>PJP Creation Negative Case '03</t>
  </si>
  <si>
    <t>PJP Creation Positive Case '04</t>
  </si>
  <si>
    <t>Stock Adjustment SAN Negative Case '01</t>
  </si>
  <si>
    <t>Stock Adjustment SAN Negative Case '02</t>
  </si>
  <si>
    <t>Stock Adjustment SAN Positive Case '03</t>
  </si>
  <si>
    <t>Warehouse To Warehouse Transfer</t>
  </si>
  <si>
    <t>03-01</t>
  </si>
  <si>
    <t>03-02</t>
  </si>
  <si>
    <t>03-04</t>
  </si>
  <si>
    <t>Stock Type-Field is required</t>
  </si>
  <si>
    <t>Batch-Field is required</t>
  </si>
  <si>
    <t>Stock Adjustment SAN Detail Positive '01</t>
  </si>
  <si>
    <t>Stock Adjustment SAN Detail Positive '04</t>
  </si>
  <si>
    <t>03-05</t>
  </si>
  <si>
    <t>Please enter quantity Carton/Dozen/Unit must be greater than zero.</t>
  </si>
  <si>
    <t>Stock Adjustment SAN Detail Positive '05</t>
  </si>
  <si>
    <t>Entry Mode</t>
  </si>
  <si>
    <t>Selling Category Negative Case '01</t>
  </si>
  <si>
    <t>Selling Category Positive Case '05</t>
  </si>
  <si>
    <t>Selling Category Negative Case '02</t>
  </si>
  <si>
    <t>Selling Category Negative Case '03</t>
  </si>
  <si>
    <t>Selling Category Negative Case '04</t>
  </si>
  <si>
    <t>length of the given code is not valid ,valid length is/are 12</t>
  </si>
  <si>
    <t>Warehouse Profile Positive Case '02</t>
  </si>
  <si>
    <t>Code1</t>
  </si>
  <si>
    <t>0001</t>
  </si>
  <si>
    <t>Code3</t>
  </si>
  <si>
    <t>REPOID</t>
  </si>
  <si>
    <t>REPOVALUE</t>
  </si>
  <si>
    <t>REPO_ORGA</t>
  </si>
  <si>
    <t>010104</t>
  </si>
  <si>
    <t>REPO_CMDOCTYPE</t>
  </si>
  <si>
    <t>CM-01</t>
  </si>
  <si>
    <t>REPO_DISTRIBUTOR</t>
  </si>
  <si>
    <t>15108843</t>
  </si>
  <si>
    <t>MON,TUE,WED,THU,FRI,SAT</t>
  </si>
  <si>
    <t>02112-AutomationDSR</t>
  </si>
  <si>
    <t>C0000</t>
  </si>
  <si>
    <t>knorr</t>
  </si>
  <si>
    <t>C000</t>
  </si>
  <si>
    <t>20061</t>
  </si>
  <si>
    <t>0016 - Auto Vehicle</t>
  </si>
  <si>
    <t>Auto_OB</t>
  </si>
  <si>
    <t>PH</t>
  </si>
  <si>
    <t>DSR Business HQ ASSR Positive '03</t>
  </si>
  <si>
    <t>DSR Profile Address HQ Positive ASSR 02</t>
  </si>
  <si>
    <t>DSR Profile Demographocs HQ Positive Case 01</t>
  </si>
  <si>
    <t>DSR Adrees HQ Positive '02</t>
  </si>
  <si>
    <t>DSR Business HQ Positive '03</t>
  </si>
  <si>
    <t>DSR Address Residence HQ Negative Case 01</t>
  </si>
  <si>
    <t>DSR Address Residence HQ Negative Case 02</t>
  </si>
  <si>
    <t>DSR Address Residence HQ Negative Case 03</t>
  </si>
  <si>
    <t>DSR Address Residence HQ Negative Case 04</t>
  </si>
  <si>
    <t>DSR Address Residence HQ Positive Case 01</t>
  </si>
  <si>
    <t>DSR Profile,Document HQ Negative Case '02</t>
  </si>
  <si>
    <t>DSR Profile,Document HQ Negative Case '03</t>
  </si>
  <si>
    <t>DSR Profile,Document HQ Positive Case '01</t>
  </si>
  <si>
    <t>DSR Qulification HQ Positive '05</t>
  </si>
  <si>
    <t>DSR Previous Experience HQ Negative Case '02</t>
  </si>
  <si>
    <t>DSR Previous Experience HQ Negative Case '03</t>
  </si>
  <si>
    <t>DSR Previous Experience HQ Positive Case '01</t>
  </si>
  <si>
    <t>DSR Qulification HQ ASSR Positive '05</t>
  </si>
  <si>
    <t>DSR Profile, Device HQ Positive '06</t>
  </si>
  <si>
    <t>DSR Profile Device HQ ASSR Positive '06</t>
  </si>
  <si>
    <t>Bachelor's</t>
  </si>
  <si>
    <t>Auto_PH</t>
  </si>
  <si>
    <t>Section Code</t>
  </si>
  <si>
    <t>Section Setup Positive Case '01</t>
  </si>
  <si>
    <t>Auto0180</t>
  </si>
  <si>
    <t>Auto Approval</t>
  </si>
  <si>
    <t>Toyota</t>
  </si>
  <si>
    <t>42101121231231231</t>
  </si>
  <si>
    <t>Vehicle Profile Negative Case '07</t>
  </si>
  <si>
    <t>123456 - Test1</t>
  </si>
  <si>
    <t>A-Bangla</t>
  </si>
  <si>
    <t xml:space="preserve">NA01 </t>
  </si>
  <si>
    <t>A5 - A01001000001000001000000000001</t>
  </si>
  <si>
    <t>1111112222333330000</t>
  </si>
  <si>
    <t>Philippine national bank</t>
  </si>
  <si>
    <t>Manila branch</t>
  </si>
  <si>
    <t>CNIC-test-update</t>
  </si>
  <si>
    <t>Prospect Outlet Demogra '01</t>
  </si>
  <si>
    <t>ProsoectOutletProfiAdd Other '03</t>
  </si>
  <si>
    <t>Prospect Outlet Demogra,Positive '01</t>
  </si>
  <si>
    <t>Prospect Outlet OperInfo '02</t>
  </si>
  <si>
    <t>ProspectOutlet,Documents '03</t>
  </si>
  <si>
    <t>PJP</t>
  </si>
  <si>
    <t>06111-Auto_OB1</t>
  </si>
  <si>
    <t>AutoSection1-Automation_Testing_Section (000000000002-Selling Category 001)</t>
  </si>
  <si>
    <t>Daily Visit Plan Positive '01</t>
  </si>
  <si>
    <t>Outlet</t>
  </si>
  <si>
    <t>Index</t>
  </si>
  <si>
    <t>Daily Visit Plan Positive '02</t>
  </si>
  <si>
    <t>0001 - Order Booker</t>
  </si>
  <si>
    <t>PJP Daily Inquiry Positive '01</t>
  </si>
  <si>
    <t>DEODORANTS &amp; FRAGRANCES</t>
  </si>
  <si>
    <t>New Value</t>
  </si>
  <si>
    <t>New Value1</t>
  </si>
  <si>
    <t>New Value2</t>
  </si>
  <si>
    <t>Change Track DSR Positive '01</t>
  </si>
  <si>
    <t>New Value3</t>
  </si>
  <si>
    <t>Change Track DSR Document Positive '01</t>
  </si>
  <si>
    <t>12025206153534200</t>
  </si>
  <si>
    <t>Auomation Approval</t>
  </si>
  <si>
    <t>New Value4</t>
  </si>
  <si>
    <t>New Value5</t>
  </si>
  <si>
    <t>New Value6</t>
  </si>
  <si>
    <t>New Value7</t>
  </si>
  <si>
    <t>New Value8</t>
  </si>
  <si>
    <t>New Value9</t>
  </si>
  <si>
    <t>New Value10</t>
  </si>
  <si>
    <t>New Value11</t>
  </si>
  <si>
    <t>New Value12</t>
  </si>
  <si>
    <t>C10002 - OTHER</t>
  </si>
  <si>
    <t>B</t>
  </si>
  <si>
    <t>Rural</t>
  </si>
  <si>
    <t>Change Track Outlet profile Positive '01</t>
  </si>
  <si>
    <t>ChangeTrack_Outlet_profile_ASSR Positive '01</t>
  </si>
  <si>
    <t>Forwarded successfully</t>
  </si>
  <si>
    <t>Aautomation_Outlet</t>
  </si>
  <si>
    <t>Change Track Outlet Oper Info Positive '01</t>
  </si>
  <si>
    <t>Change Track Outlet Document Positive '01</t>
  </si>
  <si>
    <t>1111112222333330001</t>
  </si>
  <si>
    <t>Identifier</t>
  </si>
  <si>
    <t>DL-Daily</t>
  </si>
  <si>
    <t>Frequency Negative Case '02</t>
  </si>
  <si>
    <t>Frequency Negative Case '03</t>
  </si>
  <si>
    <t>Frequency Negative Case '04</t>
  </si>
  <si>
    <t>Frequency Negative Case '05</t>
  </si>
  <si>
    <t>Frequency Negative Case '06</t>
  </si>
  <si>
    <t>Frequency_ASSR Positive '01</t>
  </si>
  <si>
    <t>Deleted successfully</t>
  </si>
  <si>
    <t>0006</t>
  </si>
  <si>
    <t>0008</t>
  </si>
  <si>
    <t>Segment Description</t>
  </si>
  <si>
    <t>Segment Type</t>
  </si>
  <si>
    <t>End Date</t>
  </si>
  <si>
    <t>Dynamic</t>
  </si>
  <si>
    <t>Segment Setup Negative Case '02</t>
  </si>
  <si>
    <t>Segment Setup Negative Case '03</t>
  </si>
  <si>
    <t>Segment Setup Negative Case '05</t>
  </si>
  <si>
    <t>Segment Setup Negative Case '04</t>
  </si>
  <si>
    <t>Segment Setup Negative Case '06</t>
  </si>
  <si>
    <t>End Date should be greater than Start date</t>
  </si>
  <si>
    <t>Segment Setup Negative Case '07</t>
  </si>
  <si>
    <t>Segment Setup Positive Case '01</t>
  </si>
  <si>
    <t xml:space="preserve"> Segment Setup_ASSR</t>
  </si>
  <si>
    <t>Update successfully</t>
  </si>
  <si>
    <t>Username</t>
  </si>
  <si>
    <t>Sm.Shoaib</t>
  </si>
  <si>
    <t>Uil11@25</t>
  </si>
  <si>
    <t>USER LOGIN</t>
  </si>
  <si>
    <t>CA2T1 - Tier 1</t>
  </si>
  <si>
    <t>CA302 - Perfect City</t>
  </si>
  <si>
    <t>CA402 - Cosmetic TTS</t>
  </si>
  <si>
    <t>CA505 - PS 8 Shelf</t>
  </si>
  <si>
    <t>CA70 - VAN</t>
  </si>
  <si>
    <t>CA1001 - POC</t>
  </si>
  <si>
    <t>CA1103 - Others</t>
  </si>
  <si>
    <t>CA1202 - DOCY</t>
  </si>
  <si>
    <t>CA801 - WEW</t>
  </si>
  <si>
    <t>Selling Category 001</t>
  </si>
  <si>
    <t>Change Track PJP Config Positive '01</t>
  </si>
  <si>
    <t>2099-12-23</t>
  </si>
  <si>
    <t>C00020 - FOH TOURISM</t>
  </si>
  <si>
    <t>1000000008</t>
  </si>
  <si>
    <t>1000000001</t>
  </si>
  <si>
    <t>CA501 - PS 5 Shelf</t>
  </si>
  <si>
    <t>CA904 - A</t>
  </si>
  <si>
    <t>1221 - adug1</t>
  </si>
  <si>
    <t>(DHA) SADDAR</t>
  </si>
  <si>
    <t>Bank Al-Habib Limited</t>
  </si>
  <si>
    <t>DHA Branch</t>
  </si>
  <si>
    <t>New value</t>
  </si>
  <si>
    <t>New value1</t>
  </si>
  <si>
    <t>New value2</t>
  </si>
  <si>
    <t>New value3</t>
  </si>
  <si>
    <t>New value4</t>
  </si>
  <si>
    <t>New value5</t>
  </si>
  <si>
    <t>Automation-PJP-DM</t>
  </si>
  <si>
    <t>Change Track PJP Config Positive 1</t>
  </si>
  <si>
    <t>Forwarded!</t>
  </si>
  <si>
    <t>Auto14997</t>
  </si>
  <si>
    <t>Auto917248</t>
  </si>
  <si>
    <t>AUTO151249</t>
  </si>
  <si>
    <t>0041 - Automation261218</t>
  </si>
  <si>
    <t>Weekly</t>
  </si>
  <si>
    <t>001001001006029021CTK-001001001006029021CTK001</t>
  </si>
  <si>
    <t>outlet code</t>
  </si>
  <si>
    <t>1000000026</t>
  </si>
  <si>
    <t>Dist Code</t>
  </si>
  <si>
    <t>FS Karachi-TTY - 001004002001001001MHC001</t>
  </si>
  <si>
    <t>CA705 - Rural Van</t>
  </si>
  <si>
    <t>ICTB001 - Gilgit Baltistan-Destination</t>
  </si>
  <si>
    <t>CA1102 - IC Khazana</t>
  </si>
  <si>
    <t>CA1302 - GT LMT S2 Outlets</t>
  </si>
  <si>
    <t>CA803 - Others</t>
  </si>
  <si>
    <t>GPS Restrict</t>
  </si>
  <si>
    <t>C0000000113</t>
  </si>
  <si>
    <t>Out Of Home</t>
  </si>
  <si>
    <t>BARGUNA-002001D01229D10619D37864D95851</t>
  </si>
  <si>
    <t>ABDUL LATIF AND SONS</t>
  </si>
  <si>
    <t>BDT - BDT</t>
  </si>
  <si>
    <t>Saving Assertion Validation</t>
  </si>
  <si>
    <t>Forward Assertion Validation</t>
  </si>
  <si>
    <t>Click Process Assertion Validation</t>
  </si>
  <si>
    <t>Process completed successfully</t>
  </si>
  <si>
    <t>Updating Assertion Validation</t>
  </si>
  <si>
    <t>8197298470-Aslam PJP DM</t>
  </si>
  <si>
    <t>Warehousecode</t>
  </si>
  <si>
    <t>Auto23101246~Automation</t>
  </si>
  <si>
    <t>999713312 - Automation151825</t>
  </si>
  <si>
    <t>PJP Creation Positive Case '01</t>
  </si>
  <si>
    <t>Order Booker/Spot Seller</t>
  </si>
  <si>
    <t>Reference Number</t>
  </si>
  <si>
    <t>7918624876-Aslam PJP OB</t>
  </si>
  <si>
    <t>1000000001-Aautomation_Outlet_01</t>
  </si>
  <si>
    <t>Automation Positive 01</t>
  </si>
  <si>
    <t>OB Positive 01</t>
  </si>
  <si>
    <t>ProductDesc</t>
  </si>
  <si>
    <t>OrderCS</t>
  </si>
  <si>
    <t>OrderDZ</t>
  </si>
  <si>
    <t>OrderPC</t>
  </si>
  <si>
    <t>Trade Price</t>
  </si>
  <si>
    <t>Gross Amount</t>
  </si>
  <si>
    <t>CHECK_VALIDATION</t>
  </si>
  <si>
    <t>0</t>
  </si>
  <si>
    <t>OB Positive 01-01</t>
  </si>
  <si>
    <t>45.8275</t>
  </si>
  <si>
    <t>2795.48</t>
  </si>
  <si>
    <t>REPO_REF_ORDER_NO</t>
  </si>
  <si>
    <t>Discount</t>
  </si>
  <si>
    <t>Tax</t>
  </si>
  <si>
    <t>Net Amount</t>
  </si>
  <si>
    <t>OB Positive Validation 01</t>
  </si>
  <si>
    <t>PCOL25010842</t>
  </si>
  <si>
    <t>18169.25</t>
  </si>
  <si>
    <t>-79.21</t>
  </si>
  <si>
    <t>3256.21</t>
  </si>
  <si>
    <t>21346.00</t>
  </si>
  <si>
    <t>Y</t>
  </si>
  <si>
    <t>D</t>
  </si>
  <si>
    <t>Source PJP</t>
  </si>
  <si>
    <t>Destination PJP</t>
  </si>
  <si>
    <t>8197298470</t>
  </si>
  <si>
    <t>AUTO301258</t>
  </si>
  <si>
    <t>Delivery Man Shuffling Positive 01</t>
  </si>
  <si>
    <t>Delivery Man Shuffling Assertion Positive</t>
  </si>
  <si>
    <t>Vehicle Code</t>
  </si>
  <si>
    <t>999713364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</si>
</sst>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rgb="FF484848"/>
      <name val="Arial"/>
      <family val="2"/>
    </font>
    <font>
      <sz val="9"/>
      <color rgb="FF1F1F1F"/>
      <name val="Calibri"/>
      <family val="2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sz val="10"/>
      <color rgb="FF31313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49" fontId="1" fillId="0" borderId="0" xfId="0" applyNumberFormat="1" applyFont="1"/>
    <xf numFmtId="49" fontId="0" fillId="0" borderId="0" xfId="0" quotePrefix="1" applyNumberFormat="1"/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0" borderId="0" xfId="1" applyNumberFormat="1"/>
    <xf numFmtId="0" fontId="0" fillId="0" borderId="0" xfId="0" quotePrefix="1"/>
    <xf numFmtId="0" fontId="5" fillId="0" borderId="0" xfId="0" applyFont="1"/>
    <xf numFmtId="49" fontId="6" fillId="0" borderId="0" xfId="0" applyNumberFormat="1" applyFont="1"/>
    <xf numFmtId="0" fontId="0" fillId="0" borderId="0" xfId="0" applyNumberFormat="1"/>
    <xf numFmtId="0" fontId="0" fillId="0" borderId="0" xfId="0" quotePrefix="1" applyNumberFormat="1"/>
    <xf numFmtId="22" fontId="0" fillId="0" borderId="0" xfId="0" applyNumberFormat="1"/>
    <xf numFmtId="14" fontId="0" fillId="0" borderId="0" xfId="0" applyNumberFormat="1"/>
    <xf numFmtId="0" fontId="6" fillId="0" borderId="0" xfId="0" applyFont="1"/>
    <xf numFmtId="0" fontId="0" fillId="0" borderId="0" xfId="0" applyFont="1"/>
    <xf numFmtId="49" fontId="0" fillId="0" borderId="0" xfId="0" applyNumberFormat="1" applyAlignment="1">
      <alignment wrapText="1"/>
    </xf>
    <xf numFmtId="49" fontId="0" fillId="0" borderId="0" xfId="0" quotePrefix="1" applyNumberFormat="1" applyAlignment="1">
      <alignment horizontal="left"/>
    </xf>
    <xf numFmtId="49" fontId="0" fillId="0" borderId="0" xfId="0" applyNumberFormat="1" applyAlignment="1">
      <alignment horizontal="left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styles" Target="styles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calcChain" Target="calcChain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Uil11@25" TargetMode="Externa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hyperlink" Target="mailto:Automation@gmail.com" TargetMode="External"/><Relationship Id="rId2" Type="http://schemas.openxmlformats.org/officeDocument/2006/relationships/hyperlink" Target="mailto:Automation@gmail.com" TargetMode="External"/><Relationship Id="rId1" Type="http://schemas.openxmlformats.org/officeDocument/2006/relationships/hyperlink" Target="mailto:Automation@gmail.com" TargetMode="Externa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hyperlink" Target="mailto:Automation@gmail.com" TargetMode="External"/><Relationship Id="rId2" Type="http://schemas.openxmlformats.org/officeDocument/2006/relationships/hyperlink" Target="mailto:Automation@gmail.com" TargetMode="External"/><Relationship Id="rId1" Type="http://schemas.openxmlformats.org/officeDocument/2006/relationships/hyperlink" Target="mailto:Automation@gmail.com" TargetMode="Externa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mailto:Automation@gmail.com" TargetMode="External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hyperlink" Target="mailto:Automation@gmail.com" TargetMode="External"/><Relationship Id="rId7" Type="http://schemas.openxmlformats.org/officeDocument/2006/relationships/hyperlink" Target="mailto:Automation@gmail.com" TargetMode="External"/><Relationship Id="rId2" Type="http://schemas.openxmlformats.org/officeDocument/2006/relationships/hyperlink" Target="mailto:Automation@gmail.com" TargetMode="External"/><Relationship Id="rId1" Type="http://schemas.openxmlformats.org/officeDocument/2006/relationships/hyperlink" Target="mailto:Automation@gmail.com" TargetMode="External"/><Relationship Id="rId6" Type="http://schemas.openxmlformats.org/officeDocument/2006/relationships/hyperlink" Target="mailto:Automation@gmail.com" TargetMode="External"/><Relationship Id="rId5" Type="http://schemas.openxmlformats.org/officeDocument/2006/relationships/hyperlink" Target="mailto:Automation@gmail.com" TargetMode="External"/><Relationship Id="rId4" Type="http://schemas.openxmlformats.org/officeDocument/2006/relationships/hyperlink" Target="mailto:Automation@gmail.com" TargetMode="Externa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hyperlink" Target="mailto:Auto@gmail.com" TargetMode="Externa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selection activeCell="G13" sqref="G13"/>
    </sheetView>
  </sheetViews>
  <sheetFormatPr defaultRowHeight="15" x14ac:dyDescent="0.25"/>
  <cols>
    <col min="1" max="1" width="15.140625" style="3" bestFit="1" customWidth="1"/>
    <col min="2" max="2" width="13.140625" style="3" bestFit="1" customWidth="1"/>
    <col min="3" max="3" width="12.85546875" style="3" bestFit="1" customWidth="1"/>
    <col min="4" max="4" width="20" style="3" bestFit="1" customWidth="1"/>
    <col min="5" max="5" width="14.5703125" style="3" bestFit="1" customWidth="1"/>
    <col min="6" max="6" width="20" style="3" bestFit="1" customWidth="1"/>
    <col min="7" max="7" width="21.85546875" style="3" bestFit="1" customWidth="1"/>
    <col min="8" max="8" width="13.7109375" style="3" bestFit="1" customWidth="1"/>
    <col min="9" max="9" width="15.140625" style="3" bestFit="1" customWidth="1"/>
    <col min="10" max="10" width="11.140625" style="3" bestFit="1" customWidth="1"/>
    <col min="11" max="11" width="13.7109375" style="3" bestFit="1" customWidth="1"/>
    <col min="12" max="12" width="11.5703125" style="3" bestFit="1" customWidth="1"/>
    <col min="13" max="13" width="11.140625" style="3" customWidth="1"/>
    <col min="14" max="14" width="18.28515625" style="3" bestFit="1" customWidth="1"/>
    <col min="15" max="15" width="9.140625" style="3"/>
    <col min="16" max="16" width="44.42578125" style="3" bestFit="1" customWidth="1"/>
    <col min="17" max="17" width="20.28515625" style="3" bestFit="1" customWidth="1"/>
    <col min="18" max="18" width="33.85546875" style="3" bestFit="1" customWidth="1"/>
    <col min="19" max="19" width="15" style="3" customWidth="1"/>
    <col min="20" max="20" width="10.28515625" style="3" bestFit="1" customWidth="1"/>
    <col min="21" max="16384" width="9.140625" style="3"/>
  </cols>
  <sheetData>
    <row r="1" spans="1:20" x14ac:dyDescent="0.25">
      <c r="A1" s="3" t="s">
        <v>10</v>
      </c>
      <c r="B1" s="4" t="s">
        <v>11</v>
      </c>
      <c r="C1" s="1" t="s">
        <v>12</v>
      </c>
      <c r="D1" s="1" t="s">
        <v>13</v>
      </c>
      <c r="E1" s="1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2</v>
      </c>
      <c r="K1" s="4" t="s">
        <v>19</v>
      </c>
      <c r="L1" s="4" t="s">
        <v>20</v>
      </c>
      <c r="M1" s="4" t="s">
        <v>28</v>
      </c>
      <c r="N1" s="4" t="s">
        <v>30</v>
      </c>
      <c r="O1" s="4" t="s">
        <v>0</v>
      </c>
      <c r="P1" s="4" t="s">
        <v>9</v>
      </c>
      <c r="Q1" s="4" t="s">
        <v>527</v>
      </c>
      <c r="R1" s="3" t="s">
        <v>6</v>
      </c>
      <c r="S1" s="3" t="s">
        <v>7</v>
      </c>
      <c r="T1" s="4" t="s">
        <v>4</v>
      </c>
    </row>
    <row r="2" spans="1:20" x14ac:dyDescent="0.25">
      <c r="A2" s="12" t="str">
        <f ca="1">CONCATENATE("Auto",TEXT(NOW(),"DDHHMM"))</f>
        <v>Auto241134</v>
      </c>
      <c r="B2" s="4" t="s">
        <v>154</v>
      </c>
      <c r="C2" s="4" t="s">
        <v>1</v>
      </c>
      <c r="D2" s="4">
        <v>1111</v>
      </c>
      <c r="E2" s="4" t="s">
        <v>416</v>
      </c>
      <c r="F2" s="4" t="s">
        <v>22</v>
      </c>
      <c r="G2" s="4" t="s">
        <v>513</v>
      </c>
      <c r="H2" s="4" t="s">
        <v>23</v>
      </c>
      <c r="I2" s="4" t="s">
        <v>25</v>
      </c>
      <c r="J2" s="4" t="s">
        <v>26</v>
      </c>
      <c r="K2" s="4" t="s">
        <v>27</v>
      </c>
      <c r="L2" s="2"/>
      <c r="M2" s="4" t="s">
        <v>29</v>
      </c>
      <c r="N2" s="4" t="s">
        <v>118</v>
      </c>
      <c r="O2" s="2" t="s">
        <v>3</v>
      </c>
      <c r="P2" s="2" t="s">
        <v>533</v>
      </c>
      <c r="Q2" s="9" t="s">
        <v>579</v>
      </c>
      <c r="R2" s="2" t="s">
        <v>285</v>
      </c>
      <c r="S2" s="3" t="s">
        <v>8</v>
      </c>
      <c r="T2" s="4" t="s">
        <v>5</v>
      </c>
    </row>
    <row r="3" spans="1:20" x14ac:dyDescent="0.25">
      <c r="C3" s="5"/>
      <c r="D3" s="5"/>
      <c r="E3" s="5"/>
      <c r="F3" s="5"/>
      <c r="G3" s="5"/>
      <c r="H3" s="5"/>
      <c r="I3" s="6"/>
      <c r="J3" s="6"/>
      <c r="K3" s="6"/>
      <c r="L3" s="6"/>
      <c r="M3" s="6"/>
      <c r="N3" s="6"/>
    </row>
    <row r="4" spans="1:20" x14ac:dyDescent="0.25">
      <c r="C4" s="5"/>
      <c r="D4" s="5"/>
      <c r="E4" s="5"/>
      <c r="F4" s="5"/>
      <c r="G4" s="5"/>
      <c r="H4" s="5"/>
      <c r="I4" s="6"/>
      <c r="J4" s="6"/>
      <c r="K4" s="6"/>
      <c r="L4" s="6"/>
      <c r="M4" s="6"/>
      <c r="N4" s="6"/>
    </row>
    <row r="5" spans="1:20" x14ac:dyDescent="0.25">
      <c r="C5" s="5"/>
      <c r="D5" s="5"/>
      <c r="E5" s="5"/>
      <c r="F5" s="5"/>
      <c r="G5" s="5"/>
      <c r="H5" s="5"/>
      <c r="I5" s="6"/>
      <c r="J5" s="6"/>
      <c r="K5" s="6"/>
      <c r="L5" s="6"/>
      <c r="M5" s="6"/>
      <c r="N5" s="6"/>
    </row>
    <row r="6" spans="1:20" x14ac:dyDescent="0.25">
      <c r="C6" s="5"/>
      <c r="D6" s="5"/>
      <c r="E6" s="5"/>
      <c r="F6" s="5"/>
      <c r="G6" s="5"/>
      <c r="H6" s="5"/>
      <c r="I6" s="6"/>
      <c r="J6" s="6"/>
      <c r="K6" s="6"/>
      <c r="L6" s="6"/>
      <c r="M6" s="6"/>
      <c r="N6" s="6"/>
    </row>
    <row r="7" spans="1:20" x14ac:dyDescent="0.25">
      <c r="C7" s="5"/>
      <c r="D7" s="5"/>
      <c r="E7" s="5"/>
      <c r="F7" s="5"/>
      <c r="G7" s="5"/>
      <c r="H7" s="5"/>
      <c r="I7" s="6"/>
      <c r="J7" s="6"/>
      <c r="K7" s="6"/>
      <c r="L7" s="6"/>
      <c r="M7" s="6"/>
      <c r="N7" s="6"/>
    </row>
    <row r="8" spans="1:20" x14ac:dyDescent="0.25">
      <c r="C8" s="5"/>
      <c r="D8" s="5"/>
      <c r="E8" s="5"/>
      <c r="F8" s="5"/>
      <c r="G8" s="5"/>
      <c r="H8" s="5"/>
      <c r="I8" s="6"/>
      <c r="J8" s="6"/>
      <c r="K8" s="6"/>
      <c r="L8" s="6"/>
      <c r="M8" s="6"/>
      <c r="N8" s="6"/>
    </row>
    <row r="9" spans="1:20" x14ac:dyDescent="0.25">
      <c r="C9" s="5"/>
      <c r="D9" s="5"/>
      <c r="E9" s="5"/>
      <c r="F9" s="5"/>
      <c r="G9" s="5"/>
      <c r="H9" s="5"/>
      <c r="I9" s="6"/>
      <c r="J9" s="6"/>
      <c r="K9" s="6"/>
      <c r="L9" s="6"/>
      <c r="M9" s="6"/>
      <c r="N9" s="6"/>
    </row>
    <row r="10" spans="1:20" x14ac:dyDescent="0.25">
      <c r="C10" s="5"/>
      <c r="D10" s="5"/>
      <c r="E10" s="5"/>
      <c r="F10" s="5"/>
      <c r="G10" s="5"/>
      <c r="H10" s="5"/>
      <c r="I10" s="6"/>
      <c r="J10" s="6"/>
      <c r="K10" s="6"/>
      <c r="L10" s="6"/>
      <c r="M10" s="6"/>
      <c r="N10" s="6"/>
    </row>
    <row r="11" spans="1:20" x14ac:dyDescent="0.25">
      <c r="C11" s="5"/>
      <c r="D11" s="5"/>
      <c r="E11" s="5"/>
      <c r="F11" s="5"/>
      <c r="G11" s="5"/>
      <c r="H11" s="5"/>
      <c r="I11" s="6"/>
      <c r="J11" s="6"/>
      <c r="K11" s="6"/>
      <c r="L11" s="6"/>
      <c r="M11" s="6"/>
      <c r="N1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activeCell="G23" sqref="G23"/>
    </sheetView>
  </sheetViews>
  <sheetFormatPr defaultRowHeight="15" x14ac:dyDescent="0.25"/>
  <cols>
    <col min="1" max="1" width="17" style="3" bestFit="1" customWidth="1"/>
    <col min="2" max="2" width="11.7109375" style="3" bestFit="1" customWidth="1"/>
    <col min="3" max="3" width="18.28515625" style="3" bestFit="1" customWidth="1"/>
    <col min="4" max="4" width="10.140625" style="3" bestFit="1" customWidth="1"/>
    <col min="5" max="6" width="9.140625" style="3"/>
    <col min="7" max="10" width="12" style="3" bestFit="1" customWidth="1"/>
    <col min="11" max="11" width="9.140625" style="3"/>
    <col min="12" max="13" width="23" style="3" bestFit="1" customWidth="1"/>
    <col min="14" max="14" width="9.140625" style="3"/>
    <col min="15" max="15" width="11.42578125" style="3" bestFit="1" customWidth="1"/>
    <col min="16" max="16" width="9.140625" style="3"/>
    <col min="17" max="17" width="22" style="3" bestFit="1" customWidth="1"/>
    <col min="18" max="16384" width="9.140625" style="3"/>
  </cols>
  <sheetData>
    <row r="1" spans="1:18" x14ac:dyDescent="0.25">
      <c r="A1" s="1" t="s">
        <v>31</v>
      </c>
      <c r="B1" s="1" t="s">
        <v>32</v>
      </c>
      <c r="C1" s="1" t="s">
        <v>33</v>
      </c>
      <c r="D1" s="3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4" t="s">
        <v>0</v>
      </c>
      <c r="Q1" s="4" t="s">
        <v>9</v>
      </c>
      <c r="R1" s="4" t="s">
        <v>4</v>
      </c>
    </row>
    <row r="2" spans="1:18" x14ac:dyDescent="0.25">
      <c r="A2" s="4" t="s">
        <v>47</v>
      </c>
      <c r="B2" s="4" t="s">
        <v>48</v>
      </c>
      <c r="C2" s="4" t="s">
        <v>49</v>
      </c>
      <c r="D2" s="4">
        <v>1234</v>
      </c>
      <c r="E2" s="4" t="s">
        <v>754</v>
      </c>
      <c r="F2" s="4" t="s">
        <v>51</v>
      </c>
      <c r="G2" s="4" t="s">
        <v>522</v>
      </c>
      <c r="H2" s="4" t="s">
        <v>522</v>
      </c>
      <c r="I2" s="13" t="str">
        <f ca="1">CONCATENATE(RIGHT(TEXT(NOW(),"YYMMDDhhmmss"),11))</f>
        <v>60624113402</v>
      </c>
      <c r="J2" s="13" t="str">
        <f ca="1">CONCATENATE(RIGHT(TEXT(NOW(),"YYMMDDhhmmss"),11))</f>
        <v>60624113402</v>
      </c>
      <c r="K2" s="4">
        <v>1234</v>
      </c>
      <c r="L2" s="4" t="s">
        <v>52</v>
      </c>
      <c r="M2" s="4" t="s">
        <v>52</v>
      </c>
      <c r="N2" s="4">
        <v>111</v>
      </c>
      <c r="O2" s="4">
        <v>1234</v>
      </c>
      <c r="P2" s="2" t="s">
        <v>572</v>
      </c>
      <c r="Q2" s="4" t="s">
        <v>46</v>
      </c>
      <c r="R2" s="4" t="s">
        <v>5</v>
      </c>
    </row>
    <row r="4" spans="1:18" x14ac:dyDescent="0.25">
      <c r="A4" s="5"/>
    </row>
    <row r="5" spans="1:18" x14ac:dyDescent="0.25">
      <c r="A5" s="5"/>
    </row>
    <row r="6" spans="1:18" x14ac:dyDescent="0.25">
      <c r="A6" s="5"/>
    </row>
    <row r="7" spans="1:18" x14ac:dyDescent="0.25">
      <c r="A7" s="5"/>
    </row>
    <row r="8" spans="1:18" x14ac:dyDescent="0.25">
      <c r="A8" s="5"/>
    </row>
    <row r="9" spans="1:18" x14ac:dyDescent="0.25">
      <c r="A9" s="5"/>
    </row>
    <row r="10" spans="1:18" x14ac:dyDescent="0.25">
      <c r="A10" s="5"/>
    </row>
    <row r="11" spans="1:18" x14ac:dyDescent="0.25">
      <c r="A11" s="5"/>
    </row>
    <row r="12" spans="1:18" x14ac:dyDescent="0.25">
      <c r="A12" s="5"/>
    </row>
    <row r="13" spans="1:18" x14ac:dyDescent="0.25">
      <c r="A13" s="5"/>
    </row>
    <row r="14" spans="1:18" x14ac:dyDescent="0.25">
      <c r="A14" s="5"/>
    </row>
    <row r="15" spans="1:18" x14ac:dyDescent="0.25">
      <c r="A15" s="5"/>
    </row>
    <row r="16" spans="1:18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opLeftCell="C1" workbookViewId="0">
      <selection activeCell="I20" sqref="H20:I20"/>
    </sheetView>
  </sheetViews>
  <sheetFormatPr defaultRowHeight="15" x14ac:dyDescent="0.25"/>
  <cols>
    <col min="1" max="1" width="17" style="3" bestFit="1" customWidth="1"/>
    <col min="2" max="2" width="11.7109375" style="3" bestFit="1" customWidth="1"/>
    <col min="3" max="3" width="18.28515625" style="3" bestFit="1" customWidth="1"/>
    <col min="4" max="4" width="10.140625" style="3" bestFit="1" customWidth="1"/>
    <col min="5" max="6" width="9.140625" style="3"/>
    <col min="7" max="10" width="12" style="3" bestFit="1" customWidth="1"/>
    <col min="11" max="11" width="9.140625" style="3"/>
    <col min="12" max="13" width="23" style="3" bestFit="1" customWidth="1"/>
    <col min="14" max="14" width="9.140625" style="3"/>
    <col min="15" max="15" width="11.42578125" style="3" bestFit="1" customWidth="1"/>
    <col min="16" max="16" width="9.140625" style="3"/>
    <col min="17" max="17" width="23.42578125" style="3" bestFit="1" customWidth="1"/>
    <col min="18" max="18" width="10.28515625" style="3" bestFit="1" customWidth="1"/>
    <col min="19" max="16384" width="9.140625" style="3"/>
  </cols>
  <sheetData>
    <row r="1" spans="1:18" x14ac:dyDescent="0.25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4" t="s">
        <v>0</v>
      </c>
      <c r="Q1" s="4" t="s">
        <v>9</v>
      </c>
      <c r="R1" s="4" t="s">
        <v>4</v>
      </c>
    </row>
    <row r="2" spans="1:18" x14ac:dyDescent="0.25">
      <c r="A2" s="4" t="s">
        <v>47</v>
      </c>
      <c r="B2" s="4" t="s">
        <v>48</v>
      </c>
      <c r="C2" s="4" t="s">
        <v>49</v>
      </c>
      <c r="D2" s="4">
        <v>1234</v>
      </c>
      <c r="E2" s="4" t="s">
        <v>754</v>
      </c>
      <c r="F2" s="4" t="s">
        <v>169</v>
      </c>
      <c r="G2" s="4" t="s">
        <v>54</v>
      </c>
      <c r="H2" s="4" t="s">
        <v>54</v>
      </c>
      <c r="I2" s="13" t="str">
        <f ca="1">CONCATENATE(RIGHT(TEXT(NOW(),"YYMMDDhhmmss"),11))</f>
        <v>60624113402</v>
      </c>
      <c r="J2" s="13" t="str">
        <f ca="1">CONCATENATE(RIGHT(TEXT(NOW(),"YYMMDDhhmmss"),11))</f>
        <v>60624113402</v>
      </c>
      <c r="K2" s="4">
        <v>1234</v>
      </c>
      <c r="L2" s="4" t="s">
        <v>52</v>
      </c>
      <c r="M2" s="4" t="s">
        <v>52</v>
      </c>
      <c r="N2" s="4">
        <v>111</v>
      </c>
      <c r="O2" s="4">
        <v>1234</v>
      </c>
      <c r="P2" s="2" t="s">
        <v>572</v>
      </c>
      <c r="Q2" s="4" t="s">
        <v>55</v>
      </c>
      <c r="R2" s="4" t="s">
        <v>5</v>
      </c>
    </row>
    <row r="4" spans="1:18" x14ac:dyDescent="0.25">
      <c r="A4" s="5"/>
    </row>
    <row r="5" spans="1:18" x14ac:dyDescent="0.25">
      <c r="A5" s="5"/>
    </row>
    <row r="6" spans="1:18" x14ac:dyDescent="0.25">
      <c r="A6" s="5"/>
    </row>
    <row r="7" spans="1:18" x14ac:dyDescent="0.25">
      <c r="A7" s="5"/>
    </row>
    <row r="8" spans="1:18" x14ac:dyDescent="0.25">
      <c r="A8" s="5"/>
    </row>
    <row r="9" spans="1:18" x14ac:dyDescent="0.25">
      <c r="A9" s="5"/>
    </row>
    <row r="10" spans="1:18" x14ac:dyDescent="0.25">
      <c r="A10" s="5"/>
    </row>
    <row r="11" spans="1:18" x14ac:dyDescent="0.25">
      <c r="A11" s="5"/>
    </row>
    <row r="12" spans="1:18" x14ac:dyDescent="0.25">
      <c r="A12" s="5"/>
    </row>
    <row r="13" spans="1:18" x14ac:dyDescent="0.25">
      <c r="A13" s="5"/>
    </row>
    <row r="14" spans="1:18" x14ac:dyDescent="0.25">
      <c r="A14" s="5"/>
    </row>
    <row r="15" spans="1:18" x14ac:dyDescent="0.25">
      <c r="A15" s="5"/>
    </row>
    <row r="16" spans="1:18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I10" sqref="I10"/>
    </sheetView>
  </sheetViews>
  <sheetFormatPr defaultRowHeight="15" x14ac:dyDescent="0.25"/>
  <cols>
    <col min="1" max="1" width="17" style="3" bestFit="1" customWidth="1"/>
    <col min="2" max="2" width="11.7109375" style="3" bestFit="1" customWidth="1"/>
    <col min="3" max="3" width="18.28515625" style="3" bestFit="1" customWidth="1"/>
    <col min="4" max="6" width="9.140625" style="3"/>
    <col min="7" max="10" width="12" style="3" bestFit="1" customWidth="1"/>
    <col min="11" max="11" width="9.140625" style="3"/>
    <col min="12" max="13" width="23" style="3" bestFit="1" customWidth="1"/>
    <col min="14" max="14" width="9.140625" style="3"/>
    <col min="15" max="15" width="11.42578125" style="3" bestFit="1" customWidth="1"/>
    <col min="16" max="16" width="9.140625" style="3"/>
    <col min="17" max="17" width="38" style="3" bestFit="1" customWidth="1"/>
    <col min="18" max="18" width="16.28515625" style="3" bestFit="1" customWidth="1"/>
    <col min="19" max="19" width="19.28515625" style="3" bestFit="1" customWidth="1"/>
    <col min="20" max="20" width="16.28515625" style="3" customWidth="1"/>
    <col min="21" max="21" width="10.28515625" style="3" bestFit="1" customWidth="1"/>
    <col min="22" max="16384" width="9.140625" style="3"/>
  </cols>
  <sheetData>
    <row r="1" spans="1:21" x14ac:dyDescent="0.25">
      <c r="A1" s="1" t="s">
        <v>31</v>
      </c>
      <c r="B1" s="1" t="s">
        <v>32</v>
      </c>
      <c r="C1" s="1" t="s">
        <v>33</v>
      </c>
      <c r="D1" s="3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4" t="s">
        <v>0</v>
      </c>
      <c r="Q1" s="4" t="s">
        <v>9</v>
      </c>
      <c r="R1" s="4" t="s">
        <v>527</v>
      </c>
      <c r="S1" s="3" t="s">
        <v>6</v>
      </c>
      <c r="T1" s="3" t="s">
        <v>7</v>
      </c>
      <c r="U1" s="4" t="s">
        <v>4</v>
      </c>
    </row>
    <row r="2" spans="1:21" x14ac:dyDescent="0.25">
      <c r="A2" s="4" t="s">
        <v>47</v>
      </c>
      <c r="B2" s="4" t="s">
        <v>48</v>
      </c>
      <c r="C2" s="4" t="s">
        <v>49</v>
      </c>
      <c r="D2" s="4">
        <v>1234</v>
      </c>
      <c r="E2" s="4" t="s">
        <v>50</v>
      </c>
      <c r="F2" s="4" t="s">
        <v>177</v>
      </c>
      <c r="G2" s="4" t="s">
        <v>521</v>
      </c>
      <c r="H2" s="4" t="s">
        <v>521</v>
      </c>
      <c r="I2" s="13" t="str">
        <f ca="1">CONCATENATE(RIGHT(TEXT(NOW(),"YYMMDDhhmmss"),11))</f>
        <v>60624113402</v>
      </c>
      <c r="J2" s="13" t="str">
        <f ca="1">CONCATENATE(RIGHT(TEXT(NOW(),"YYMMDDhhmmss"),11))</f>
        <v>60624113402</v>
      </c>
      <c r="K2" s="4">
        <v>1234</v>
      </c>
      <c r="L2" s="4" t="s">
        <v>52</v>
      </c>
      <c r="M2" s="4" t="s">
        <v>52</v>
      </c>
      <c r="N2" s="4">
        <v>111</v>
      </c>
      <c r="O2" s="4">
        <v>1234</v>
      </c>
      <c r="P2" s="2" t="s">
        <v>577</v>
      </c>
      <c r="Q2" s="4" t="s">
        <v>539</v>
      </c>
      <c r="R2" s="2" t="s">
        <v>579</v>
      </c>
      <c r="S2" s="4" t="s">
        <v>285</v>
      </c>
      <c r="T2" s="4" t="s">
        <v>8</v>
      </c>
      <c r="U2" s="4" t="s">
        <v>5</v>
      </c>
    </row>
    <row r="3" spans="1:21" x14ac:dyDescent="0.25">
      <c r="R3" s="4"/>
      <c r="S3" s="4"/>
      <c r="T3" s="4"/>
    </row>
    <row r="4" spans="1:21" x14ac:dyDescent="0.25">
      <c r="R4" s="2"/>
      <c r="S4" s="2"/>
      <c r="T4" s="2"/>
    </row>
    <row r="5" spans="1:21" x14ac:dyDescent="0.25">
      <c r="R5" s="2"/>
      <c r="S5" s="2"/>
      <c r="T5" s="2"/>
    </row>
    <row r="7" spans="1:21" x14ac:dyDescent="0.25">
      <c r="L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H20" sqref="H20"/>
    </sheetView>
  </sheetViews>
  <sheetFormatPr defaultRowHeight="15" x14ac:dyDescent="0.25"/>
  <cols>
    <col min="1" max="1" width="15" style="3" bestFit="1" customWidth="1"/>
    <col min="2" max="2" width="20.42578125" style="3" bestFit="1" customWidth="1"/>
    <col min="3" max="3" width="10.42578125" style="3" bestFit="1" customWidth="1"/>
    <col min="4" max="4" width="11" style="3" bestFit="1" customWidth="1"/>
    <col min="5" max="5" width="16.140625" style="3" bestFit="1" customWidth="1"/>
    <col min="6" max="6" width="13.28515625" style="3" bestFit="1" customWidth="1"/>
    <col min="7" max="7" width="9.140625" style="3"/>
    <col min="8" max="8" width="31.85546875" style="3" bestFit="1" customWidth="1"/>
    <col min="9" max="9" width="16.28515625" style="3" bestFit="1" customWidth="1"/>
    <col min="10" max="10" width="52.28515625" style="3" bestFit="1" customWidth="1"/>
    <col min="11" max="16384" width="9.140625" style="3"/>
  </cols>
  <sheetData>
    <row r="1" spans="1:12" x14ac:dyDescent="0.25">
      <c r="A1" s="5" t="s">
        <v>56</v>
      </c>
      <c r="B1" s="5" t="s">
        <v>57</v>
      </c>
      <c r="C1" s="5" t="s">
        <v>58</v>
      </c>
      <c r="D1" s="5" t="s">
        <v>59</v>
      </c>
      <c r="E1" s="1" t="s">
        <v>60</v>
      </c>
      <c r="F1" s="5" t="s">
        <v>61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x14ac:dyDescent="0.25">
      <c r="A2" s="3" t="s">
        <v>62</v>
      </c>
      <c r="B2" s="3" t="str">
        <f ca="1">CONCATENATE("1",TEXT(NOW(),"YYYY"),"2",LEFT(TEXT(NOW(),"DDhhmmss"),8),"22",RIGHT(TEXT(NOW(),"ss"),1))</f>
        <v>12026224113402222</v>
      </c>
      <c r="C2" s="4" t="s">
        <v>63</v>
      </c>
      <c r="D2" s="12" t="str">
        <f ca="1">TEXT((NOW()+3652),"YYYY-MM-DD")</f>
        <v>2036-06-23</v>
      </c>
      <c r="E2" s="4" t="s">
        <v>65</v>
      </c>
      <c r="F2" s="4">
        <v>1234</v>
      </c>
      <c r="G2" s="2" t="s">
        <v>572</v>
      </c>
      <c r="H2" s="4" t="s">
        <v>585</v>
      </c>
      <c r="I2" s="9" t="s">
        <v>579</v>
      </c>
      <c r="J2" s="2" t="s">
        <v>447</v>
      </c>
      <c r="K2" s="3" t="s">
        <v>8</v>
      </c>
      <c r="L2" s="4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G15" sqref="G15"/>
    </sheetView>
  </sheetViews>
  <sheetFormatPr defaultRowHeight="15" x14ac:dyDescent="0.25"/>
  <cols>
    <col min="1" max="1" width="17.42578125" style="3" bestFit="1" customWidth="1"/>
    <col min="2" max="2" width="18.42578125" style="3" bestFit="1" customWidth="1"/>
    <col min="3" max="3" width="11.42578125" style="3" bestFit="1" customWidth="1"/>
    <col min="4" max="4" width="11.5703125" style="3" bestFit="1" customWidth="1"/>
    <col min="5" max="5" width="9.140625" style="3"/>
    <col min="6" max="6" width="37.7109375" style="3" customWidth="1"/>
    <col min="7" max="16384" width="9.140625" style="3"/>
  </cols>
  <sheetData>
    <row r="1" spans="1:7" x14ac:dyDescent="0.25">
      <c r="A1" s="3" t="s">
        <v>66</v>
      </c>
      <c r="B1" s="3" t="s">
        <v>67</v>
      </c>
      <c r="C1" s="3" t="s">
        <v>68</v>
      </c>
      <c r="D1" s="3" t="s">
        <v>69</v>
      </c>
      <c r="E1" s="4" t="s">
        <v>0</v>
      </c>
      <c r="F1" s="4" t="s">
        <v>9</v>
      </c>
      <c r="G1" s="4" t="s">
        <v>4</v>
      </c>
    </row>
    <row r="2" spans="1:7" x14ac:dyDescent="0.25">
      <c r="A2" s="4" t="s">
        <v>514</v>
      </c>
      <c r="B2" s="3" t="s">
        <v>514</v>
      </c>
      <c r="C2" s="4">
        <v>2012</v>
      </c>
      <c r="D2" s="3" t="s">
        <v>21</v>
      </c>
      <c r="E2" s="2" t="s">
        <v>572</v>
      </c>
      <c r="F2" s="4" t="s">
        <v>515</v>
      </c>
      <c r="G2" s="4" t="s">
        <v>5</v>
      </c>
    </row>
    <row r="4" spans="1:7" x14ac:dyDescent="0.25">
      <c r="A4" s="7"/>
    </row>
    <row r="5" spans="1:7" x14ac:dyDescent="0.25">
      <c r="A5" s="7"/>
    </row>
    <row r="6" spans="1:7" x14ac:dyDescent="0.25">
      <c r="A6" s="7"/>
    </row>
    <row r="7" spans="1:7" x14ac:dyDescent="0.25">
      <c r="A7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E16" sqref="E16"/>
    </sheetView>
  </sheetViews>
  <sheetFormatPr defaultRowHeight="15" x14ac:dyDescent="0.25"/>
  <cols>
    <col min="1" max="1" width="11.5703125" style="3" bestFit="1" customWidth="1"/>
    <col min="2" max="2" width="8.140625" style="3" bestFit="1" customWidth="1"/>
    <col min="3" max="3" width="10" style="3" bestFit="1" customWidth="1"/>
    <col min="4" max="4" width="11" style="3" bestFit="1" customWidth="1"/>
    <col min="5" max="5" width="14.85546875" style="3" bestFit="1" customWidth="1"/>
    <col min="6" max="6" width="10.42578125" style="3" bestFit="1" customWidth="1"/>
    <col min="7" max="7" width="9.140625" style="3"/>
    <col min="8" max="8" width="39.7109375" style="3" bestFit="1" customWidth="1"/>
    <col min="9" max="9" width="16.28515625" style="3" bestFit="1" customWidth="1"/>
    <col min="10" max="10" width="27.5703125" style="3" bestFit="1" customWidth="1"/>
    <col min="11" max="16384" width="9.140625" style="3"/>
  </cols>
  <sheetData>
    <row r="1" spans="1:12" x14ac:dyDescent="0.25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x14ac:dyDescent="0.25">
      <c r="A2" s="3" t="s">
        <v>21</v>
      </c>
      <c r="B2" s="3" t="s">
        <v>48</v>
      </c>
      <c r="C2" s="4" t="s">
        <v>517</v>
      </c>
      <c r="D2" s="12" t="str">
        <f ca="1">CONCATENATE(RIGHT(TEXT(NOW(),"YYMMDDhhmmss"),11))</f>
        <v>60624113402</v>
      </c>
      <c r="E2" s="15" t="str">
        <f ca="1">TEXT(NOW()-1500,"YYYY-MM-DD")</f>
        <v>2022-05-16</v>
      </c>
      <c r="F2" s="15" t="str">
        <f ca="1">TEXT(NOW()-10,"YYYY-MM-DD")</f>
        <v>2026-06-14</v>
      </c>
      <c r="G2" s="2" t="s">
        <v>574</v>
      </c>
      <c r="H2" s="4" t="s">
        <v>590</v>
      </c>
      <c r="I2" s="2" t="s">
        <v>579</v>
      </c>
      <c r="J2" s="3" t="s">
        <v>447</v>
      </c>
      <c r="K2" s="3" t="s">
        <v>8</v>
      </c>
      <c r="L2" s="4" t="s">
        <v>5</v>
      </c>
    </row>
    <row r="3" spans="1:12" x14ac:dyDescent="0.25">
      <c r="A3" s="7"/>
    </row>
    <row r="4" spans="1:12" x14ac:dyDescent="0.25">
      <c r="A4" s="7"/>
    </row>
    <row r="5" spans="1:12" x14ac:dyDescent="0.25">
      <c r="A5" s="7"/>
    </row>
    <row r="6" spans="1:12" x14ac:dyDescent="0.25">
      <c r="A6" s="7"/>
    </row>
    <row r="7" spans="1:12" x14ac:dyDescent="0.25">
      <c r="A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I18" sqref="I18"/>
    </sheetView>
  </sheetViews>
  <sheetFormatPr defaultRowHeight="15" x14ac:dyDescent="0.25"/>
  <cols>
    <col min="1" max="1" width="10.140625" style="3" bestFit="1" customWidth="1"/>
    <col min="2" max="2" width="12.7109375" style="3" bestFit="1" customWidth="1"/>
    <col min="3" max="3" width="9.85546875" style="3" customWidth="1"/>
    <col min="4" max="4" width="8.140625" style="3" customWidth="1"/>
    <col min="5" max="5" width="9" style="3" bestFit="1" customWidth="1"/>
    <col min="6" max="6" width="9.140625" style="3"/>
    <col min="7" max="7" width="11.85546875" style="3" bestFit="1" customWidth="1"/>
    <col min="8" max="8" width="10.42578125" style="3" bestFit="1" customWidth="1"/>
    <col min="9" max="9" width="9.140625" style="3"/>
    <col min="10" max="10" width="41" style="3" bestFit="1" customWidth="1"/>
    <col min="11" max="16384" width="9.140625" style="3"/>
  </cols>
  <sheetData>
    <row r="1" spans="1:11" x14ac:dyDescent="0.25">
      <c r="A1" s="3" t="s">
        <v>77</v>
      </c>
      <c r="B1" s="3" t="s">
        <v>78</v>
      </c>
      <c r="C1" s="3" t="s">
        <v>79</v>
      </c>
      <c r="D1" s="3" t="s">
        <v>80</v>
      </c>
      <c r="E1" s="3" t="s">
        <v>81</v>
      </c>
      <c r="F1" s="3" t="s">
        <v>82</v>
      </c>
      <c r="G1" s="3" t="s">
        <v>74</v>
      </c>
      <c r="H1" s="3" t="s">
        <v>75</v>
      </c>
      <c r="I1" s="4" t="s">
        <v>0</v>
      </c>
      <c r="J1" s="4" t="s">
        <v>9</v>
      </c>
      <c r="K1" s="4" t="s">
        <v>4</v>
      </c>
    </row>
    <row r="2" spans="1:11" x14ac:dyDescent="0.25">
      <c r="A2" s="3" t="s">
        <v>83</v>
      </c>
      <c r="B2" s="3" t="s">
        <v>21</v>
      </c>
      <c r="C2" s="3" t="s">
        <v>520</v>
      </c>
      <c r="D2" s="3" t="s">
        <v>84</v>
      </c>
      <c r="E2" s="4">
        <v>1234</v>
      </c>
      <c r="F2" s="4">
        <v>123456</v>
      </c>
      <c r="G2" s="4" t="s">
        <v>22</v>
      </c>
      <c r="H2" s="4" t="s">
        <v>64</v>
      </c>
      <c r="I2" s="2" t="s">
        <v>572</v>
      </c>
      <c r="J2" s="4" t="s">
        <v>518</v>
      </c>
      <c r="K2" s="4" t="s">
        <v>5</v>
      </c>
    </row>
    <row r="4" spans="1:11" x14ac:dyDescent="0.25">
      <c r="A4" s="7"/>
    </row>
    <row r="5" spans="1:11" x14ac:dyDescent="0.25">
      <c r="A5" s="7"/>
    </row>
    <row r="6" spans="1:11" x14ac:dyDescent="0.25">
      <c r="A6" s="7"/>
    </row>
    <row r="7" spans="1:11" x14ac:dyDescent="0.25">
      <c r="A7" s="7"/>
    </row>
    <row r="8" spans="1:11" x14ac:dyDescent="0.25">
      <c r="A8" s="7"/>
    </row>
    <row r="9" spans="1:11" x14ac:dyDescent="0.25">
      <c r="A9" s="7"/>
    </row>
    <row r="10" spans="1:11" x14ac:dyDescent="0.25">
      <c r="A10" s="7"/>
    </row>
    <row r="11" spans="1:11" x14ac:dyDescent="0.25">
      <c r="A11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8" sqref="B8"/>
    </sheetView>
  </sheetViews>
  <sheetFormatPr defaultRowHeight="15" x14ac:dyDescent="0.25"/>
  <cols>
    <col min="1" max="1" width="20.28515625" style="3" bestFit="1" customWidth="1"/>
    <col min="2" max="16384" width="9.140625" style="3"/>
  </cols>
  <sheetData>
    <row r="1" spans="1:2" x14ac:dyDescent="0.25">
      <c r="A1" s="3" t="s">
        <v>413</v>
      </c>
      <c r="B1" s="3" t="s">
        <v>0</v>
      </c>
    </row>
    <row r="2" spans="1:2" x14ac:dyDescent="0.25">
      <c r="A2" s="3" t="s">
        <v>445</v>
      </c>
      <c r="B2" s="2" t="s">
        <v>572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selection activeCell="G14" sqref="G14"/>
    </sheetView>
  </sheetViews>
  <sheetFormatPr defaultRowHeight="15" x14ac:dyDescent="0.25"/>
  <cols>
    <col min="1" max="1" width="15.140625" style="3" bestFit="1" customWidth="1"/>
    <col min="2" max="2" width="13.140625" style="3" bestFit="1" customWidth="1"/>
    <col min="3" max="3" width="12.85546875" bestFit="1" customWidth="1"/>
    <col min="4" max="4" width="20" bestFit="1" customWidth="1"/>
    <col min="5" max="5" width="14.5703125" bestFit="1" customWidth="1"/>
    <col min="6" max="6" width="20" bestFit="1" customWidth="1"/>
    <col min="7" max="7" width="21.85546875" bestFit="1" customWidth="1"/>
    <col min="8" max="8" width="13.7109375" bestFit="1" customWidth="1"/>
    <col min="9" max="9" width="15.140625" bestFit="1" customWidth="1"/>
    <col min="10" max="10" width="28.7109375" style="3" bestFit="1" customWidth="1"/>
    <col min="11" max="11" width="13.7109375" style="3" bestFit="1" customWidth="1"/>
    <col min="12" max="12" width="11.5703125" style="3" bestFit="1" customWidth="1"/>
    <col min="13" max="13" width="11.140625" style="3" customWidth="1"/>
    <col min="14" max="14" width="18.28515625" style="3" bestFit="1" customWidth="1"/>
    <col min="16" max="16" width="44.42578125" bestFit="1" customWidth="1"/>
    <col min="17" max="17" width="20.28515625" style="3" bestFit="1" customWidth="1"/>
    <col min="18" max="18" width="33.85546875" style="3" bestFit="1" customWidth="1"/>
    <col min="19" max="19" width="15" style="3" customWidth="1"/>
    <col min="20" max="20" width="10.28515625" bestFit="1" customWidth="1"/>
  </cols>
  <sheetData>
    <row r="1" spans="1:20" x14ac:dyDescent="0.25">
      <c r="A1" s="3" t="s">
        <v>10</v>
      </c>
      <c r="B1" s="4" t="s">
        <v>11</v>
      </c>
      <c r="C1" s="1" t="s">
        <v>12</v>
      </c>
      <c r="D1" s="1" t="s">
        <v>13</v>
      </c>
      <c r="E1" s="1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2</v>
      </c>
      <c r="K1" s="4" t="s">
        <v>19</v>
      </c>
      <c r="L1" s="4" t="s">
        <v>20</v>
      </c>
      <c r="M1" s="4" t="s">
        <v>28</v>
      </c>
      <c r="N1" s="4" t="s">
        <v>30</v>
      </c>
      <c r="O1" s="4" t="s">
        <v>0</v>
      </c>
      <c r="P1" s="4" t="s">
        <v>9</v>
      </c>
      <c r="Q1" s="4" t="s">
        <v>527</v>
      </c>
      <c r="R1" s="3" t="s">
        <v>6</v>
      </c>
      <c r="S1" s="3" t="s">
        <v>7</v>
      </c>
      <c r="T1" s="4" t="s">
        <v>4</v>
      </c>
    </row>
    <row r="2" spans="1:20" s="3" customFormat="1" x14ac:dyDescent="0.25">
      <c r="A2" s="12" t="str">
        <f ca="1">CONCATENATE("Auto",TEXT(NOW(),"DDHHMM"))</f>
        <v>Auto241134</v>
      </c>
      <c r="B2" s="4" t="s">
        <v>154</v>
      </c>
      <c r="C2" s="4" t="s">
        <v>1</v>
      </c>
      <c r="D2" s="4">
        <v>1111</v>
      </c>
      <c r="E2" s="4" t="s">
        <v>416</v>
      </c>
      <c r="F2" s="4" t="s">
        <v>22</v>
      </c>
      <c r="G2" s="4" t="s">
        <v>513</v>
      </c>
      <c r="H2" s="4" t="s">
        <v>23</v>
      </c>
      <c r="I2" s="4" t="s">
        <v>25</v>
      </c>
      <c r="J2" s="4" t="s">
        <v>922</v>
      </c>
      <c r="K2" s="4" t="s">
        <v>27</v>
      </c>
      <c r="L2" s="2"/>
      <c r="M2" s="4" t="s">
        <v>29</v>
      </c>
      <c r="N2" s="4" t="s">
        <v>118</v>
      </c>
      <c r="O2" s="2" t="s">
        <v>3</v>
      </c>
      <c r="P2" s="2" t="s">
        <v>533</v>
      </c>
      <c r="Q2" s="9" t="s">
        <v>579</v>
      </c>
      <c r="R2" s="2" t="s">
        <v>285</v>
      </c>
      <c r="S2" s="3" t="s">
        <v>8</v>
      </c>
      <c r="T2" s="4" t="s">
        <v>5</v>
      </c>
    </row>
    <row r="3" spans="1:20" x14ac:dyDescent="0.25">
      <c r="C3" s="5"/>
      <c r="D3" s="5"/>
      <c r="E3" s="5"/>
      <c r="F3" s="5"/>
      <c r="G3" s="5"/>
      <c r="H3" s="5"/>
      <c r="I3" s="6"/>
      <c r="J3" s="6"/>
      <c r="K3" s="6"/>
      <c r="L3" s="6"/>
      <c r="M3" s="6"/>
      <c r="N3" s="6"/>
    </row>
    <row r="4" spans="1:20" x14ac:dyDescent="0.25">
      <c r="C4" s="5"/>
      <c r="D4" s="5"/>
      <c r="E4" s="5"/>
      <c r="F4" s="5"/>
      <c r="G4" s="5"/>
      <c r="H4" s="5"/>
      <c r="I4" s="6"/>
      <c r="J4" s="6"/>
      <c r="K4" s="6"/>
      <c r="L4" s="6"/>
      <c r="M4" s="6"/>
      <c r="N4" s="6"/>
    </row>
    <row r="5" spans="1:20" x14ac:dyDescent="0.25">
      <c r="C5" s="5"/>
      <c r="D5" s="5"/>
      <c r="E5" s="5"/>
      <c r="F5" s="5"/>
      <c r="G5" s="5"/>
      <c r="H5" s="5"/>
      <c r="I5" s="6"/>
      <c r="J5" s="6"/>
      <c r="K5" s="6"/>
      <c r="L5" s="6"/>
      <c r="M5" s="6"/>
      <c r="N5" s="6"/>
    </row>
    <row r="6" spans="1:20" x14ac:dyDescent="0.25">
      <c r="C6" s="5"/>
      <c r="D6" s="5"/>
      <c r="E6" s="5"/>
      <c r="F6" s="5"/>
      <c r="G6" s="5"/>
      <c r="H6" s="5"/>
      <c r="I6" s="6"/>
      <c r="J6" s="6"/>
      <c r="K6" s="6"/>
      <c r="L6" s="6"/>
      <c r="M6" s="6"/>
      <c r="N6" s="6"/>
    </row>
    <row r="7" spans="1:20" x14ac:dyDescent="0.25">
      <c r="C7" s="5"/>
      <c r="D7" s="5"/>
      <c r="E7" s="5"/>
      <c r="F7" s="5"/>
      <c r="G7" s="5"/>
      <c r="H7" s="5"/>
      <c r="I7" s="6"/>
      <c r="J7" s="6"/>
      <c r="K7" s="6"/>
      <c r="L7" s="6"/>
      <c r="M7" s="6"/>
      <c r="N7" s="6"/>
    </row>
    <row r="8" spans="1:20" x14ac:dyDescent="0.25">
      <c r="C8" s="5"/>
      <c r="D8" s="5"/>
      <c r="E8" s="5"/>
      <c r="F8" s="5"/>
      <c r="G8" s="5"/>
      <c r="H8" s="5"/>
      <c r="I8" s="6"/>
      <c r="J8" s="6"/>
      <c r="K8" s="6"/>
      <c r="L8" s="6"/>
      <c r="M8" s="6"/>
      <c r="N8" s="6"/>
    </row>
    <row r="9" spans="1:20" x14ac:dyDescent="0.25">
      <c r="C9" s="5"/>
      <c r="D9" s="5"/>
      <c r="E9" s="5"/>
      <c r="F9" s="5"/>
      <c r="G9" s="5"/>
      <c r="H9" s="5"/>
      <c r="I9" s="6"/>
      <c r="J9" s="6"/>
      <c r="K9" s="6"/>
      <c r="L9" s="6"/>
      <c r="M9" s="6"/>
      <c r="N9" s="6"/>
    </row>
    <row r="10" spans="1:20" x14ac:dyDescent="0.25">
      <c r="C10" s="5"/>
      <c r="D10" s="5"/>
      <c r="E10" s="5"/>
      <c r="F10" s="5"/>
      <c r="G10" s="5"/>
      <c r="H10" s="5"/>
      <c r="I10" s="6"/>
      <c r="J10" s="6"/>
      <c r="K10" s="6"/>
      <c r="L10" s="6"/>
      <c r="M10" s="6"/>
      <c r="N10" s="6"/>
    </row>
    <row r="11" spans="1:20" x14ac:dyDescent="0.25">
      <c r="C11" s="5"/>
      <c r="D11" s="5"/>
      <c r="E11" s="5"/>
      <c r="F11" s="5"/>
      <c r="G11" s="5"/>
      <c r="H11" s="5"/>
      <c r="I11" s="6"/>
      <c r="J11" s="6"/>
      <c r="K11" s="6"/>
      <c r="L11" s="6"/>
      <c r="M11" s="6"/>
      <c r="N11" s="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opLeftCell="G1" workbookViewId="0">
      <selection activeCell="O19" sqref="O19"/>
    </sheetView>
  </sheetViews>
  <sheetFormatPr defaultRowHeight="15" x14ac:dyDescent="0.25"/>
  <cols>
    <col min="16" max="16" width="67.7109375" bestFit="1" customWidth="1"/>
    <col min="17" max="17" width="16.28515625" bestFit="1" customWidth="1"/>
    <col min="18" max="18" width="30.7109375" bestFit="1" customWidth="1"/>
  </cols>
  <sheetData>
    <row r="1" spans="1:20" x14ac:dyDescent="0.25">
      <c r="A1" s="3" t="s">
        <v>10</v>
      </c>
      <c r="B1" s="4" t="s">
        <v>11</v>
      </c>
      <c r="C1" s="1" t="s">
        <v>12</v>
      </c>
      <c r="D1" s="1" t="s">
        <v>13</v>
      </c>
      <c r="E1" s="1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2</v>
      </c>
      <c r="K1" s="4" t="s">
        <v>19</v>
      </c>
      <c r="L1" s="4" t="s">
        <v>20</v>
      </c>
      <c r="M1" s="4" t="s">
        <v>28</v>
      </c>
      <c r="N1" s="4" t="s">
        <v>30</v>
      </c>
      <c r="O1" s="4" t="s">
        <v>0</v>
      </c>
      <c r="P1" s="4" t="s">
        <v>9</v>
      </c>
      <c r="Q1" s="4" t="s">
        <v>527</v>
      </c>
      <c r="R1" s="3" t="s">
        <v>6</v>
      </c>
      <c r="S1" s="3" t="s">
        <v>7</v>
      </c>
      <c r="T1" s="4" t="s">
        <v>4</v>
      </c>
    </row>
    <row r="2" spans="1:20" x14ac:dyDescent="0.25">
      <c r="A2" s="12"/>
      <c r="B2" s="4" t="s">
        <v>154</v>
      </c>
      <c r="C2" s="4" t="s">
        <v>1</v>
      </c>
      <c r="D2" s="4">
        <v>1111</v>
      </c>
      <c r="E2" s="4" t="s">
        <v>416</v>
      </c>
      <c r="F2" s="4" t="s">
        <v>22</v>
      </c>
      <c r="G2" s="4" t="s">
        <v>513</v>
      </c>
      <c r="H2" s="4" t="s">
        <v>23</v>
      </c>
      <c r="I2" s="4" t="s">
        <v>25</v>
      </c>
      <c r="J2" s="4" t="s">
        <v>26</v>
      </c>
      <c r="K2" s="4" t="s">
        <v>27</v>
      </c>
      <c r="L2" s="2"/>
      <c r="M2" s="4" t="s">
        <v>29</v>
      </c>
      <c r="N2" s="4" t="s">
        <v>118</v>
      </c>
      <c r="O2" s="2" t="s">
        <v>543</v>
      </c>
      <c r="P2" s="2" t="s">
        <v>529</v>
      </c>
      <c r="Q2" s="2" t="s">
        <v>579</v>
      </c>
      <c r="R2" s="2" t="s">
        <v>534</v>
      </c>
      <c r="S2" s="3" t="s">
        <v>526</v>
      </c>
      <c r="T2" s="4" t="s">
        <v>5</v>
      </c>
    </row>
    <row r="3" spans="1:20" x14ac:dyDescent="0.25">
      <c r="A3" s="12" t="str">
        <f ca="1">CONCATENATE("Auto",TEXT(NOW(),"DDHHMM"))</f>
        <v>Auto241134</v>
      </c>
      <c r="B3" s="4"/>
      <c r="C3" s="4" t="s">
        <v>1</v>
      </c>
      <c r="D3" s="4">
        <v>1111</v>
      </c>
      <c r="E3" s="4" t="s">
        <v>416</v>
      </c>
      <c r="F3" s="4" t="s">
        <v>22</v>
      </c>
      <c r="G3" s="4" t="s">
        <v>513</v>
      </c>
      <c r="H3" s="4" t="s">
        <v>23</v>
      </c>
      <c r="I3" s="4" t="s">
        <v>25</v>
      </c>
      <c r="J3" s="4" t="s">
        <v>26</v>
      </c>
      <c r="K3" s="4" t="s">
        <v>27</v>
      </c>
      <c r="L3" s="2"/>
      <c r="M3" s="4" t="s">
        <v>29</v>
      </c>
      <c r="N3" s="4" t="s">
        <v>118</v>
      </c>
      <c r="O3" s="2" t="s">
        <v>410</v>
      </c>
      <c r="P3" s="2" t="s">
        <v>530</v>
      </c>
      <c r="Q3" s="4" t="s">
        <v>528</v>
      </c>
      <c r="R3" s="2" t="s">
        <v>579</v>
      </c>
      <c r="S3" s="3" t="s">
        <v>526</v>
      </c>
      <c r="T3" s="4" t="s">
        <v>5</v>
      </c>
    </row>
    <row r="4" spans="1:20" x14ac:dyDescent="0.25">
      <c r="A4" s="12" t="str">
        <f ca="1">CONCATENATE("Auto",TEXT(NOW(),"DDHHMM"))</f>
        <v>Auto241134</v>
      </c>
      <c r="B4" s="4" t="s">
        <v>154</v>
      </c>
      <c r="C4" s="4"/>
      <c r="D4" s="4">
        <v>1111</v>
      </c>
      <c r="E4" s="4" t="s">
        <v>416</v>
      </c>
      <c r="F4" s="4" t="s">
        <v>22</v>
      </c>
      <c r="G4" s="4" t="s">
        <v>513</v>
      </c>
      <c r="H4" s="4" t="s">
        <v>23</v>
      </c>
      <c r="I4" s="4" t="s">
        <v>25</v>
      </c>
      <c r="J4" s="4" t="s">
        <v>26</v>
      </c>
      <c r="K4" s="4" t="s">
        <v>27</v>
      </c>
      <c r="L4" s="2"/>
      <c r="M4" s="4" t="s">
        <v>29</v>
      </c>
      <c r="N4" s="4" t="s">
        <v>118</v>
      </c>
      <c r="O4" s="2" t="s">
        <v>544</v>
      </c>
      <c r="P4" s="2" t="s">
        <v>531</v>
      </c>
      <c r="Q4" s="4" t="s">
        <v>528</v>
      </c>
      <c r="R4" s="2" t="s">
        <v>579</v>
      </c>
      <c r="S4" s="3" t="s">
        <v>526</v>
      </c>
      <c r="T4" s="4" t="s">
        <v>5</v>
      </c>
    </row>
    <row r="5" spans="1:20" x14ac:dyDescent="0.25">
      <c r="A5" s="12" t="str">
        <f ca="1">CONCATENATE("Auto",TEXT(NOW(),"DDHHMM"))</f>
        <v>Auto241134</v>
      </c>
      <c r="B5" s="4" t="s">
        <v>154</v>
      </c>
      <c r="C5" s="4" t="s">
        <v>1</v>
      </c>
      <c r="D5" s="4">
        <v>1111</v>
      </c>
      <c r="E5" s="4" t="s">
        <v>416</v>
      </c>
      <c r="F5" s="4"/>
      <c r="G5" s="4" t="s">
        <v>513</v>
      </c>
      <c r="H5" s="4" t="s">
        <v>23</v>
      </c>
      <c r="I5" s="4" t="s">
        <v>25</v>
      </c>
      <c r="J5" s="4" t="s">
        <v>26</v>
      </c>
      <c r="K5" s="4" t="s">
        <v>27</v>
      </c>
      <c r="L5" s="2"/>
      <c r="M5" s="4" t="s">
        <v>29</v>
      </c>
      <c r="N5" s="4" t="s">
        <v>118</v>
      </c>
      <c r="O5" s="2" t="s">
        <v>545</v>
      </c>
      <c r="P5" s="2" t="s">
        <v>532</v>
      </c>
      <c r="Q5" s="4" t="s">
        <v>528</v>
      </c>
      <c r="R5" s="2" t="s">
        <v>579</v>
      </c>
      <c r="S5" s="3" t="s">
        <v>526</v>
      </c>
      <c r="T5" s="4" t="s">
        <v>5</v>
      </c>
    </row>
    <row r="6" spans="1:20" x14ac:dyDescent="0.25">
      <c r="A6" s="12" t="s">
        <v>525</v>
      </c>
      <c r="B6" s="4" t="s">
        <v>154</v>
      </c>
      <c r="C6" s="4" t="s">
        <v>1</v>
      </c>
      <c r="D6" s="4">
        <v>1111</v>
      </c>
      <c r="E6" s="4" t="s">
        <v>416</v>
      </c>
      <c r="F6" s="4" t="s">
        <v>22</v>
      </c>
      <c r="G6" s="4" t="s">
        <v>513</v>
      </c>
      <c r="H6" s="4" t="s">
        <v>23</v>
      </c>
      <c r="I6" s="4" t="s">
        <v>25</v>
      </c>
      <c r="J6" s="4" t="s">
        <v>26</v>
      </c>
      <c r="K6" s="4" t="s">
        <v>27</v>
      </c>
      <c r="L6" s="2"/>
      <c r="M6" s="4" t="s">
        <v>29</v>
      </c>
      <c r="N6" s="4" t="s">
        <v>118</v>
      </c>
      <c r="O6" s="2" t="s">
        <v>546</v>
      </c>
      <c r="P6" s="2" t="s">
        <v>547</v>
      </c>
      <c r="Q6" s="2" t="s">
        <v>579</v>
      </c>
      <c r="R6" s="2" t="s">
        <v>535</v>
      </c>
      <c r="S6" s="3" t="s">
        <v>526</v>
      </c>
      <c r="T6" s="4" t="s">
        <v>5</v>
      </c>
    </row>
    <row r="7" spans="1:20" x14ac:dyDescent="0.25">
      <c r="A7" s="12" t="str">
        <f ca="1">CONCATENATE("Auto",TEXT(NOW(),"DDHHMM"))</f>
        <v>Auto241134</v>
      </c>
      <c r="B7" s="4" t="s">
        <v>154</v>
      </c>
      <c r="C7" s="4" t="s">
        <v>1</v>
      </c>
      <c r="D7" s="4">
        <v>1111</v>
      </c>
      <c r="E7" s="4" t="s">
        <v>416</v>
      </c>
      <c r="F7" s="4" t="s">
        <v>22</v>
      </c>
      <c r="G7" s="4" t="s">
        <v>513</v>
      </c>
      <c r="H7" s="4" t="s">
        <v>23</v>
      </c>
      <c r="I7" s="4" t="s">
        <v>25</v>
      </c>
      <c r="J7" s="4" t="s">
        <v>26</v>
      </c>
      <c r="K7" s="4" t="s">
        <v>27</v>
      </c>
      <c r="L7" s="2"/>
      <c r="M7" s="4" t="s">
        <v>29</v>
      </c>
      <c r="N7" s="4" t="s">
        <v>118</v>
      </c>
      <c r="O7" s="2" t="s">
        <v>3</v>
      </c>
      <c r="P7" s="2" t="s">
        <v>533</v>
      </c>
      <c r="Q7" s="9" t="s">
        <v>579</v>
      </c>
      <c r="R7" s="2" t="s">
        <v>285</v>
      </c>
      <c r="S7" s="3" t="s">
        <v>8</v>
      </c>
      <c r="T7" s="4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activeCell="J2" sqref="J2"/>
    </sheetView>
  </sheetViews>
  <sheetFormatPr defaultRowHeight="15" x14ac:dyDescent="0.25"/>
  <cols>
    <col min="1" max="1" width="17" bestFit="1" customWidth="1"/>
    <col min="2" max="2" width="11.7109375" bestFit="1" customWidth="1"/>
    <col min="3" max="3" width="18.28515625" bestFit="1" customWidth="1"/>
    <col min="4" max="4" width="10.140625" bestFit="1" customWidth="1"/>
    <col min="7" max="10" width="12" bestFit="1" customWidth="1"/>
    <col min="12" max="13" width="23" bestFit="1" customWidth="1"/>
    <col min="15" max="15" width="11.42578125" bestFit="1" customWidth="1"/>
    <col min="17" max="17" width="22" bestFit="1" customWidth="1"/>
  </cols>
  <sheetData>
    <row r="1" spans="1:18" x14ac:dyDescent="0.25">
      <c r="A1" s="1" t="s">
        <v>31</v>
      </c>
      <c r="B1" s="1" t="s">
        <v>32</v>
      </c>
      <c r="C1" s="1" t="s">
        <v>33</v>
      </c>
      <c r="D1" s="3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4" t="s">
        <v>0</v>
      </c>
      <c r="Q1" s="4" t="s">
        <v>9</v>
      </c>
      <c r="R1" s="4" t="s">
        <v>4</v>
      </c>
    </row>
    <row r="2" spans="1:18" x14ac:dyDescent="0.25">
      <c r="A2" s="4" t="s">
        <v>47</v>
      </c>
      <c r="B2" s="4" t="s">
        <v>48</v>
      </c>
      <c r="C2" s="4" t="s">
        <v>49</v>
      </c>
      <c r="D2" s="4">
        <v>1234</v>
      </c>
      <c r="E2" s="4" t="s">
        <v>754</v>
      </c>
      <c r="F2" s="4" t="s">
        <v>51</v>
      </c>
      <c r="G2" s="4" t="s">
        <v>522</v>
      </c>
      <c r="H2" s="4" t="s">
        <v>522</v>
      </c>
      <c r="I2" s="13" t="str">
        <f ca="1">CONCATENATE(RIGHT(TEXT(NOW(),"YYMMDDhhmmss"),11))</f>
        <v>60624113402</v>
      </c>
      <c r="J2" s="13" t="str">
        <f ca="1">CONCATENATE(RIGHT(TEXT(NOW(),"YYMMDDhhmmss"),11))</f>
        <v>60624113402</v>
      </c>
      <c r="K2" s="4">
        <v>1234</v>
      </c>
      <c r="L2" s="4" t="s">
        <v>52</v>
      </c>
      <c r="M2" s="4" t="s">
        <v>52</v>
      </c>
      <c r="N2" s="4">
        <v>111</v>
      </c>
      <c r="O2" s="4">
        <v>1234</v>
      </c>
      <c r="P2" s="2" t="s">
        <v>572</v>
      </c>
      <c r="Q2" s="4" t="s">
        <v>46</v>
      </c>
      <c r="R2" s="4" t="s">
        <v>5</v>
      </c>
    </row>
    <row r="4" spans="1:18" x14ac:dyDescent="0.25">
      <c r="A4" s="5"/>
    </row>
    <row r="5" spans="1:18" x14ac:dyDescent="0.25">
      <c r="A5" s="5"/>
    </row>
    <row r="6" spans="1:18" x14ac:dyDescent="0.25">
      <c r="A6" s="5"/>
    </row>
    <row r="7" spans="1:18" x14ac:dyDescent="0.25">
      <c r="A7" s="5"/>
    </row>
    <row r="8" spans="1:18" x14ac:dyDescent="0.25">
      <c r="A8" s="5"/>
    </row>
    <row r="9" spans="1:18" x14ac:dyDescent="0.25">
      <c r="A9" s="5"/>
    </row>
    <row r="10" spans="1:18" x14ac:dyDescent="0.25">
      <c r="A10" s="5"/>
    </row>
    <row r="11" spans="1:18" x14ac:dyDescent="0.25">
      <c r="A11" s="5"/>
    </row>
    <row r="12" spans="1:18" x14ac:dyDescent="0.25">
      <c r="A12" s="5"/>
    </row>
    <row r="13" spans="1:18" x14ac:dyDescent="0.25">
      <c r="A13" s="5"/>
    </row>
    <row r="14" spans="1:18" x14ac:dyDescent="0.25">
      <c r="A14" s="5"/>
    </row>
    <row r="15" spans="1:18" x14ac:dyDescent="0.25">
      <c r="A15" s="5"/>
    </row>
    <row r="16" spans="1:18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I18" sqref="I18"/>
    </sheetView>
  </sheetViews>
  <sheetFormatPr defaultRowHeight="15" x14ac:dyDescent="0.25"/>
  <cols>
    <col min="2" max="2" width="44.42578125" bestFit="1" customWidth="1"/>
    <col min="3" max="3" width="10.28515625" bestFit="1" customWidth="1"/>
    <col min="4" max="4" width="19.28515625" bestFit="1" customWidth="1"/>
  </cols>
  <sheetData>
    <row r="1" spans="1:5" x14ac:dyDescent="0.25">
      <c r="A1" s="4" t="s">
        <v>0</v>
      </c>
      <c r="B1" s="4" t="s">
        <v>9</v>
      </c>
      <c r="C1" s="4" t="s">
        <v>4</v>
      </c>
      <c r="D1" s="3" t="s">
        <v>6</v>
      </c>
      <c r="E1" s="3" t="s">
        <v>7</v>
      </c>
    </row>
    <row r="2" spans="1:5" x14ac:dyDescent="0.25">
      <c r="A2" s="2" t="s">
        <v>572</v>
      </c>
      <c r="B2" s="2" t="s">
        <v>504</v>
      </c>
      <c r="C2" s="4" t="s">
        <v>5</v>
      </c>
      <c r="D2" s="4" t="s">
        <v>285</v>
      </c>
      <c r="E2" s="3" t="s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opLeftCell="C1" workbookViewId="0">
      <selection activeCell="E2" sqref="E2"/>
    </sheetView>
  </sheetViews>
  <sheetFormatPr defaultRowHeight="15" x14ac:dyDescent="0.25"/>
  <cols>
    <col min="1" max="1" width="17" bestFit="1" customWidth="1"/>
    <col min="2" max="2" width="11.7109375" bestFit="1" customWidth="1"/>
    <col min="3" max="3" width="18.28515625" bestFit="1" customWidth="1"/>
    <col min="4" max="4" width="10.140625" bestFit="1" customWidth="1"/>
    <col min="7" max="10" width="12" bestFit="1" customWidth="1"/>
    <col min="12" max="13" width="23" bestFit="1" customWidth="1"/>
    <col min="15" max="15" width="11.42578125" bestFit="1" customWidth="1"/>
    <col min="17" max="17" width="23.42578125" bestFit="1" customWidth="1"/>
    <col min="18" max="18" width="10.28515625" bestFit="1" customWidth="1"/>
  </cols>
  <sheetData>
    <row r="1" spans="1:18" x14ac:dyDescent="0.25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4" t="s">
        <v>0</v>
      </c>
      <c r="Q1" s="4" t="s">
        <v>9</v>
      </c>
      <c r="R1" s="4" t="s">
        <v>4</v>
      </c>
    </row>
    <row r="2" spans="1:18" x14ac:dyDescent="0.25">
      <c r="A2" s="4" t="s">
        <v>47</v>
      </c>
      <c r="B2" s="4" t="s">
        <v>48</v>
      </c>
      <c r="C2" s="4" t="s">
        <v>49</v>
      </c>
      <c r="D2" s="4">
        <v>1234</v>
      </c>
      <c r="E2" s="4" t="s">
        <v>754</v>
      </c>
      <c r="F2" s="4" t="s">
        <v>169</v>
      </c>
      <c r="G2" s="4" t="s">
        <v>54</v>
      </c>
      <c r="H2" s="4" t="s">
        <v>54</v>
      </c>
      <c r="I2" s="13" t="str">
        <f ca="1">CONCATENATE(RIGHT(TEXT(NOW(),"YYMMDDhhmmss"),11))</f>
        <v>60624113402</v>
      </c>
      <c r="J2" s="13" t="str">
        <f ca="1">CONCATENATE(RIGHT(TEXT(NOW(),"YYMMDDhhmmss"),11))</f>
        <v>60624113402</v>
      </c>
      <c r="K2" s="4">
        <v>1234</v>
      </c>
      <c r="L2" s="4" t="s">
        <v>52</v>
      </c>
      <c r="M2" s="4" t="s">
        <v>52</v>
      </c>
      <c r="N2" s="4">
        <v>111</v>
      </c>
      <c r="O2" s="4">
        <v>1234</v>
      </c>
      <c r="P2" s="2" t="s">
        <v>572</v>
      </c>
      <c r="Q2" s="4" t="s">
        <v>55</v>
      </c>
      <c r="R2" s="4" t="s">
        <v>5</v>
      </c>
    </row>
    <row r="4" spans="1:18" x14ac:dyDescent="0.25">
      <c r="A4" s="5"/>
    </row>
    <row r="5" spans="1:18" x14ac:dyDescent="0.25">
      <c r="A5" s="5"/>
    </row>
    <row r="6" spans="1:18" x14ac:dyDescent="0.25">
      <c r="A6" s="5"/>
    </row>
    <row r="7" spans="1:18" x14ac:dyDescent="0.25">
      <c r="A7" s="5"/>
    </row>
    <row r="8" spans="1:18" x14ac:dyDescent="0.25">
      <c r="A8" s="5"/>
    </row>
    <row r="9" spans="1:18" x14ac:dyDescent="0.25">
      <c r="A9" s="5"/>
    </row>
    <row r="10" spans="1:18" x14ac:dyDescent="0.25">
      <c r="A10" s="5"/>
    </row>
    <row r="11" spans="1:18" x14ac:dyDescent="0.25">
      <c r="A11" s="5"/>
    </row>
    <row r="12" spans="1:18" x14ac:dyDescent="0.25">
      <c r="A12" s="5"/>
    </row>
    <row r="13" spans="1:18" x14ac:dyDescent="0.25">
      <c r="A13" s="5"/>
    </row>
    <row r="14" spans="1:18" x14ac:dyDescent="0.25">
      <c r="A14" s="5"/>
    </row>
    <row r="15" spans="1:18" x14ac:dyDescent="0.25">
      <c r="A15" s="5"/>
    </row>
    <row r="16" spans="1:18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H5" sqref="H5:H7"/>
    </sheetView>
  </sheetViews>
  <sheetFormatPr defaultRowHeight="15" x14ac:dyDescent="0.25"/>
  <cols>
    <col min="2" max="2" width="23.42578125" bestFit="1" customWidth="1"/>
    <col min="3" max="3" width="10.28515625" bestFit="1" customWidth="1"/>
    <col min="4" max="4" width="19.28515625" bestFit="1" customWidth="1"/>
  </cols>
  <sheetData>
    <row r="1" spans="1:5" x14ac:dyDescent="0.25">
      <c r="A1" s="4" t="s">
        <v>0</v>
      </c>
      <c r="B1" s="4" t="s">
        <v>9</v>
      </c>
      <c r="C1" s="4" t="s">
        <v>4</v>
      </c>
      <c r="D1" s="3" t="s">
        <v>6</v>
      </c>
      <c r="E1" s="3" t="s">
        <v>7</v>
      </c>
    </row>
    <row r="2" spans="1:5" x14ac:dyDescent="0.25">
      <c r="A2" s="2" t="s">
        <v>572</v>
      </c>
      <c r="B2" s="4" t="s">
        <v>505</v>
      </c>
      <c r="C2" s="4" t="s">
        <v>5</v>
      </c>
      <c r="D2" s="4" t="s">
        <v>285</v>
      </c>
      <c r="E2" s="3" t="s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opLeftCell="H1" workbookViewId="0">
      <selection activeCell="Q21" sqref="Q21"/>
    </sheetView>
  </sheetViews>
  <sheetFormatPr defaultRowHeight="15" x14ac:dyDescent="0.25"/>
  <cols>
    <col min="1" max="1" width="17" style="3" bestFit="1" customWidth="1"/>
    <col min="2" max="2" width="11.7109375" style="3" bestFit="1" customWidth="1"/>
    <col min="3" max="3" width="18.28515625" style="3" bestFit="1" customWidth="1"/>
    <col min="4" max="6" width="9.140625" style="3"/>
    <col min="7" max="10" width="12" style="3" bestFit="1" customWidth="1"/>
    <col min="11" max="11" width="9.140625" style="3"/>
    <col min="12" max="13" width="23" style="3" bestFit="1" customWidth="1"/>
    <col min="14" max="14" width="9.140625" style="3"/>
    <col min="15" max="15" width="11.42578125" style="3" bestFit="1" customWidth="1"/>
    <col min="16" max="16" width="9.140625" style="3"/>
    <col min="17" max="17" width="38" style="3" bestFit="1" customWidth="1"/>
    <col min="18" max="18" width="16.28515625" style="3" bestFit="1" customWidth="1"/>
    <col min="19" max="19" width="19.28515625" style="3" bestFit="1" customWidth="1"/>
    <col min="20" max="20" width="16.28515625" style="3" customWidth="1"/>
    <col min="21" max="21" width="10.28515625" style="3" bestFit="1" customWidth="1"/>
    <col min="22" max="16384" width="9.140625" style="3"/>
  </cols>
  <sheetData>
    <row r="1" spans="1:21" x14ac:dyDescent="0.25">
      <c r="A1" s="1" t="s">
        <v>31</v>
      </c>
      <c r="B1" s="1" t="s">
        <v>32</v>
      </c>
      <c r="C1" s="1" t="s">
        <v>33</v>
      </c>
      <c r="D1" s="3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4" t="s">
        <v>0</v>
      </c>
      <c r="Q1" s="4" t="s">
        <v>9</v>
      </c>
      <c r="R1" s="4" t="s">
        <v>527</v>
      </c>
      <c r="S1" s="3" t="s">
        <v>6</v>
      </c>
      <c r="T1" s="3" t="s">
        <v>7</v>
      </c>
      <c r="U1" s="4" t="s">
        <v>4</v>
      </c>
    </row>
    <row r="2" spans="1:21" x14ac:dyDescent="0.25">
      <c r="A2" s="4"/>
      <c r="B2" s="4" t="s">
        <v>48</v>
      </c>
      <c r="C2" s="4" t="s">
        <v>49</v>
      </c>
      <c r="D2" s="4">
        <v>1234</v>
      </c>
      <c r="E2" s="4" t="s">
        <v>754</v>
      </c>
      <c r="F2" s="4" t="s">
        <v>177</v>
      </c>
      <c r="G2" s="4" t="s">
        <v>521</v>
      </c>
      <c r="H2" s="4" t="s">
        <v>521</v>
      </c>
      <c r="I2" s="13" t="str">
        <f ca="1">CONCATENATE(RIGHT(TEXT(NOW(),"YYMMDDhhmmss"),11))</f>
        <v>60624113402</v>
      </c>
      <c r="J2" s="13" t="str">
        <f ca="1">CONCATENATE(RIGHT(TEXT(NOW(),"YYMMDDhhmmss"),11))</f>
        <v>60624113402</v>
      </c>
      <c r="K2" s="4">
        <v>1234</v>
      </c>
      <c r="L2" s="4" t="s">
        <v>52</v>
      </c>
      <c r="M2" s="4" t="s">
        <v>52</v>
      </c>
      <c r="N2" s="4">
        <v>111</v>
      </c>
      <c r="O2" s="4">
        <v>1234</v>
      </c>
      <c r="P2" s="2" t="s">
        <v>573</v>
      </c>
      <c r="Q2" s="4" t="s">
        <v>537</v>
      </c>
      <c r="R2" s="4" t="s">
        <v>528</v>
      </c>
      <c r="S2" s="2" t="s">
        <v>579</v>
      </c>
      <c r="T2" s="4" t="s">
        <v>526</v>
      </c>
      <c r="U2" s="4" t="s">
        <v>5</v>
      </c>
    </row>
    <row r="3" spans="1:21" x14ac:dyDescent="0.25">
      <c r="A3" s="4" t="s">
        <v>47</v>
      </c>
      <c r="B3" s="4"/>
      <c r="C3" s="4" t="s">
        <v>49</v>
      </c>
      <c r="D3" s="4" t="s">
        <v>318</v>
      </c>
      <c r="E3" s="4" t="s">
        <v>754</v>
      </c>
      <c r="F3" s="4" t="s">
        <v>177</v>
      </c>
      <c r="G3" s="4" t="s">
        <v>521</v>
      </c>
      <c r="H3" s="4" t="s">
        <v>521</v>
      </c>
      <c r="I3" s="13" t="str">
        <f ca="1">CONCATENATE(RIGHT(TEXT(NOW(),"YYMMDDhhmmss"),11))</f>
        <v>60624113402</v>
      </c>
      <c r="J3" s="13" t="str">
        <f ca="1">CONCATENATE(RIGHT(TEXT(NOW(),"YYMMDDhhmmss"),11))</f>
        <v>60624113402</v>
      </c>
      <c r="K3" s="4" t="s">
        <v>318</v>
      </c>
      <c r="L3" s="4" t="s">
        <v>52</v>
      </c>
      <c r="M3" s="4" t="s">
        <v>52</v>
      </c>
      <c r="N3" s="4">
        <v>111</v>
      </c>
      <c r="O3" s="4">
        <v>1234</v>
      </c>
      <c r="P3" s="2" t="s">
        <v>574</v>
      </c>
      <c r="Q3" s="4" t="s">
        <v>538</v>
      </c>
      <c r="R3" s="4" t="s">
        <v>528</v>
      </c>
      <c r="S3" s="2" t="s">
        <v>579</v>
      </c>
      <c r="T3" s="4" t="s">
        <v>526</v>
      </c>
      <c r="U3" s="4" t="s">
        <v>5</v>
      </c>
    </row>
    <row r="4" spans="1:21" x14ac:dyDescent="0.25">
      <c r="A4" s="4" t="s">
        <v>47</v>
      </c>
      <c r="B4" s="4" t="s">
        <v>48</v>
      </c>
      <c r="C4" s="4" t="s">
        <v>49</v>
      </c>
      <c r="D4" s="4">
        <v>1234</v>
      </c>
      <c r="E4" s="4" t="s">
        <v>754</v>
      </c>
      <c r="F4" s="4" t="s">
        <v>177</v>
      </c>
      <c r="G4" s="4" t="s">
        <v>521</v>
      </c>
      <c r="H4" s="4" t="s">
        <v>521</v>
      </c>
      <c r="I4" s="13"/>
      <c r="J4" s="13" t="str">
        <f ca="1">CONCATENATE(RIGHT(TEXT(NOW(),"YYMMDDhhmmss"),11))</f>
        <v>60624113402</v>
      </c>
      <c r="K4" s="4">
        <v>1234</v>
      </c>
      <c r="L4" s="4" t="s">
        <v>52</v>
      </c>
      <c r="M4" s="4" t="s">
        <v>52</v>
      </c>
      <c r="N4" s="4">
        <v>111</v>
      </c>
      <c r="O4" s="4">
        <v>1234</v>
      </c>
      <c r="P4" s="2" t="s">
        <v>575</v>
      </c>
      <c r="Q4" s="4" t="s">
        <v>540</v>
      </c>
      <c r="R4" s="4" t="s">
        <v>528</v>
      </c>
      <c r="S4" s="2" t="s">
        <v>579</v>
      </c>
      <c r="T4" s="4" t="s">
        <v>526</v>
      </c>
      <c r="U4" s="4" t="s">
        <v>5</v>
      </c>
    </row>
    <row r="5" spans="1:21" x14ac:dyDescent="0.25">
      <c r="A5" s="4" t="s">
        <v>47</v>
      </c>
      <c r="B5" s="4" t="s">
        <v>48</v>
      </c>
      <c r="C5" s="4" t="s">
        <v>49</v>
      </c>
      <c r="D5" s="4">
        <v>1234</v>
      </c>
      <c r="E5" s="4" t="s">
        <v>754</v>
      </c>
      <c r="F5" s="4" t="s">
        <v>177</v>
      </c>
      <c r="G5" s="4" t="s">
        <v>521</v>
      </c>
      <c r="H5" s="4" t="s">
        <v>521</v>
      </c>
      <c r="I5" s="13" t="str">
        <f ca="1">CONCATENATE(RIGHT(TEXT(NOW(),"YYMMDDhhmmss"),10))</f>
        <v>0624113402</v>
      </c>
      <c r="J5" s="13" t="str">
        <f ca="1">CONCATENATE(RIGHT(TEXT(NOW(),"YYMMDDhhmmss"),11))</f>
        <v>60624113402</v>
      </c>
      <c r="K5" s="4">
        <v>1234</v>
      </c>
      <c r="L5" s="4" t="s">
        <v>52</v>
      </c>
      <c r="M5" s="4" t="s">
        <v>52</v>
      </c>
      <c r="N5" s="4">
        <v>111</v>
      </c>
      <c r="O5" s="4">
        <v>1234</v>
      </c>
      <c r="P5" s="2" t="s">
        <v>576</v>
      </c>
      <c r="Q5" s="4" t="s">
        <v>541</v>
      </c>
      <c r="R5" s="4" t="s">
        <v>536</v>
      </c>
      <c r="S5" s="2" t="s">
        <v>579</v>
      </c>
      <c r="T5" s="4" t="s">
        <v>526</v>
      </c>
      <c r="U5" s="4" t="s">
        <v>5</v>
      </c>
    </row>
    <row r="6" spans="1:21" x14ac:dyDescent="0.25">
      <c r="A6" s="4" t="s">
        <v>47</v>
      </c>
      <c r="B6" s="4" t="s">
        <v>48</v>
      </c>
      <c r="C6" s="4" t="s">
        <v>49</v>
      </c>
      <c r="D6" s="4">
        <v>1234</v>
      </c>
      <c r="E6" s="4" t="s">
        <v>754</v>
      </c>
      <c r="F6" s="4" t="s">
        <v>177</v>
      </c>
      <c r="G6" s="4" t="s">
        <v>521</v>
      </c>
      <c r="H6" s="4" t="s">
        <v>521</v>
      </c>
      <c r="I6" s="13" t="str">
        <f ca="1">CONCATENATE(RIGHT(TEXT(NOW(),"YYMMDDhhmmss"),11))</f>
        <v>60624113402</v>
      </c>
      <c r="J6" s="13" t="str">
        <f ca="1">CONCATENATE(RIGHT(TEXT(NOW(),"YYMMDDhhmmss"),11))</f>
        <v>60624113402</v>
      </c>
      <c r="K6" s="4">
        <v>1234</v>
      </c>
      <c r="L6" s="4" t="s">
        <v>52</v>
      </c>
      <c r="M6" s="4" t="s">
        <v>52</v>
      </c>
      <c r="N6" s="4">
        <v>111</v>
      </c>
      <c r="O6" s="4">
        <v>1234</v>
      </c>
      <c r="P6" s="2" t="s">
        <v>577</v>
      </c>
      <c r="Q6" s="4" t="s">
        <v>539</v>
      </c>
      <c r="R6" s="2" t="s">
        <v>579</v>
      </c>
      <c r="S6" s="4" t="s">
        <v>285</v>
      </c>
      <c r="T6" s="4" t="s">
        <v>8</v>
      </c>
      <c r="U6" s="4" t="s">
        <v>5</v>
      </c>
    </row>
    <row r="7" spans="1:21" x14ac:dyDescent="0.25">
      <c r="R7" s="4"/>
      <c r="S7" s="4"/>
      <c r="T7" s="4"/>
    </row>
    <row r="8" spans="1:21" x14ac:dyDescent="0.25">
      <c r="R8" s="2"/>
      <c r="S8" s="2"/>
      <c r="T8" s="2"/>
    </row>
    <row r="9" spans="1:21" x14ac:dyDescent="0.25">
      <c r="R9" s="2"/>
      <c r="S9" s="2"/>
      <c r="T9" s="2"/>
    </row>
    <row r="11" spans="1:21" x14ac:dyDescent="0.25">
      <c r="L11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F9" sqref="F9"/>
    </sheetView>
  </sheetViews>
  <sheetFormatPr defaultRowHeight="15" x14ac:dyDescent="0.25"/>
  <cols>
    <col min="1" max="1" width="17" bestFit="1" customWidth="1"/>
    <col min="2" max="2" width="11.7109375" bestFit="1" customWidth="1"/>
    <col min="3" max="3" width="18.28515625" bestFit="1" customWidth="1"/>
    <col min="7" max="10" width="12" bestFit="1" customWidth="1"/>
    <col min="12" max="13" width="23" bestFit="1" customWidth="1"/>
    <col min="15" max="15" width="11.42578125" bestFit="1" customWidth="1"/>
    <col min="17" max="17" width="38" bestFit="1" customWidth="1"/>
    <col min="18" max="18" width="16.28515625" style="3" bestFit="1" customWidth="1"/>
    <col min="19" max="19" width="19.28515625" style="3" bestFit="1" customWidth="1"/>
    <col min="20" max="20" width="16.28515625" style="3" customWidth="1"/>
    <col min="21" max="21" width="10.28515625" bestFit="1" customWidth="1"/>
  </cols>
  <sheetData>
    <row r="1" spans="1:21" x14ac:dyDescent="0.25">
      <c r="A1" s="1" t="s">
        <v>31</v>
      </c>
      <c r="B1" s="1" t="s">
        <v>32</v>
      </c>
      <c r="C1" s="1" t="s">
        <v>33</v>
      </c>
      <c r="D1" s="3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4" t="s">
        <v>0</v>
      </c>
      <c r="Q1" s="4" t="s">
        <v>9</v>
      </c>
      <c r="R1" s="4" t="s">
        <v>527</v>
      </c>
      <c r="S1" s="3" t="s">
        <v>6</v>
      </c>
      <c r="T1" s="3" t="s">
        <v>7</v>
      </c>
      <c r="U1" s="4" t="s">
        <v>4</v>
      </c>
    </row>
    <row r="2" spans="1:21" s="3" customFormat="1" x14ac:dyDescent="0.25">
      <c r="A2" s="4" t="s">
        <v>47</v>
      </c>
      <c r="B2" s="4" t="s">
        <v>48</v>
      </c>
      <c r="C2" s="4" t="s">
        <v>49</v>
      </c>
      <c r="D2" s="4">
        <v>1234</v>
      </c>
      <c r="E2" s="4" t="s">
        <v>50</v>
      </c>
      <c r="F2" s="4" t="s">
        <v>177</v>
      </c>
      <c r="G2" s="4" t="s">
        <v>521</v>
      </c>
      <c r="H2" s="4" t="s">
        <v>521</v>
      </c>
      <c r="I2" s="13" t="str">
        <f ca="1">CONCATENATE(RIGHT(TEXT(NOW(),"YYMMDDhhmmss"),11))</f>
        <v>60624113402</v>
      </c>
      <c r="J2" s="13" t="str">
        <f ca="1">CONCATENATE(RIGHT(TEXT(NOW(),"YYMMDDhhmmss"),11))</f>
        <v>60624113402</v>
      </c>
      <c r="K2" s="4">
        <v>1234</v>
      </c>
      <c r="L2" s="4" t="s">
        <v>52</v>
      </c>
      <c r="M2" s="4" t="s">
        <v>52</v>
      </c>
      <c r="N2" s="4">
        <v>111</v>
      </c>
      <c r="O2" s="4">
        <v>1234</v>
      </c>
      <c r="P2" s="2" t="s">
        <v>577</v>
      </c>
      <c r="Q2" s="4" t="s">
        <v>539</v>
      </c>
      <c r="R2" s="2" t="s">
        <v>579</v>
      </c>
      <c r="S2" s="4" t="s">
        <v>285</v>
      </c>
      <c r="T2" s="4" t="s">
        <v>8</v>
      </c>
      <c r="U2" s="4" t="s">
        <v>5</v>
      </c>
    </row>
    <row r="3" spans="1:21" x14ac:dyDescent="0.25">
      <c r="R3" s="4"/>
      <c r="S3" s="4"/>
      <c r="T3" s="4"/>
    </row>
    <row r="4" spans="1:21" x14ac:dyDescent="0.25">
      <c r="R4" s="2"/>
      <c r="S4" s="2"/>
      <c r="T4" s="2"/>
    </row>
    <row r="5" spans="1:21" x14ac:dyDescent="0.25">
      <c r="R5" s="2"/>
      <c r="S5" s="2"/>
      <c r="T5" s="2"/>
    </row>
    <row r="6" spans="1:21" x14ac:dyDescent="0.25">
      <c r="L6" s="3"/>
      <c r="M6" s="3"/>
    </row>
    <row r="7" spans="1:21" x14ac:dyDescent="0.25">
      <c r="L7" s="4"/>
      <c r="M7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D2" sqref="D2"/>
    </sheetView>
  </sheetViews>
  <sheetFormatPr defaultRowHeight="15" x14ac:dyDescent="0.25"/>
  <cols>
    <col min="1" max="1" width="15" style="3" bestFit="1" customWidth="1"/>
    <col min="2" max="2" width="20.42578125" style="3" bestFit="1" customWidth="1"/>
    <col min="3" max="3" width="10.42578125" style="3" bestFit="1" customWidth="1"/>
    <col min="4" max="4" width="11" style="3" bestFit="1" customWidth="1"/>
    <col min="5" max="5" width="16.140625" style="3" bestFit="1" customWidth="1"/>
    <col min="6" max="6" width="13.28515625" style="3" bestFit="1" customWidth="1"/>
    <col min="7" max="7" width="9.140625" style="3"/>
    <col min="8" max="8" width="31.85546875" style="3" bestFit="1" customWidth="1"/>
    <col min="9" max="9" width="16.28515625" style="3" bestFit="1" customWidth="1"/>
    <col min="10" max="10" width="52.28515625" style="3" bestFit="1" customWidth="1"/>
    <col min="11" max="16384" width="9.140625" style="3"/>
  </cols>
  <sheetData>
    <row r="1" spans="1:12" x14ac:dyDescent="0.25">
      <c r="A1" s="5" t="s">
        <v>56</v>
      </c>
      <c r="B1" s="5" t="s">
        <v>57</v>
      </c>
      <c r="C1" s="5" t="s">
        <v>58</v>
      </c>
      <c r="D1" s="5" t="s">
        <v>59</v>
      </c>
      <c r="E1" s="1" t="s">
        <v>60</v>
      </c>
      <c r="F1" s="5" t="s">
        <v>61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x14ac:dyDescent="0.25">
      <c r="B2" s="3" t="str">
        <f ca="1">CONCATENATE("1",TEXT(NOW(),"YYYY"),"-",LEFT(TEXT(NOW(),"DDhhmmss"),7),"-",RIGHT(TEXT(NOW(),"ss"),1))</f>
        <v>12026-2411340-2</v>
      </c>
      <c r="C2" s="4" t="s">
        <v>63</v>
      </c>
      <c r="D2" s="12" t="str">
        <f ca="1">TEXT((NOW()+3652),"YYYY-MM-DD")</f>
        <v>2036-06-23</v>
      </c>
      <c r="E2" s="4" t="s">
        <v>65</v>
      </c>
      <c r="F2" s="4">
        <v>1234</v>
      </c>
      <c r="G2" s="2" t="s">
        <v>573</v>
      </c>
      <c r="H2" s="4" t="s">
        <v>580</v>
      </c>
      <c r="I2" s="2" t="s">
        <v>579</v>
      </c>
      <c r="J2" s="2" t="s">
        <v>581</v>
      </c>
      <c r="K2" s="3" t="s">
        <v>526</v>
      </c>
      <c r="L2" s="4" t="s">
        <v>5</v>
      </c>
    </row>
    <row r="3" spans="1:12" x14ac:dyDescent="0.25">
      <c r="A3" s="3" t="s">
        <v>62</v>
      </c>
      <c r="B3" s="3" t="str">
        <f ca="1">CONCATENATE("1",TEXT(NOW(),"YYYY"),"-",LEFT(TEXT(NOW(),"DDhhmmss"),7),"-",RIGHT(TEXT(NOW(),"ss"),1))</f>
        <v>12026-2411340-2</v>
      </c>
      <c r="C3" s="4"/>
      <c r="D3" s="12" t="str">
        <f ca="1">TEXT((NOW()+3652),"YYYY-MM-DD")</f>
        <v>2036-06-23</v>
      </c>
      <c r="E3" s="4" t="s">
        <v>65</v>
      </c>
      <c r="F3" s="4">
        <v>1234</v>
      </c>
      <c r="G3" s="2" t="s">
        <v>574</v>
      </c>
      <c r="H3" s="4" t="s">
        <v>582</v>
      </c>
      <c r="I3" s="2" t="s">
        <v>579</v>
      </c>
      <c r="J3" s="3" t="s">
        <v>583</v>
      </c>
      <c r="K3" s="3" t="s">
        <v>526</v>
      </c>
      <c r="L3" s="4" t="s">
        <v>5</v>
      </c>
    </row>
    <row r="4" spans="1:12" x14ac:dyDescent="0.25">
      <c r="A4" s="3" t="s">
        <v>62</v>
      </c>
      <c r="B4" s="3" t="str">
        <f ca="1">CONCATENATE("1",TEXT(NOW(),"YYYY"),"-",LEFT(TEXT(NOW(),"DDhhmmss"),7),"-",RIGHT(TEXT(NOW(),"ss"),1))</f>
        <v>12026-2411340-2</v>
      </c>
      <c r="C4" s="4" t="s">
        <v>63</v>
      </c>
      <c r="D4" s="4" t="s">
        <v>63</v>
      </c>
      <c r="E4" s="4" t="s">
        <v>65</v>
      </c>
      <c r="F4" s="4">
        <v>1234</v>
      </c>
      <c r="G4" s="2" t="s">
        <v>575</v>
      </c>
      <c r="H4" s="4" t="s">
        <v>584</v>
      </c>
      <c r="I4" s="2" t="s">
        <v>579</v>
      </c>
      <c r="J4" s="3" t="s">
        <v>583</v>
      </c>
      <c r="K4" s="3" t="s">
        <v>526</v>
      </c>
      <c r="L4" s="4" t="s">
        <v>5</v>
      </c>
    </row>
    <row r="5" spans="1:12" x14ac:dyDescent="0.25">
      <c r="A5" s="3" t="s">
        <v>62</v>
      </c>
      <c r="B5" s="3" t="str">
        <f ca="1">CONCATENATE("1",TEXT(NOW(),"YYYY"),"2",LEFT(TEXT(NOW(),"DDhhmmss"),8),"22",RIGHT(TEXT(NOW(),"ss"),1))</f>
        <v>12026224113402222</v>
      </c>
      <c r="C5" s="4" t="s">
        <v>63</v>
      </c>
      <c r="D5" s="12" t="str">
        <f ca="1">TEXT((NOW()+3652),"YYYY-MM-DD")</f>
        <v>2036-06-23</v>
      </c>
      <c r="E5" s="4" t="s">
        <v>65</v>
      </c>
      <c r="F5" s="4">
        <v>1234</v>
      </c>
      <c r="G5" s="2" t="s">
        <v>572</v>
      </c>
      <c r="H5" s="4" t="s">
        <v>585</v>
      </c>
      <c r="I5" s="9" t="s">
        <v>579</v>
      </c>
      <c r="J5" s="2" t="s">
        <v>447</v>
      </c>
      <c r="K5" s="3" t="s">
        <v>8</v>
      </c>
      <c r="L5" s="4" t="s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J22" sqref="J22"/>
    </sheetView>
  </sheetViews>
  <sheetFormatPr defaultRowHeight="15" x14ac:dyDescent="0.25"/>
  <cols>
    <col min="1" max="1" width="15" bestFit="1" customWidth="1"/>
    <col min="2" max="2" width="20.42578125" bestFit="1" customWidth="1"/>
    <col min="3" max="3" width="10.42578125" bestFit="1" customWidth="1"/>
    <col min="4" max="4" width="11" bestFit="1" customWidth="1"/>
    <col min="5" max="5" width="16.140625" bestFit="1" customWidth="1"/>
    <col min="6" max="6" width="13.28515625" bestFit="1" customWidth="1"/>
    <col min="8" max="8" width="31.85546875" bestFit="1" customWidth="1"/>
    <col min="9" max="9" width="16.28515625" bestFit="1" customWidth="1"/>
    <col min="10" max="10" width="52.28515625" bestFit="1" customWidth="1"/>
  </cols>
  <sheetData>
    <row r="1" spans="1:12" x14ac:dyDescent="0.25">
      <c r="A1" s="5" t="s">
        <v>56</v>
      </c>
      <c r="B1" s="5" t="s">
        <v>57</v>
      </c>
      <c r="C1" s="5" t="s">
        <v>58</v>
      </c>
      <c r="D1" s="5" t="s">
        <v>59</v>
      </c>
      <c r="E1" s="1" t="s">
        <v>60</v>
      </c>
      <c r="F1" s="5" t="s">
        <v>61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x14ac:dyDescent="0.25">
      <c r="A2" s="3" t="s">
        <v>62</v>
      </c>
      <c r="B2" s="3" t="str">
        <f ca="1">CONCATENATE("1",TEXT(NOW(),"YYYY"),"2",LEFT(TEXT(NOW(),"DDhhmmss"),8),"22",RIGHT(TEXT(NOW(),"ss"),1))</f>
        <v>12026224113402222</v>
      </c>
      <c r="C2" s="4" t="s">
        <v>63</v>
      </c>
      <c r="D2" s="12" t="str">
        <f ca="1">TEXT((NOW()+3652),"YYYY-MM-DD")</f>
        <v>2036-06-23</v>
      </c>
      <c r="E2" s="4" t="s">
        <v>65</v>
      </c>
      <c r="F2" s="4">
        <v>1234</v>
      </c>
      <c r="G2" s="2" t="s">
        <v>572</v>
      </c>
      <c r="H2" s="4" t="s">
        <v>585</v>
      </c>
      <c r="I2" s="9" t="s">
        <v>579</v>
      </c>
      <c r="J2" s="2" t="s">
        <v>447</v>
      </c>
      <c r="K2" s="3" t="s">
        <v>8</v>
      </c>
      <c r="L2" s="4" t="s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B12" sqref="B12"/>
    </sheetView>
  </sheetViews>
  <sheetFormatPr defaultRowHeight="15" x14ac:dyDescent="0.25"/>
  <cols>
    <col min="1" max="1" width="17.42578125" bestFit="1" customWidth="1"/>
    <col min="2" max="2" width="18.42578125" bestFit="1" customWidth="1"/>
    <col min="3" max="3" width="11.42578125" bestFit="1" customWidth="1"/>
    <col min="4" max="4" width="11.5703125" bestFit="1" customWidth="1"/>
    <col min="6" max="6" width="37.7109375" customWidth="1"/>
  </cols>
  <sheetData>
    <row r="1" spans="1:7" x14ac:dyDescent="0.25">
      <c r="A1" s="3" t="s">
        <v>66</v>
      </c>
      <c r="B1" s="3" t="s">
        <v>67</v>
      </c>
      <c r="C1" s="3" t="s">
        <v>68</v>
      </c>
      <c r="D1" s="3" t="s">
        <v>69</v>
      </c>
      <c r="E1" s="4" t="s">
        <v>0</v>
      </c>
      <c r="F1" s="4" t="s">
        <v>9</v>
      </c>
      <c r="G1" s="4" t="s">
        <v>4</v>
      </c>
    </row>
    <row r="2" spans="1:7" x14ac:dyDescent="0.25">
      <c r="A2" s="4" t="s">
        <v>514</v>
      </c>
      <c r="B2" t="s">
        <v>514</v>
      </c>
      <c r="C2" s="4">
        <v>2012</v>
      </c>
      <c r="D2" t="s">
        <v>21</v>
      </c>
      <c r="E2" s="2" t="s">
        <v>572</v>
      </c>
      <c r="F2" s="4" t="s">
        <v>515</v>
      </c>
      <c r="G2" s="4" t="s">
        <v>5</v>
      </c>
    </row>
    <row r="4" spans="1:7" x14ac:dyDescent="0.25">
      <c r="A4" s="7"/>
    </row>
    <row r="5" spans="1:7" x14ac:dyDescent="0.25">
      <c r="A5" s="7"/>
    </row>
    <row r="6" spans="1:7" x14ac:dyDescent="0.25">
      <c r="A6" s="7"/>
    </row>
    <row r="7" spans="1:7" x14ac:dyDescent="0.25">
      <c r="A7" s="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2" sqref="D2"/>
    </sheetView>
  </sheetViews>
  <sheetFormatPr defaultRowHeight="15" x14ac:dyDescent="0.25"/>
  <cols>
    <col min="2" max="2" width="33.140625" bestFit="1" customWidth="1"/>
    <col min="3" max="3" width="10.28515625" bestFit="1" customWidth="1"/>
    <col min="4" max="4" width="16.28515625" style="3" bestFit="1" customWidth="1"/>
    <col min="5" max="5" width="25.140625" bestFit="1" customWidth="1"/>
  </cols>
  <sheetData>
    <row r="1" spans="1:6" x14ac:dyDescent="0.25">
      <c r="A1" s="4" t="s">
        <v>0</v>
      </c>
      <c r="B1" s="4" t="s">
        <v>9</v>
      </c>
      <c r="C1" s="4" t="s">
        <v>4</v>
      </c>
      <c r="D1" s="4" t="s">
        <v>527</v>
      </c>
      <c r="E1" s="3" t="s">
        <v>6</v>
      </c>
      <c r="F1" s="3" t="s">
        <v>7</v>
      </c>
    </row>
    <row r="2" spans="1:6" x14ac:dyDescent="0.25">
      <c r="A2" s="2" t="s">
        <v>572</v>
      </c>
      <c r="B2" s="4" t="s">
        <v>516</v>
      </c>
      <c r="C2" s="4" t="s">
        <v>5</v>
      </c>
      <c r="D2" s="9" t="s">
        <v>579</v>
      </c>
      <c r="E2" s="4" t="s">
        <v>447</v>
      </c>
      <c r="F2" s="3" t="s">
        <v>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E4" sqref="E4"/>
    </sheetView>
  </sheetViews>
  <sheetFormatPr defaultRowHeight="15" x14ac:dyDescent="0.25"/>
  <cols>
    <col min="1" max="1" width="11.5703125" style="3" bestFit="1" customWidth="1"/>
    <col min="2" max="2" width="8.140625" style="3" bestFit="1" customWidth="1"/>
    <col min="3" max="3" width="10" style="3" bestFit="1" customWidth="1"/>
    <col min="4" max="4" width="11" style="3" bestFit="1" customWidth="1"/>
    <col min="5" max="5" width="14.85546875" style="3" bestFit="1" customWidth="1"/>
    <col min="6" max="6" width="10.42578125" style="3" bestFit="1" customWidth="1"/>
    <col min="7" max="7" width="9.140625" style="3"/>
    <col min="8" max="8" width="39.7109375" style="3" bestFit="1" customWidth="1"/>
    <col min="9" max="9" width="16.28515625" style="3" bestFit="1" customWidth="1"/>
    <col min="10" max="10" width="27.5703125" style="3" bestFit="1" customWidth="1"/>
    <col min="11" max="16384" width="9.140625" style="3"/>
  </cols>
  <sheetData>
    <row r="1" spans="1:12" x14ac:dyDescent="0.25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x14ac:dyDescent="0.25">
      <c r="A2" s="3" t="s">
        <v>21</v>
      </c>
      <c r="B2" s="3" t="s">
        <v>48</v>
      </c>
      <c r="C2" s="4" t="s">
        <v>517</v>
      </c>
      <c r="D2" s="12" t="str">
        <f ca="1">CONCATENATE(RIGHT(TEXT(NOW(),"YYMMDDhhmmss"),11))</f>
        <v>60624113402</v>
      </c>
      <c r="E2" s="15"/>
      <c r="F2" s="15" t="str">
        <f ca="1">TEXT(NOW()-10,"YYYY-MM-DD")</f>
        <v>2026-06-14</v>
      </c>
      <c r="G2" s="2" t="s">
        <v>572</v>
      </c>
      <c r="H2" s="4" t="s">
        <v>586</v>
      </c>
      <c r="I2" s="2" t="s">
        <v>579</v>
      </c>
      <c r="J2" s="3" t="s">
        <v>587</v>
      </c>
      <c r="K2" s="3" t="s">
        <v>526</v>
      </c>
      <c r="L2" s="4" t="s">
        <v>5</v>
      </c>
    </row>
    <row r="3" spans="1:12" x14ac:dyDescent="0.25">
      <c r="A3" s="3" t="s">
        <v>21</v>
      </c>
      <c r="B3" s="3" t="s">
        <v>48</v>
      </c>
      <c r="C3" s="4" t="s">
        <v>517</v>
      </c>
      <c r="D3" s="12" t="str">
        <f ca="1">CONCATENATE(RIGHT(TEXT(NOW(),"YYMMDDhhmmss"),11))</f>
        <v>60624113402</v>
      </c>
      <c r="E3" s="15" t="str">
        <f ca="1">TEXT(NOW()-1500,"YYYY-MM-DD")</f>
        <v>2022-05-16</v>
      </c>
      <c r="F3" s="15"/>
      <c r="G3" s="2" t="s">
        <v>573</v>
      </c>
      <c r="H3" s="4" t="s">
        <v>588</v>
      </c>
      <c r="I3" s="2" t="s">
        <v>579</v>
      </c>
      <c r="J3" s="3" t="s">
        <v>589</v>
      </c>
      <c r="K3" s="3" t="s">
        <v>526</v>
      </c>
      <c r="L3" s="4" t="s">
        <v>5</v>
      </c>
    </row>
    <row r="4" spans="1:12" x14ac:dyDescent="0.25">
      <c r="A4" s="3" t="s">
        <v>21</v>
      </c>
      <c r="B4" s="3" t="s">
        <v>48</v>
      </c>
      <c r="C4" s="4" t="s">
        <v>517</v>
      </c>
      <c r="D4" s="12" t="str">
        <f ca="1">CONCATENATE(RIGHT(TEXT(NOW(),"YYMMDDhhmmss"),11))</f>
        <v>60624113402</v>
      </c>
      <c r="E4" s="15" t="str">
        <f ca="1">TEXT(NOW()-1500,"YYYY-MM-DD")</f>
        <v>2022-05-16</v>
      </c>
      <c r="F4" s="15" t="str">
        <f ca="1">TEXT(NOW()-10,"YYYY-MM-DD")</f>
        <v>2026-06-14</v>
      </c>
      <c r="G4" s="2" t="s">
        <v>574</v>
      </c>
      <c r="H4" s="4" t="s">
        <v>590</v>
      </c>
      <c r="I4" s="2" t="s">
        <v>579</v>
      </c>
      <c r="J4" s="3" t="s">
        <v>447</v>
      </c>
      <c r="K4" s="3" t="s">
        <v>8</v>
      </c>
      <c r="L4" s="4" t="s">
        <v>5</v>
      </c>
    </row>
    <row r="5" spans="1:12" x14ac:dyDescent="0.25">
      <c r="A5" s="7"/>
    </row>
    <row r="6" spans="1:12" x14ac:dyDescent="0.25">
      <c r="A6" s="7"/>
    </row>
    <row r="7" spans="1:12" x14ac:dyDescent="0.25">
      <c r="A7" s="7"/>
    </row>
    <row r="8" spans="1:12" x14ac:dyDescent="0.25">
      <c r="A8" s="7"/>
    </row>
    <row r="9" spans="1:12" x14ac:dyDescent="0.25">
      <c r="A9" s="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I15" sqref="I15"/>
    </sheetView>
  </sheetViews>
  <sheetFormatPr defaultRowHeight="15" x14ac:dyDescent="0.25"/>
  <cols>
    <col min="1" max="1" width="11.5703125" bestFit="1" customWidth="1"/>
    <col min="2" max="2" width="8.140625" bestFit="1" customWidth="1"/>
    <col min="3" max="3" width="10" bestFit="1" customWidth="1"/>
    <col min="4" max="4" width="11" bestFit="1" customWidth="1"/>
    <col min="5" max="5" width="14.85546875" bestFit="1" customWidth="1"/>
    <col min="6" max="6" width="10.42578125" bestFit="1" customWidth="1"/>
    <col min="8" max="8" width="39.7109375" bestFit="1" customWidth="1"/>
    <col min="9" max="9" width="16.28515625" bestFit="1" customWidth="1"/>
    <col min="10" max="10" width="27.5703125" bestFit="1" customWidth="1"/>
  </cols>
  <sheetData>
    <row r="1" spans="1:12" x14ac:dyDescent="0.25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x14ac:dyDescent="0.25">
      <c r="A2" s="3" t="s">
        <v>21</v>
      </c>
      <c r="B2" s="3" t="s">
        <v>48</v>
      </c>
      <c r="C2" s="4" t="s">
        <v>517</v>
      </c>
      <c r="D2" s="12" t="str">
        <f ca="1">CONCATENATE(RIGHT(TEXT(NOW(),"YYMMDDhhmmss"),11))</f>
        <v>60624113402</v>
      </c>
      <c r="E2" s="15" t="str">
        <f ca="1">TEXT(NOW()-1500,"YYYY-MM-DD")</f>
        <v>2022-05-16</v>
      </c>
      <c r="F2" s="15" t="str">
        <f ca="1">TEXT(NOW()-10,"YYYY-MM-DD")</f>
        <v>2026-06-14</v>
      </c>
      <c r="G2" s="2" t="s">
        <v>574</v>
      </c>
      <c r="H2" s="4" t="s">
        <v>590</v>
      </c>
      <c r="I2" s="2" t="s">
        <v>579</v>
      </c>
      <c r="J2" s="3" t="s">
        <v>447</v>
      </c>
      <c r="K2" s="3" t="s">
        <v>8</v>
      </c>
      <c r="L2" s="4" t="s">
        <v>5</v>
      </c>
    </row>
    <row r="3" spans="1:12" x14ac:dyDescent="0.25">
      <c r="A3" s="7"/>
    </row>
    <row r="4" spans="1:12" x14ac:dyDescent="0.25">
      <c r="A4" s="7"/>
    </row>
    <row r="5" spans="1:12" x14ac:dyDescent="0.25">
      <c r="A5" s="7"/>
    </row>
    <row r="6" spans="1:12" x14ac:dyDescent="0.25">
      <c r="A6" s="7"/>
    </row>
    <row r="7" spans="1:12" x14ac:dyDescent="0.25">
      <c r="A7" s="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J13" sqref="J13"/>
    </sheetView>
  </sheetViews>
  <sheetFormatPr defaultRowHeight="15" x14ac:dyDescent="0.25"/>
  <cols>
    <col min="1" max="1" width="10.140625" bestFit="1" customWidth="1"/>
    <col min="2" max="2" width="12.7109375" bestFit="1" customWidth="1"/>
    <col min="3" max="3" width="9.85546875" customWidth="1"/>
    <col min="4" max="4" width="8.140625" customWidth="1"/>
    <col min="5" max="5" width="9" bestFit="1" customWidth="1"/>
    <col min="7" max="7" width="11.85546875" bestFit="1" customWidth="1"/>
    <col min="8" max="8" width="10.42578125" bestFit="1" customWidth="1"/>
    <col min="10" max="10" width="41" bestFit="1" customWidth="1"/>
  </cols>
  <sheetData>
    <row r="1" spans="1:11" x14ac:dyDescent="0.25">
      <c r="A1" s="3" t="s">
        <v>77</v>
      </c>
      <c r="B1" s="3" t="s">
        <v>78</v>
      </c>
      <c r="C1" s="3" t="s">
        <v>79</v>
      </c>
      <c r="D1" s="3" t="s">
        <v>80</v>
      </c>
      <c r="E1" s="3" t="s">
        <v>81</v>
      </c>
      <c r="F1" s="3" t="s">
        <v>82</v>
      </c>
      <c r="G1" s="3" t="s">
        <v>74</v>
      </c>
      <c r="H1" s="3" t="s">
        <v>75</v>
      </c>
      <c r="I1" s="4" t="s">
        <v>0</v>
      </c>
      <c r="J1" s="4" t="s">
        <v>9</v>
      </c>
      <c r="K1" s="4" t="s">
        <v>4</v>
      </c>
    </row>
    <row r="2" spans="1:11" x14ac:dyDescent="0.25">
      <c r="A2" s="3" t="s">
        <v>83</v>
      </c>
      <c r="B2" t="s">
        <v>21</v>
      </c>
      <c r="C2" s="3" t="s">
        <v>520</v>
      </c>
      <c r="D2" s="3" t="s">
        <v>84</v>
      </c>
      <c r="E2" s="4">
        <v>1234</v>
      </c>
      <c r="F2" s="4">
        <v>123456</v>
      </c>
      <c r="G2" s="4" t="s">
        <v>22</v>
      </c>
      <c r="H2" s="4" t="s">
        <v>64</v>
      </c>
      <c r="I2" s="2" t="s">
        <v>572</v>
      </c>
      <c r="J2" s="4" t="s">
        <v>518</v>
      </c>
      <c r="K2" s="4" t="s">
        <v>5</v>
      </c>
    </row>
    <row r="4" spans="1:11" x14ac:dyDescent="0.25">
      <c r="A4" s="7"/>
    </row>
    <row r="5" spans="1:11" x14ac:dyDescent="0.25">
      <c r="A5" s="7"/>
    </row>
    <row r="6" spans="1:11" x14ac:dyDescent="0.25">
      <c r="A6" s="7"/>
    </row>
    <row r="7" spans="1:11" x14ac:dyDescent="0.25">
      <c r="A7" s="7"/>
    </row>
    <row r="8" spans="1:11" x14ac:dyDescent="0.25">
      <c r="A8" s="7"/>
    </row>
    <row r="9" spans="1:11" x14ac:dyDescent="0.25">
      <c r="A9" s="7"/>
    </row>
    <row r="10" spans="1:11" x14ac:dyDescent="0.25">
      <c r="A10" s="7"/>
    </row>
    <row r="11" spans="1:11" x14ac:dyDescent="0.25">
      <c r="A11" s="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2" sqref="D2"/>
    </sheetView>
  </sheetViews>
  <sheetFormatPr defaultRowHeight="15" x14ac:dyDescent="0.25"/>
  <cols>
    <col min="2" max="2" width="41" bestFit="1" customWidth="1"/>
    <col min="4" max="4" width="19.28515625" bestFit="1" customWidth="1"/>
  </cols>
  <sheetData>
    <row r="1" spans="1:5" x14ac:dyDescent="0.25">
      <c r="A1" s="4" t="s">
        <v>0</v>
      </c>
      <c r="B1" s="4" t="s">
        <v>9</v>
      </c>
      <c r="C1" s="4" t="s">
        <v>4</v>
      </c>
      <c r="D1" s="3" t="s">
        <v>6</v>
      </c>
      <c r="E1" s="3" t="s">
        <v>7</v>
      </c>
    </row>
    <row r="2" spans="1:5" x14ac:dyDescent="0.25">
      <c r="A2" s="2" t="s">
        <v>572</v>
      </c>
      <c r="B2" s="4" t="s">
        <v>519</v>
      </c>
      <c r="C2" s="4" t="s">
        <v>5</v>
      </c>
      <c r="D2" s="4" t="s">
        <v>447</v>
      </c>
      <c r="E2" s="3" t="s">
        <v>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K9" sqref="K9"/>
    </sheetView>
  </sheetViews>
  <sheetFormatPr defaultRowHeight="15" x14ac:dyDescent="0.25"/>
  <cols>
    <col min="1" max="1" width="20.28515625" bestFit="1" customWidth="1"/>
  </cols>
  <sheetData>
    <row r="1" spans="1:2" x14ac:dyDescent="0.25">
      <c r="A1" t="s">
        <v>413</v>
      </c>
      <c r="B1" t="s">
        <v>0</v>
      </c>
    </row>
    <row r="2" spans="1:2" x14ac:dyDescent="0.25">
      <c r="A2" t="s">
        <v>445</v>
      </c>
      <c r="B2" s="2" t="s">
        <v>572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Q6" sqref="Q6"/>
    </sheetView>
  </sheetViews>
  <sheetFormatPr defaultRowHeight="15" x14ac:dyDescent="0.25"/>
  <cols>
    <col min="1" max="1" width="20.28515625" style="3" bestFit="1" customWidth="1"/>
    <col min="2" max="16384" width="9.140625" style="3"/>
  </cols>
  <sheetData>
    <row r="1" spans="1:2" x14ac:dyDescent="0.25">
      <c r="A1" s="3" t="s">
        <v>413</v>
      </c>
      <c r="B1" s="3" t="s">
        <v>0</v>
      </c>
    </row>
    <row r="2" spans="1:2" x14ac:dyDescent="0.25">
      <c r="A2" s="3" t="s">
        <v>445</v>
      </c>
      <c r="B2" s="9" t="s">
        <v>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opLeftCell="D1" workbookViewId="0">
      <selection activeCell="G6" sqref="G6"/>
    </sheetView>
  </sheetViews>
  <sheetFormatPr defaultRowHeight="15" x14ac:dyDescent="0.25"/>
  <cols>
    <col min="1" max="1" width="16.140625" bestFit="1" customWidth="1"/>
    <col min="2" max="2" width="13.140625" bestFit="1" customWidth="1"/>
    <col min="3" max="4" width="12.85546875" bestFit="1" customWidth="1"/>
    <col min="5" max="5" width="14.5703125" bestFit="1" customWidth="1"/>
    <col min="6" max="6" width="20" bestFit="1" customWidth="1"/>
    <col min="7" max="7" width="21.85546875" bestFit="1" customWidth="1"/>
    <col min="8" max="8" width="13.28515625" bestFit="1" customWidth="1"/>
    <col min="9" max="9" width="15.140625" bestFit="1" customWidth="1"/>
    <col min="10" max="10" width="23.5703125" bestFit="1" customWidth="1"/>
    <col min="11" max="11" width="13.7109375" bestFit="1" customWidth="1"/>
    <col min="13" max="13" width="11.5703125" bestFit="1" customWidth="1"/>
    <col min="14" max="14" width="18.28515625" bestFit="1" customWidth="1"/>
    <col min="16" max="16" width="40" bestFit="1" customWidth="1"/>
    <col min="18" max="18" width="19.28515625" bestFit="1" customWidth="1"/>
  </cols>
  <sheetData>
    <row r="1" spans="1:20" x14ac:dyDescent="0.25">
      <c r="A1" s="4" t="s">
        <v>10</v>
      </c>
      <c r="B1" s="4" t="s">
        <v>11</v>
      </c>
      <c r="C1" s="1" t="s">
        <v>12</v>
      </c>
      <c r="D1" s="1" t="s">
        <v>13</v>
      </c>
      <c r="E1" s="1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2</v>
      </c>
      <c r="K1" s="4" t="s">
        <v>19</v>
      </c>
      <c r="L1" s="4" t="s">
        <v>20</v>
      </c>
      <c r="M1" s="4" t="s">
        <v>28</v>
      </c>
      <c r="N1" s="4" t="s">
        <v>30</v>
      </c>
      <c r="O1" s="4" t="s">
        <v>0</v>
      </c>
      <c r="P1" s="4" t="s">
        <v>9</v>
      </c>
      <c r="Q1" s="4" t="s">
        <v>527</v>
      </c>
      <c r="R1" s="4" t="s">
        <v>6</v>
      </c>
      <c r="S1" s="4" t="s">
        <v>7</v>
      </c>
      <c r="T1" s="4" t="s">
        <v>4</v>
      </c>
    </row>
    <row r="2" spans="1:20" x14ac:dyDescent="0.25">
      <c r="A2" s="3" t="str">
        <f ca="1">CONCATENATE("Auto",TEXT(NOW(),"DDHHMM"))</f>
        <v>Auto241134</v>
      </c>
      <c r="B2" s="4" t="s">
        <v>753</v>
      </c>
      <c r="C2" s="4" t="s">
        <v>1</v>
      </c>
      <c r="D2" s="4">
        <v>1111</v>
      </c>
      <c r="E2" s="4" t="s">
        <v>416</v>
      </c>
      <c r="F2" s="4" t="s">
        <v>22</v>
      </c>
      <c r="G2" s="4" t="s">
        <v>513</v>
      </c>
      <c r="H2" s="4" t="s">
        <v>23</v>
      </c>
      <c r="I2" s="4" t="s">
        <v>25</v>
      </c>
      <c r="J2" s="4" t="s">
        <v>896</v>
      </c>
      <c r="K2" s="4" t="s">
        <v>27</v>
      </c>
      <c r="L2" s="2"/>
      <c r="M2" s="4" t="s">
        <v>29</v>
      </c>
      <c r="N2" s="4" t="s">
        <v>118</v>
      </c>
      <c r="O2" s="2" t="s">
        <v>3</v>
      </c>
      <c r="P2" s="2" t="s">
        <v>757</v>
      </c>
      <c r="Q2" s="2" t="s">
        <v>579</v>
      </c>
      <c r="R2" s="2" t="s">
        <v>285</v>
      </c>
      <c r="S2" s="4" t="s">
        <v>8</v>
      </c>
      <c r="T2" s="4" t="s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opLeftCell="C1" workbookViewId="0">
      <selection activeCell="Q2" sqref="Q2"/>
    </sheetView>
  </sheetViews>
  <sheetFormatPr defaultRowHeight="15" x14ac:dyDescent="0.25"/>
  <cols>
    <col min="1" max="1" width="17" style="3" bestFit="1" customWidth="1"/>
    <col min="2" max="2" width="11.7109375" style="3" bestFit="1" customWidth="1"/>
    <col min="3" max="3" width="18.28515625" style="3" bestFit="1" customWidth="1"/>
    <col min="4" max="4" width="10.140625" style="3" bestFit="1" customWidth="1"/>
    <col min="5" max="6" width="9.140625" style="3"/>
    <col min="7" max="10" width="12" style="3" bestFit="1" customWidth="1"/>
    <col min="11" max="11" width="9.140625" style="3"/>
    <col min="12" max="13" width="23" style="3" bestFit="1" customWidth="1"/>
    <col min="14" max="14" width="9.140625" style="3"/>
    <col min="15" max="15" width="11.42578125" style="3" bestFit="1" customWidth="1"/>
    <col min="16" max="16" width="9.140625" style="3"/>
    <col min="17" max="17" width="22" style="3" bestFit="1" customWidth="1"/>
    <col min="18" max="16384" width="9.140625" style="3"/>
  </cols>
  <sheetData>
    <row r="1" spans="1:18" x14ac:dyDescent="0.25">
      <c r="A1" s="1" t="s">
        <v>31</v>
      </c>
      <c r="B1" s="1" t="s">
        <v>32</v>
      </c>
      <c r="C1" s="1" t="s">
        <v>33</v>
      </c>
      <c r="D1" s="3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4" t="s">
        <v>0</v>
      </c>
      <c r="Q1" s="4" t="s">
        <v>9</v>
      </c>
      <c r="R1" s="4" t="s">
        <v>4</v>
      </c>
    </row>
    <row r="2" spans="1:18" x14ac:dyDescent="0.25">
      <c r="A2" s="4" t="s">
        <v>47</v>
      </c>
      <c r="B2" s="4" t="s">
        <v>48</v>
      </c>
      <c r="C2" s="4" t="s">
        <v>49</v>
      </c>
      <c r="D2" s="4">
        <v>1234</v>
      </c>
      <c r="E2" s="4" t="s">
        <v>754</v>
      </c>
      <c r="F2" s="4" t="s">
        <v>51</v>
      </c>
      <c r="G2" s="4" t="s">
        <v>522</v>
      </c>
      <c r="H2" s="4" t="s">
        <v>522</v>
      </c>
      <c r="I2" s="13" t="str">
        <f ca="1">CONCATENATE(RIGHT(TEXT(NOW(),"YYMMDDhhmmss"),11))</f>
        <v>60624113402</v>
      </c>
      <c r="J2" s="13" t="str">
        <f ca="1">CONCATENATE(RIGHT(TEXT(NOW(),"YYMMDDhhmmss"),11))</f>
        <v>60624113402</v>
      </c>
      <c r="K2" s="4">
        <v>1234</v>
      </c>
      <c r="L2" s="4" t="s">
        <v>52</v>
      </c>
      <c r="M2" s="4" t="s">
        <v>52</v>
      </c>
      <c r="N2" s="4">
        <v>111</v>
      </c>
      <c r="O2" s="4">
        <v>1234</v>
      </c>
      <c r="P2" s="2" t="s">
        <v>572</v>
      </c>
      <c r="Q2" s="4" t="s">
        <v>758</v>
      </c>
      <c r="R2" s="4" t="s">
        <v>5</v>
      </c>
    </row>
    <row r="4" spans="1:18" x14ac:dyDescent="0.25">
      <c r="A4" s="5"/>
    </row>
    <row r="5" spans="1:18" x14ac:dyDescent="0.25">
      <c r="A5" s="5"/>
    </row>
    <row r="6" spans="1:18" x14ac:dyDescent="0.25">
      <c r="A6" s="5"/>
    </row>
    <row r="7" spans="1:18" x14ac:dyDescent="0.25">
      <c r="A7" s="5"/>
    </row>
    <row r="8" spans="1:18" x14ac:dyDescent="0.25">
      <c r="A8" s="5"/>
    </row>
    <row r="9" spans="1:18" x14ac:dyDescent="0.25">
      <c r="A9" s="5"/>
    </row>
    <row r="10" spans="1:18" x14ac:dyDescent="0.25">
      <c r="A10" s="5"/>
    </row>
    <row r="11" spans="1:18" x14ac:dyDescent="0.25">
      <c r="A11" s="5"/>
    </row>
    <row r="12" spans="1:18" x14ac:dyDescent="0.25">
      <c r="A12" s="5"/>
    </row>
    <row r="13" spans="1:18" x14ac:dyDescent="0.25">
      <c r="A13" s="5"/>
    </row>
    <row r="14" spans="1:18" x14ac:dyDescent="0.25">
      <c r="A14" s="5"/>
    </row>
    <row r="15" spans="1:18" x14ac:dyDescent="0.25">
      <c r="A15" s="5"/>
    </row>
    <row r="16" spans="1:18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2" sqref="B2"/>
    </sheetView>
  </sheetViews>
  <sheetFormatPr defaultRowHeight="15" x14ac:dyDescent="0.25"/>
  <cols>
    <col min="1" max="1" width="9.140625" style="3"/>
    <col min="2" max="2" width="44.42578125" style="3" bestFit="1" customWidth="1"/>
    <col min="3" max="3" width="10.28515625" style="3" bestFit="1" customWidth="1"/>
    <col min="4" max="4" width="19.28515625" style="3" bestFit="1" customWidth="1"/>
    <col min="5" max="16384" width="9.140625" style="3"/>
  </cols>
  <sheetData>
    <row r="1" spans="1:5" x14ac:dyDescent="0.25">
      <c r="A1" s="4" t="s">
        <v>0</v>
      </c>
      <c r="B1" s="4" t="s">
        <v>9</v>
      </c>
      <c r="C1" s="4" t="s">
        <v>4</v>
      </c>
      <c r="D1" s="3" t="s">
        <v>6</v>
      </c>
      <c r="E1" s="3" t="s">
        <v>7</v>
      </c>
    </row>
    <row r="2" spans="1:5" x14ac:dyDescent="0.25">
      <c r="A2" s="2" t="s">
        <v>572</v>
      </c>
      <c r="B2" s="2" t="s">
        <v>756</v>
      </c>
      <c r="C2" s="4" t="s">
        <v>5</v>
      </c>
      <c r="D2" s="4" t="s">
        <v>285</v>
      </c>
      <c r="E2" s="3" t="s">
        <v>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opLeftCell="C1" workbookViewId="0">
      <selection activeCell="Q2" sqref="Q2"/>
    </sheetView>
  </sheetViews>
  <sheetFormatPr defaultRowHeight="15" x14ac:dyDescent="0.25"/>
  <cols>
    <col min="1" max="1" width="17" style="3" bestFit="1" customWidth="1"/>
    <col min="2" max="2" width="11.7109375" style="3" bestFit="1" customWidth="1"/>
    <col min="3" max="3" width="18.28515625" style="3" bestFit="1" customWidth="1"/>
    <col min="4" max="4" width="10.140625" style="3" bestFit="1" customWidth="1"/>
    <col min="5" max="6" width="9.140625" style="3"/>
    <col min="7" max="10" width="12" style="3" bestFit="1" customWidth="1"/>
    <col min="11" max="11" width="9.140625" style="3"/>
    <col min="12" max="13" width="23" style="3" bestFit="1" customWidth="1"/>
    <col min="14" max="14" width="9.140625" style="3"/>
    <col min="15" max="15" width="11.42578125" style="3" bestFit="1" customWidth="1"/>
    <col min="16" max="16" width="9.140625" style="3"/>
    <col min="17" max="17" width="23.42578125" style="3" bestFit="1" customWidth="1"/>
    <col min="18" max="18" width="10.28515625" style="3" bestFit="1" customWidth="1"/>
    <col min="19" max="16384" width="9.140625" style="3"/>
  </cols>
  <sheetData>
    <row r="1" spans="1:18" x14ac:dyDescent="0.25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4" t="s">
        <v>0</v>
      </c>
      <c r="Q1" s="4" t="s">
        <v>9</v>
      </c>
      <c r="R1" s="4" t="s">
        <v>4</v>
      </c>
    </row>
    <row r="2" spans="1:18" x14ac:dyDescent="0.25">
      <c r="A2" s="4" t="s">
        <v>47</v>
      </c>
      <c r="B2" s="4" t="s">
        <v>48</v>
      </c>
      <c r="C2" s="4" t="s">
        <v>49</v>
      </c>
      <c r="D2" s="4">
        <v>1234</v>
      </c>
      <c r="E2" s="4" t="s">
        <v>754</v>
      </c>
      <c r="F2" s="4" t="s">
        <v>169</v>
      </c>
      <c r="G2" s="4" t="s">
        <v>54</v>
      </c>
      <c r="H2" s="4" t="s">
        <v>54</v>
      </c>
      <c r="I2" s="13" t="str">
        <f ca="1">CONCATENATE(RIGHT(TEXT(NOW(),"YYMMDDhhmmss"),11))</f>
        <v>60624113402</v>
      </c>
      <c r="J2" s="13" t="str">
        <f ca="1">CONCATENATE(RIGHT(TEXT(NOW(),"YYMMDDhhmmss"),11))</f>
        <v>60624113402</v>
      </c>
      <c r="K2" s="4">
        <v>1234</v>
      </c>
      <c r="L2" s="4" t="s">
        <v>52</v>
      </c>
      <c r="M2" s="4" t="s">
        <v>52</v>
      </c>
      <c r="N2" s="4">
        <v>111</v>
      </c>
      <c r="O2" s="4">
        <v>1234</v>
      </c>
      <c r="P2" s="2" t="s">
        <v>572</v>
      </c>
      <c r="Q2" s="4" t="s">
        <v>759</v>
      </c>
      <c r="R2" s="4" t="s">
        <v>5</v>
      </c>
    </row>
    <row r="4" spans="1:18" x14ac:dyDescent="0.25">
      <c r="A4" s="5"/>
    </row>
    <row r="5" spans="1:18" x14ac:dyDescent="0.25">
      <c r="A5" s="5"/>
    </row>
    <row r="6" spans="1:18" x14ac:dyDescent="0.25">
      <c r="A6" s="5"/>
    </row>
    <row r="7" spans="1:18" x14ac:dyDescent="0.25">
      <c r="A7" s="5"/>
    </row>
    <row r="8" spans="1:18" x14ac:dyDescent="0.25">
      <c r="A8" s="5"/>
    </row>
    <row r="9" spans="1:18" x14ac:dyDescent="0.25">
      <c r="A9" s="5"/>
    </row>
    <row r="10" spans="1:18" x14ac:dyDescent="0.25">
      <c r="A10" s="5"/>
    </row>
    <row r="11" spans="1:18" x14ac:dyDescent="0.25">
      <c r="A11" s="5"/>
    </row>
    <row r="12" spans="1:18" x14ac:dyDescent="0.25">
      <c r="A12" s="5"/>
    </row>
    <row r="13" spans="1:18" x14ac:dyDescent="0.25">
      <c r="A13" s="5"/>
    </row>
    <row r="14" spans="1:18" x14ac:dyDescent="0.25">
      <c r="A14" s="5"/>
    </row>
    <row r="15" spans="1:18" x14ac:dyDescent="0.25">
      <c r="A15" s="5"/>
    </row>
    <row r="16" spans="1:18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2" sqref="B2"/>
    </sheetView>
  </sheetViews>
  <sheetFormatPr defaultRowHeight="15" x14ac:dyDescent="0.25"/>
  <cols>
    <col min="1" max="1" width="9.140625" style="3"/>
    <col min="2" max="2" width="31.7109375" style="3" bestFit="1" customWidth="1"/>
    <col min="3" max="3" width="10.28515625" style="3" bestFit="1" customWidth="1"/>
    <col min="4" max="4" width="19.28515625" style="3" bestFit="1" customWidth="1"/>
    <col min="5" max="16384" width="9.140625" style="3"/>
  </cols>
  <sheetData>
    <row r="1" spans="1:5" x14ac:dyDescent="0.25">
      <c r="A1" s="4" t="s">
        <v>0</v>
      </c>
      <c r="B1" s="4" t="s">
        <v>9</v>
      </c>
      <c r="C1" s="4" t="s">
        <v>4</v>
      </c>
      <c r="D1" s="3" t="s">
        <v>6</v>
      </c>
      <c r="E1" s="3" t="s">
        <v>7</v>
      </c>
    </row>
    <row r="2" spans="1:5" x14ac:dyDescent="0.25">
      <c r="A2" s="2" t="s">
        <v>572</v>
      </c>
      <c r="B2" s="4" t="s">
        <v>755</v>
      </c>
      <c r="C2" s="4" t="s">
        <v>5</v>
      </c>
      <c r="D2" s="4" t="s">
        <v>285</v>
      </c>
      <c r="E2" s="3" t="s">
        <v>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E1" workbookViewId="0">
      <selection activeCell="P10" sqref="P10"/>
    </sheetView>
  </sheetViews>
  <sheetFormatPr defaultRowHeight="15" x14ac:dyDescent="0.25"/>
  <cols>
    <col min="1" max="1" width="17" style="3" bestFit="1" customWidth="1"/>
    <col min="2" max="2" width="11.7109375" style="3" bestFit="1" customWidth="1"/>
    <col min="3" max="3" width="18.28515625" style="3" bestFit="1" customWidth="1"/>
    <col min="4" max="6" width="9.140625" style="3"/>
    <col min="7" max="10" width="12" style="3" bestFit="1" customWidth="1"/>
    <col min="11" max="11" width="9.140625" style="3"/>
    <col min="12" max="13" width="23" style="3" bestFit="1" customWidth="1"/>
    <col min="14" max="14" width="9.140625" style="3"/>
    <col min="15" max="15" width="11.42578125" style="3" bestFit="1" customWidth="1"/>
    <col min="16" max="16" width="9.140625" style="3"/>
    <col min="17" max="17" width="41.140625" style="3" bestFit="1" customWidth="1"/>
    <col min="18" max="18" width="16.28515625" style="3" bestFit="1" customWidth="1"/>
    <col min="19" max="19" width="19.28515625" style="3" bestFit="1" customWidth="1"/>
    <col min="20" max="20" width="16.28515625" style="3" customWidth="1"/>
    <col min="21" max="21" width="10.28515625" style="3" bestFit="1" customWidth="1"/>
    <col min="22" max="16384" width="9.140625" style="3"/>
  </cols>
  <sheetData>
    <row r="1" spans="1:21" x14ac:dyDescent="0.25">
      <c r="A1" s="1" t="s">
        <v>31</v>
      </c>
      <c r="B1" s="1" t="s">
        <v>32</v>
      </c>
      <c r="C1" s="1" t="s">
        <v>33</v>
      </c>
      <c r="D1" s="3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4" t="s">
        <v>0</v>
      </c>
      <c r="Q1" s="4" t="s">
        <v>9</v>
      </c>
      <c r="R1" s="4" t="s">
        <v>527</v>
      </c>
      <c r="S1" s="3" t="s">
        <v>6</v>
      </c>
      <c r="T1" s="3" t="s">
        <v>7</v>
      </c>
      <c r="U1" s="4" t="s">
        <v>4</v>
      </c>
    </row>
    <row r="2" spans="1:21" x14ac:dyDescent="0.25">
      <c r="A2" s="4" t="s">
        <v>47</v>
      </c>
      <c r="B2" s="4" t="s">
        <v>48</v>
      </c>
      <c r="C2" s="4" t="s">
        <v>49</v>
      </c>
      <c r="D2" s="4">
        <v>1234</v>
      </c>
      <c r="E2" s="4" t="s">
        <v>50</v>
      </c>
      <c r="F2" s="4" t="s">
        <v>51</v>
      </c>
      <c r="G2" s="4" t="s">
        <v>521</v>
      </c>
      <c r="H2" s="4" t="s">
        <v>521</v>
      </c>
      <c r="I2" s="13" t="str">
        <f ca="1">CONCATENATE(RIGHT(TEXT(NOW(),"YYMMDDhhmmss"),11))</f>
        <v>60624113402</v>
      </c>
      <c r="J2" s="13" t="str">
        <f ca="1">CONCATENATE(RIGHT(TEXT(NOW(),"YYMMDDhhmmss"),11))</f>
        <v>60624113402</v>
      </c>
      <c r="K2" s="4">
        <v>1234</v>
      </c>
      <c r="L2" s="4" t="s">
        <v>52</v>
      </c>
      <c r="M2" s="4" t="s">
        <v>52</v>
      </c>
      <c r="N2" s="4">
        <v>111</v>
      </c>
      <c r="O2" s="4">
        <v>1234</v>
      </c>
      <c r="P2" s="2" t="s">
        <v>572</v>
      </c>
      <c r="Q2" s="4" t="s">
        <v>764</v>
      </c>
      <c r="R2" s="2" t="s">
        <v>579</v>
      </c>
      <c r="S2" s="4" t="s">
        <v>285</v>
      </c>
      <c r="T2" s="4" t="s">
        <v>8</v>
      </c>
      <c r="U2" s="4" t="s">
        <v>5</v>
      </c>
    </row>
    <row r="3" spans="1:21" x14ac:dyDescent="0.25">
      <c r="R3" s="4"/>
      <c r="S3" s="4"/>
      <c r="T3" s="4"/>
    </row>
    <row r="4" spans="1:21" x14ac:dyDescent="0.25">
      <c r="R4" s="2"/>
      <c r="S4" s="2"/>
      <c r="T4" s="2"/>
    </row>
    <row r="5" spans="1:21" x14ac:dyDescent="0.25">
      <c r="R5" s="2"/>
      <c r="S5" s="2"/>
      <c r="T5" s="2"/>
    </row>
    <row r="7" spans="1:21" x14ac:dyDescent="0.25">
      <c r="L7" s="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H12" sqref="H12"/>
    </sheetView>
  </sheetViews>
  <sheetFormatPr defaultRowHeight="15" x14ac:dyDescent="0.25"/>
  <cols>
    <col min="1" max="1" width="17" style="3" bestFit="1" customWidth="1"/>
    <col min="2" max="2" width="11.7109375" style="3" bestFit="1" customWidth="1"/>
    <col min="3" max="3" width="18.28515625" style="3" bestFit="1" customWidth="1"/>
    <col min="4" max="6" width="9.140625" style="3"/>
    <col min="7" max="10" width="12" style="3" bestFit="1" customWidth="1"/>
    <col min="11" max="11" width="9.140625" style="3"/>
    <col min="12" max="13" width="23" style="3" bestFit="1" customWidth="1"/>
    <col min="14" max="14" width="9.140625" style="3"/>
    <col min="15" max="15" width="11.42578125" style="3" bestFit="1" customWidth="1"/>
    <col min="16" max="16" width="9.140625" style="3"/>
    <col min="17" max="17" width="41.140625" style="3" bestFit="1" customWidth="1"/>
    <col min="18" max="18" width="16.28515625" style="3" bestFit="1" customWidth="1"/>
    <col min="19" max="19" width="19.28515625" style="3" bestFit="1" customWidth="1"/>
    <col min="20" max="20" width="16.28515625" style="3" customWidth="1"/>
    <col min="21" max="21" width="10.28515625" style="3" bestFit="1" customWidth="1"/>
    <col min="22" max="16384" width="9.140625" style="3"/>
  </cols>
  <sheetData>
    <row r="1" spans="1:21" x14ac:dyDescent="0.25">
      <c r="A1" s="1" t="s">
        <v>31</v>
      </c>
      <c r="B1" s="1" t="s">
        <v>32</v>
      </c>
      <c r="C1" s="1" t="s">
        <v>33</v>
      </c>
      <c r="D1" s="3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4" t="s">
        <v>0</v>
      </c>
      <c r="Q1" s="4" t="s">
        <v>9</v>
      </c>
      <c r="R1" s="4" t="s">
        <v>527</v>
      </c>
      <c r="S1" s="3" t="s">
        <v>6</v>
      </c>
      <c r="T1" s="3" t="s">
        <v>7</v>
      </c>
      <c r="U1" s="4" t="s">
        <v>4</v>
      </c>
    </row>
    <row r="2" spans="1:21" x14ac:dyDescent="0.25">
      <c r="A2" s="4"/>
      <c r="B2" s="4" t="s">
        <v>48</v>
      </c>
      <c r="C2" s="4" t="s">
        <v>49</v>
      </c>
      <c r="D2" s="4">
        <v>1234</v>
      </c>
      <c r="E2" s="4" t="s">
        <v>754</v>
      </c>
      <c r="F2" s="4" t="s">
        <v>177</v>
      </c>
      <c r="G2" s="4" t="s">
        <v>521</v>
      </c>
      <c r="H2" s="4" t="s">
        <v>521</v>
      </c>
      <c r="I2" s="13" t="str">
        <f t="shared" ref="I2:J4" ca="1" si="0">CONCATENATE(RIGHT(TEXT(NOW(),"YYMMDDhhmmss"),11))</f>
        <v>60624113402</v>
      </c>
      <c r="J2" s="13" t="str">
        <f t="shared" ca="1" si="0"/>
        <v>60624113402</v>
      </c>
      <c r="K2" s="4">
        <v>1234</v>
      </c>
      <c r="L2" s="4" t="s">
        <v>52</v>
      </c>
      <c r="M2" s="4" t="s">
        <v>52</v>
      </c>
      <c r="N2" s="4">
        <v>111</v>
      </c>
      <c r="O2" s="4">
        <v>1234</v>
      </c>
      <c r="P2" s="2" t="s">
        <v>572</v>
      </c>
      <c r="Q2" s="4" t="s">
        <v>760</v>
      </c>
      <c r="R2" s="4" t="s">
        <v>528</v>
      </c>
      <c r="S2" s="2" t="s">
        <v>579</v>
      </c>
      <c r="T2" s="4" t="s">
        <v>526</v>
      </c>
      <c r="U2" s="4" t="s">
        <v>5</v>
      </c>
    </row>
    <row r="3" spans="1:21" x14ac:dyDescent="0.25">
      <c r="A3" s="4" t="s">
        <v>47</v>
      </c>
      <c r="B3" s="4"/>
      <c r="C3" s="4" t="s">
        <v>49</v>
      </c>
      <c r="D3" s="4" t="s">
        <v>318</v>
      </c>
      <c r="E3" s="4" t="s">
        <v>754</v>
      </c>
      <c r="F3" s="4" t="s">
        <v>177</v>
      </c>
      <c r="G3" s="4" t="s">
        <v>521</v>
      </c>
      <c r="H3" s="4" t="s">
        <v>521</v>
      </c>
      <c r="I3" s="13" t="str">
        <f t="shared" ca="1" si="0"/>
        <v>60624113402</v>
      </c>
      <c r="J3" s="13" t="str">
        <f t="shared" ca="1" si="0"/>
        <v>60624113402</v>
      </c>
      <c r="K3" s="4" t="s">
        <v>318</v>
      </c>
      <c r="L3" s="4" t="s">
        <v>52</v>
      </c>
      <c r="M3" s="4" t="s">
        <v>52</v>
      </c>
      <c r="N3" s="4">
        <v>111</v>
      </c>
      <c r="O3" s="4">
        <v>1234</v>
      </c>
      <c r="P3" s="2" t="s">
        <v>573</v>
      </c>
      <c r="Q3" s="4" t="s">
        <v>761</v>
      </c>
      <c r="R3" s="4" t="s">
        <v>528</v>
      </c>
      <c r="S3" s="2" t="s">
        <v>579</v>
      </c>
      <c r="T3" s="4" t="s">
        <v>526</v>
      </c>
      <c r="U3" s="4" t="s">
        <v>5</v>
      </c>
    </row>
    <row r="4" spans="1:21" x14ac:dyDescent="0.25">
      <c r="A4" s="4" t="s">
        <v>47</v>
      </c>
      <c r="B4" s="4" t="s">
        <v>48</v>
      </c>
      <c r="C4" s="4" t="s">
        <v>49</v>
      </c>
      <c r="D4" s="4" t="s">
        <v>318</v>
      </c>
      <c r="E4" s="4" t="s">
        <v>754</v>
      </c>
      <c r="F4" s="4" t="s">
        <v>177</v>
      </c>
      <c r="G4" s="4" t="s">
        <v>521</v>
      </c>
      <c r="H4" s="4" t="s">
        <v>521</v>
      </c>
      <c r="I4" s="13"/>
      <c r="J4" s="13" t="str">
        <f t="shared" ca="1" si="0"/>
        <v>60624113402</v>
      </c>
      <c r="K4" s="4" t="s">
        <v>318</v>
      </c>
      <c r="L4" s="4" t="s">
        <v>52</v>
      </c>
      <c r="M4" s="4" t="s">
        <v>52</v>
      </c>
      <c r="N4" s="4">
        <v>111</v>
      </c>
      <c r="O4" s="4">
        <v>1234</v>
      </c>
      <c r="P4" s="2" t="s">
        <v>574</v>
      </c>
      <c r="Q4" s="4" t="s">
        <v>762</v>
      </c>
      <c r="R4" s="4" t="s">
        <v>528</v>
      </c>
      <c r="S4" s="2" t="s">
        <v>579</v>
      </c>
      <c r="T4" s="4" t="s">
        <v>526</v>
      </c>
      <c r="U4" s="4" t="s">
        <v>5</v>
      </c>
    </row>
    <row r="5" spans="1:21" x14ac:dyDescent="0.25">
      <c r="A5" s="4" t="s">
        <v>47</v>
      </c>
      <c r="B5" s="4" t="s">
        <v>48</v>
      </c>
      <c r="C5" s="4" t="s">
        <v>49</v>
      </c>
      <c r="D5" s="4">
        <v>1234</v>
      </c>
      <c r="E5" s="4" t="s">
        <v>754</v>
      </c>
      <c r="F5" s="4" t="s">
        <v>177</v>
      </c>
      <c r="G5" s="4" t="s">
        <v>521</v>
      </c>
      <c r="H5" s="4" t="s">
        <v>521</v>
      </c>
      <c r="I5" s="13" t="str">
        <f ca="1">CONCATENATE(RIGHT(TEXT(NOW(),"YYMMDDhhmmss"),10))</f>
        <v>0624113402</v>
      </c>
      <c r="J5" s="13" t="str">
        <f ca="1">CONCATENATE(RIGHT(TEXT(NOW(),"YYMMDDhhmmss"),11))</f>
        <v>60624113402</v>
      </c>
      <c r="K5" s="4">
        <v>1234</v>
      </c>
      <c r="L5" s="4" t="s">
        <v>52</v>
      </c>
      <c r="M5" s="4" t="s">
        <v>52</v>
      </c>
      <c r="N5" s="4">
        <v>111</v>
      </c>
      <c r="O5" s="4">
        <v>1234</v>
      </c>
      <c r="P5" s="2" t="s">
        <v>575</v>
      </c>
      <c r="Q5" s="4" t="s">
        <v>763</v>
      </c>
      <c r="R5" s="4" t="s">
        <v>536</v>
      </c>
      <c r="S5" s="2" t="s">
        <v>579</v>
      </c>
      <c r="T5" s="4" t="s">
        <v>526</v>
      </c>
      <c r="U5" s="4" t="s">
        <v>5</v>
      </c>
    </row>
    <row r="6" spans="1:21" x14ac:dyDescent="0.25">
      <c r="A6" s="4" t="s">
        <v>47</v>
      </c>
      <c r="B6" s="4" t="s">
        <v>48</v>
      </c>
      <c r="C6" s="4" t="s">
        <v>49</v>
      </c>
      <c r="D6" s="4">
        <v>1234</v>
      </c>
      <c r="E6" s="4" t="s">
        <v>754</v>
      </c>
      <c r="F6" s="4" t="s">
        <v>177</v>
      </c>
      <c r="G6" s="4" t="s">
        <v>521</v>
      </c>
      <c r="H6" s="4" t="s">
        <v>521</v>
      </c>
      <c r="I6" s="13" t="str">
        <f ca="1">CONCATENATE(RIGHT(TEXT(NOW(),"YYMMDDhhmmss"),11))</f>
        <v>60624113402</v>
      </c>
      <c r="J6" s="13" t="str">
        <f ca="1">CONCATENATE(RIGHT(TEXT(NOW(),"YYMMDDhhmmss"),11))</f>
        <v>60624113402</v>
      </c>
      <c r="K6" s="4">
        <v>1234</v>
      </c>
      <c r="L6" s="4" t="s">
        <v>52</v>
      </c>
      <c r="M6" s="4" t="s">
        <v>52</v>
      </c>
      <c r="N6" s="4">
        <v>111</v>
      </c>
      <c r="O6" s="4">
        <v>1234</v>
      </c>
      <c r="P6" s="2" t="s">
        <v>576</v>
      </c>
      <c r="Q6" s="4" t="s">
        <v>764</v>
      </c>
      <c r="R6" s="2" t="s">
        <v>579</v>
      </c>
      <c r="S6" s="4" t="s">
        <v>285</v>
      </c>
      <c r="T6" s="4" t="s">
        <v>8</v>
      </c>
      <c r="U6" s="4" t="s">
        <v>5</v>
      </c>
    </row>
    <row r="7" spans="1:21" x14ac:dyDescent="0.25">
      <c r="R7" s="4"/>
      <c r="S7" s="4"/>
      <c r="T7" s="4"/>
    </row>
    <row r="8" spans="1:21" x14ac:dyDescent="0.25">
      <c r="R8" s="2"/>
      <c r="S8" s="2"/>
      <c r="T8" s="2"/>
    </row>
    <row r="9" spans="1:21" x14ac:dyDescent="0.25">
      <c r="R9" s="2"/>
      <c r="S9" s="2"/>
      <c r="T9" s="2"/>
    </row>
    <row r="11" spans="1:21" x14ac:dyDescent="0.25">
      <c r="L11" s="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selection activeCell="I21" sqref="I21"/>
    </sheetView>
  </sheetViews>
  <sheetFormatPr defaultRowHeight="15" x14ac:dyDescent="0.25"/>
  <cols>
    <col min="1" max="1" width="15" style="3" bestFit="1" customWidth="1"/>
    <col min="2" max="2" width="20.42578125" style="3" bestFit="1" customWidth="1"/>
    <col min="3" max="3" width="10.42578125" style="3" bestFit="1" customWidth="1"/>
    <col min="4" max="4" width="11" style="3" bestFit="1" customWidth="1"/>
    <col min="5" max="5" width="16.140625" style="3" bestFit="1" customWidth="1"/>
    <col min="6" max="6" width="13.28515625" style="3" bestFit="1" customWidth="1"/>
    <col min="7" max="7" width="9.140625" style="3"/>
    <col min="8" max="8" width="40.5703125" style="3" bestFit="1" customWidth="1"/>
    <col min="9" max="9" width="16.28515625" style="3" bestFit="1" customWidth="1"/>
    <col min="10" max="10" width="52.28515625" style="3" bestFit="1" customWidth="1"/>
    <col min="11" max="16384" width="9.140625" style="3"/>
  </cols>
  <sheetData>
    <row r="1" spans="1:12" x14ac:dyDescent="0.25">
      <c r="A1" s="4" t="s">
        <v>56</v>
      </c>
      <c r="B1" s="5" t="s">
        <v>57</v>
      </c>
      <c r="C1" s="5" t="s">
        <v>58</v>
      </c>
      <c r="D1" s="5" t="s">
        <v>59</v>
      </c>
      <c r="E1" s="4" t="s">
        <v>60</v>
      </c>
      <c r="F1" s="5" t="s">
        <v>61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x14ac:dyDescent="0.25">
      <c r="A2" s="3" t="s">
        <v>62</v>
      </c>
      <c r="B2" s="3" t="str">
        <f ca="1">CONCATENATE("1",TEXT(NOW(),"YYYY"),"2",LEFT(TEXT(NOW(),"DDhhmmss"),8),"22",RIGHT(TEXT(NOW(),"ss"),1))</f>
        <v>12026224113402222</v>
      </c>
      <c r="C2" s="4" t="s">
        <v>63</v>
      </c>
      <c r="D2" s="12"/>
      <c r="E2" s="4" t="s">
        <v>65</v>
      </c>
      <c r="F2" s="4">
        <v>1234</v>
      </c>
      <c r="G2" s="2" t="s">
        <v>572</v>
      </c>
      <c r="H2" s="4" t="s">
        <v>765</v>
      </c>
      <c r="I2" s="2" t="s">
        <v>579</v>
      </c>
      <c r="J2" s="2" t="s">
        <v>581</v>
      </c>
      <c r="K2" s="3" t="s">
        <v>526</v>
      </c>
      <c r="L2" s="4" t="s">
        <v>5</v>
      </c>
    </row>
    <row r="3" spans="1:12" x14ac:dyDescent="0.25">
      <c r="A3" s="3" t="s">
        <v>62</v>
      </c>
      <c r="B3" s="3" t="str">
        <f ca="1">CONCATENATE("1",TEXT(NOW(),"YYYY"),"2",LEFT(TEXT(NOW(),"DDhhmmss"),8),"22",RIGHT(TEXT(NOW(),"ss"),1))</f>
        <v>12026224113402222</v>
      </c>
      <c r="C3" s="4"/>
      <c r="D3" s="12" t="str">
        <f ca="1">TEXT((NOW()+3652),"YYYY-MM-DD")</f>
        <v>2036-06-23</v>
      </c>
      <c r="E3" s="4" t="s">
        <v>65</v>
      </c>
      <c r="F3" s="4">
        <v>1234</v>
      </c>
      <c r="G3" s="2" t="s">
        <v>573</v>
      </c>
      <c r="H3" s="4" t="s">
        <v>766</v>
      </c>
      <c r="I3" s="2" t="s">
        <v>579</v>
      </c>
      <c r="J3" s="3" t="s">
        <v>552</v>
      </c>
      <c r="K3" s="3" t="s">
        <v>526</v>
      </c>
      <c r="L3" s="4" t="s">
        <v>5</v>
      </c>
    </row>
    <row r="4" spans="1:12" x14ac:dyDescent="0.25">
      <c r="A4" s="3" t="s">
        <v>62</v>
      </c>
      <c r="B4" s="3" t="str">
        <f ca="1">CONCATENATE("1",TEXT(NOW(),"YYYY"),"2",LEFT(TEXT(NOW(),"DDhhmmss"),8),"22",RIGHT(TEXT(NOW(),"ss"),1))</f>
        <v>12026224113402222</v>
      </c>
      <c r="C4" s="4" t="s">
        <v>63</v>
      </c>
      <c r="D4" s="12" t="str">
        <f ca="1">TEXT((NOW()+3652),"YYYY-MM-DD")</f>
        <v>2036-06-23</v>
      </c>
      <c r="E4" s="4" t="s">
        <v>65</v>
      </c>
      <c r="F4" s="4">
        <v>1234</v>
      </c>
      <c r="G4" s="2" t="s">
        <v>574</v>
      </c>
      <c r="H4" s="4" t="s">
        <v>767</v>
      </c>
      <c r="I4" s="9" t="s">
        <v>579</v>
      </c>
      <c r="J4" s="2" t="s">
        <v>447</v>
      </c>
      <c r="K4" s="3" t="s">
        <v>8</v>
      </c>
      <c r="L4" s="4" t="s">
        <v>5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H15" sqref="H15"/>
    </sheetView>
  </sheetViews>
  <sheetFormatPr defaultRowHeight="15" x14ac:dyDescent="0.25"/>
  <cols>
    <col min="1" max="1" width="15" style="3" bestFit="1" customWidth="1"/>
    <col min="2" max="2" width="20.42578125" style="3" bestFit="1" customWidth="1"/>
    <col min="3" max="3" width="10.42578125" style="3" bestFit="1" customWidth="1"/>
    <col min="4" max="4" width="11" style="3" bestFit="1" customWidth="1"/>
    <col min="5" max="5" width="16.140625" style="3" bestFit="1" customWidth="1"/>
    <col min="6" max="6" width="13.28515625" style="3" bestFit="1" customWidth="1"/>
    <col min="7" max="7" width="9.140625" style="3"/>
    <col min="8" max="8" width="40.5703125" style="3" bestFit="1" customWidth="1"/>
    <col min="9" max="9" width="16.28515625" style="3" bestFit="1" customWidth="1"/>
    <col min="10" max="10" width="52.28515625" style="3" bestFit="1" customWidth="1"/>
    <col min="11" max="16384" width="9.140625" style="3"/>
  </cols>
  <sheetData>
    <row r="1" spans="1:12" x14ac:dyDescent="0.25">
      <c r="A1" s="4" t="s">
        <v>56</v>
      </c>
      <c r="B1" s="5" t="s">
        <v>57</v>
      </c>
      <c r="C1" s="5" t="s">
        <v>58</v>
      </c>
      <c r="D1" s="5" t="s">
        <v>59</v>
      </c>
      <c r="E1" s="4" t="s">
        <v>60</v>
      </c>
      <c r="F1" s="5" t="s">
        <v>61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x14ac:dyDescent="0.25">
      <c r="A2" s="3" t="s">
        <v>62</v>
      </c>
      <c r="B2" s="3" t="str">
        <f ca="1">CONCATENATE("1",TEXT(NOW(),"YYYY"),"2",LEFT(TEXT(NOW(),"DDhhmmss"),8),"22",RIGHT(TEXT(NOW(),"ss"),1))</f>
        <v>12026224113402222</v>
      </c>
      <c r="C2" s="4" t="s">
        <v>63</v>
      </c>
      <c r="D2" s="12" t="str">
        <f ca="1">TEXT((NOW()+3652),"YYYY-MM-DD")</f>
        <v>2036-06-23</v>
      </c>
      <c r="E2" s="4" t="s">
        <v>65</v>
      </c>
      <c r="F2" s="4">
        <v>1234</v>
      </c>
      <c r="G2" s="2" t="s">
        <v>572</v>
      </c>
      <c r="H2" s="4" t="s">
        <v>767</v>
      </c>
      <c r="I2" s="9" t="s">
        <v>579</v>
      </c>
      <c r="J2" s="2" t="s">
        <v>447</v>
      </c>
      <c r="K2" s="3" t="s">
        <v>8</v>
      </c>
      <c r="L2" s="4" t="s">
        <v>5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B11" sqref="B11"/>
    </sheetView>
  </sheetViews>
  <sheetFormatPr defaultRowHeight="15" x14ac:dyDescent="0.25"/>
  <cols>
    <col min="1" max="1" width="17.42578125" style="3" bestFit="1" customWidth="1"/>
    <col min="2" max="2" width="18.42578125" style="3" bestFit="1" customWidth="1"/>
    <col min="3" max="3" width="11.42578125" style="3" bestFit="1" customWidth="1"/>
    <col min="4" max="4" width="11.5703125" style="3" bestFit="1" customWidth="1"/>
    <col min="5" max="5" width="9.140625" style="3"/>
    <col min="6" max="6" width="37.7109375" style="3" customWidth="1"/>
    <col min="7" max="16384" width="9.140625" style="3"/>
  </cols>
  <sheetData>
    <row r="1" spans="1:7" x14ac:dyDescent="0.25">
      <c r="A1" s="3" t="s">
        <v>66</v>
      </c>
      <c r="B1" s="3" t="s">
        <v>67</v>
      </c>
      <c r="C1" s="3" t="s">
        <v>68</v>
      </c>
      <c r="D1" s="3" t="s">
        <v>69</v>
      </c>
      <c r="E1" s="4" t="s">
        <v>0</v>
      </c>
      <c r="F1" s="4" t="s">
        <v>9</v>
      </c>
      <c r="G1" s="4" t="s">
        <v>4</v>
      </c>
    </row>
    <row r="2" spans="1:7" x14ac:dyDescent="0.25">
      <c r="A2" s="4" t="s">
        <v>514</v>
      </c>
      <c r="B2" s="3" t="s">
        <v>514</v>
      </c>
      <c r="C2" s="4">
        <v>2012</v>
      </c>
      <c r="D2" s="3" t="s">
        <v>21</v>
      </c>
      <c r="E2" s="2" t="s">
        <v>572</v>
      </c>
      <c r="F2" s="4" t="s">
        <v>768</v>
      </c>
      <c r="G2" s="4" t="s">
        <v>5</v>
      </c>
    </row>
    <row r="4" spans="1:7" x14ac:dyDescent="0.25">
      <c r="A4" s="7"/>
    </row>
    <row r="5" spans="1:7" x14ac:dyDescent="0.25">
      <c r="A5" s="7"/>
    </row>
    <row r="6" spans="1:7" x14ac:dyDescent="0.25">
      <c r="A6" s="7"/>
    </row>
    <row r="7" spans="1:7" x14ac:dyDescent="0.25">
      <c r="A7" s="7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2" sqref="D2"/>
    </sheetView>
  </sheetViews>
  <sheetFormatPr defaultRowHeight="15" x14ac:dyDescent="0.25"/>
  <cols>
    <col min="1" max="1" width="9.140625" style="3"/>
    <col min="2" max="2" width="33.140625" style="3" bestFit="1" customWidth="1"/>
    <col min="3" max="3" width="10.28515625" style="3" bestFit="1" customWidth="1"/>
    <col min="4" max="4" width="16.28515625" style="3" bestFit="1" customWidth="1"/>
    <col min="5" max="5" width="25.140625" style="3" bestFit="1" customWidth="1"/>
    <col min="6" max="16384" width="9.140625" style="3"/>
  </cols>
  <sheetData>
    <row r="1" spans="1:6" x14ac:dyDescent="0.25">
      <c r="A1" s="4" t="s">
        <v>0</v>
      </c>
      <c r="B1" s="4" t="s">
        <v>9</v>
      </c>
      <c r="C1" s="4" t="s">
        <v>4</v>
      </c>
      <c r="D1" s="4" t="s">
        <v>527</v>
      </c>
      <c r="E1" s="3" t="s">
        <v>6</v>
      </c>
      <c r="F1" s="3" t="s">
        <v>7</v>
      </c>
    </row>
    <row r="2" spans="1:6" x14ac:dyDescent="0.25">
      <c r="A2" s="2" t="s">
        <v>572</v>
      </c>
      <c r="B2" s="4" t="s">
        <v>772</v>
      </c>
      <c r="C2" s="4" t="s">
        <v>5</v>
      </c>
      <c r="D2" s="9" t="s">
        <v>579</v>
      </c>
      <c r="E2" s="4" t="s">
        <v>447</v>
      </c>
      <c r="F2" s="3" t="s">
        <v>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F3" sqref="F3"/>
    </sheetView>
  </sheetViews>
  <sheetFormatPr defaultRowHeight="15" x14ac:dyDescent="0.25"/>
  <cols>
    <col min="1" max="1" width="11.5703125" style="3" bestFit="1" customWidth="1"/>
    <col min="2" max="2" width="8.140625" style="3" bestFit="1" customWidth="1"/>
    <col min="3" max="3" width="10" style="3" bestFit="1" customWidth="1"/>
    <col min="4" max="4" width="11" style="3" bestFit="1" customWidth="1"/>
    <col min="5" max="5" width="14.85546875" style="3" bestFit="1" customWidth="1"/>
    <col min="6" max="6" width="10.42578125" style="3" bestFit="1" customWidth="1"/>
    <col min="7" max="7" width="9.140625" style="3"/>
    <col min="8" max="8" width="43" style="3" bestFit="1" customWidth="1"/>
    <col min="9" max="9" width="16.28515625" style="3" bestFit="1" customWidth="1"/>
    <col min="10" max="10" width="27.5703125" style="3" bestFit="1" customWidth="1"/>
    <col min="11" max="16384" width="9.140625" style="3"/>
  </cols>
  <sheetData>
    <row r="1" spans="1:12" x14ac:dyDescent="0.25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x14ac:dyDescent="0.25">
      <c r="A2" s="3" t="s">
        <v>21</v>
      </c>
      <c r="B2" s="3" t="s">
        <v>48</v>
      </c>
      <c r="C2" s="4" t="s">
        <v>517</v>
      </c>
      <c r="D2" s="12" t="str">
        <f ca="1">CONCATENATE(RIGHT(TEXT(NOW(),"YYMMDDhhmmss"),11))</f>
        <v>60624113402</v>
      </c>
      <c r="E2" s="15"/>
      <c r="F2" s="15" t="str">
        <f ca="1">TEXT(NOW()-10,"YYYY-MM-DD")</f>
        <v>2026-06-14</v>
      </c>
      <c r="G2" s="2" t="s">
        <v>572</v>
      </c>
      <c r="H2" s="4" t="s">
        <v>769</v>
      </c>
      <c r="I2" s="2" t="s">
        <v>579</v>
      </c>
      <c r="J2" s="3" t="s">
        <v>587</v>
      </c>
      <c r="K2" s="3" t="s">
        <v>526</v>
      </c>
      <c r="L2" s="4" t="s">
        <v>5</v>
      </c>
    </row>
    <row r="3" spans="1:12" x14ac:dyDescent="0.25">
      <c r="A3" s="3" t="s">
        <v>21</v>
      </c>
      <c r="B3" s="3" t="s">
        <v>48</v>
      </c>
      <c r="C3" s="4" t="s">
        <v>517</v>
      </c>
      <c r="D3" s="12" t="str">
        <f ca="1">CONCATENATE(RIGHT(TEXT(NOW(),"YYMMDDhhmmss"),11))</f>
        <v>60624113402</v>
      </c>
      <c r="E3" s="15" t="str">
        <f ca="1">TEXT(NOW()-1500,"YYYY-MM-DD")</f>
        <v>2022-05-16</v>
      </c>
      <c r="F3" s="15"/>
      <c r="G3" s="2" t="s">
        <v>573</v>
      </c>
      <c r="H3" s="4" t="s">
        <v>770</v>
      </c>
      <c r="I3" s="2" t="s">
        <v>579</v>
      </c>
      <c r="J3" s="3" t="s">
        <v>589</v>
      </c>
      <c r="K3" s="3" t="s">
        <v>526</v>
      </c>
      <c r="L3" s="4" t="s">
        <v>5</v>
      </c>
    </row>
    <row r="4" spans="1:12" x14ac:dyDescent="0.25">
      <c r="A4" s="3" t="s">
        <v>21</v>
      </c>
      <c r="B4" s="3" t="s">
        <v>48</v>
      </c>
      <c r="C4" s="4" t="s">
        <v>517</v>
      </c>
      <c r="D4" s="12" t="str">
        <f ca="1">CONCATENATE(RIGHT(TEXT(NOW(),"YYMMDDhhmmss"),11))</f>
        <v>60624113402</v>
      </c>
      <c r="E4" s="15" t="str">
        <f ca="1">TEXT(NOW()-1500,"YYYY-MM-DD")</f>
        <v>2022-05-16</v>
      </c>
      <c r="F4" s="15" t="str">
        <f ca="1">TEXT(NOW()-10,"YYYY-MM-DD")</f>
        <v>2026-06-14</v>
      </c>
      <c r="G4" s="2" t="s">
        <v>574</v>
      </c>
      <c r="H4" s="4" t="s">
        <v>771</v>
      </c>
      <c r="I4" s="2" t="s">
        <v>579</v>
      </c>
      <c r="J4" s="3" t="s">
        <v>447</v>
      </c>
      <c r="K4" s="3" t="s">
        <v>8</v>
      </c>
      <c r="L4" s="4" t="s">
        <v>5</v>
      </c>
    </row>
    <row r="5" spans="1:12" x14ac:dyDescent="0.25">
      <c r="A5" s="7"/>
    </row>
    <row r="6" spans="1:12" x14ac:dyDescent="0.25">
      <c r="A6" s="7"/>
    </row>
    <row r="7" spans="1:12" x14ac:dyDescent="0.25">
      <c r="A7" s="7"/>
    </row>
    <row r="8" spans="1:12" x14ac:dyDescent="0.25">
      <c r="A8" s="7"/>
    </row>
    <row r="9" spans="1:12" x14ac:dyDescent="0.25">
      <c r="A9" s="7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G2" sqref="G2"/>
    </sheetView>
  </sheetViews>
  <sheetFormatPr defaultRowHeight="15" x14ac:dyDescent="0.25"/>
  <cols>
    <col min="1" max="1" width="11.5703125" style="3" bestFit="1" customWidth="1"/>
    <col min="2" max="2" width="8.140625" style="3" bestFit="1" customWidth="1"/>
    <col min="3" max="3" width="10" style="3" bestFit="1" customWidth="1"/>
    <col min="4" max="4" width="11" style="3" bestFit="1" customWidth="1"/>
    <col min="5" max="5" width="14.85546875" style="3" bestFit="1" customWidth="1"/>
    <col min="6" max="6" width="10.42578125" style="3" bestFit="1" customWidth="1"/>
    <col min="7" max="7" width="9.140625" style="3"/>
    <col min="8" max="8" width="43" style="3" bestFit="1" customWidth="1"/>
    <col min="9" max="9" width="16.28515625" style="3" bestFit="1" customWidth="1"/>
    <col min="10" max="10" width="27.5703125" style="3" bestFit="1" customWidth="1"/>
    <col min="11" max="16384" width="9.140625" style="3"/>
  </cols>
  <sheetData>
    <row r="1" spans="1:12" x14ac:dyDescent="0.25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x14ac:dyDescent="0.25">
      <c r="A2" s="3" t="s">
        <v>21</v>
      </c>
      <c r="B2" s="3" t="s">
        <v>48</v>
      </c>
      <c r="C2" s="4" t="s">
        <v>517</v>
      </c>
      <c r="D2" s="12" t="str">
        <f ca="1">CONCATENATE(RIGHT(TEXT(NOW(),"YYMMDDhhmmss"),11))</f>
        <v>60624113402</v>
      </c>
      <c r="E2" s="15" t="str">
        <f ca="1">TEXT(NOW()-1500,"YYYY-MM-DD")</f>
        <v>2022-05-16</v>
      </c>
      <c r="F2" s="15" t="str">
        <f ca="1">TEXT(NOW()-10,"YYYY-MM-DD")</f>
        <v>2026-06-14</v>
      </c>
      <c r="G2" s="2" t="s">
        <v>572</v>
      </c>
      <c r="H2" s="4" t="s">
        <v>771</v>
      </c>
      <c r="I2" s="2" t="s">
        <v>579</v>
      </c>
      <c r="J2" s="3" t="s">
        <v>447</v>
      </c>
      <c r="K2" s="3" t="s">
        <v>8</v>
      </c>
      <c r="L2" s="4" t="s">
        <v>5</v>
      </c>
    </row>
    <row r="3" spans="1:12" x14ac:dyDescent="0.25">
      <c r="A3" s="7"/>
    </row>
    <row r="4" spans="1:12" x14ac:dyDescent="0.25">
      <c r="A4" s="7"/>
    </row>
    <row r="5" spans="1:12" x14ac:dyDescent="0.25">
      <c r="A5" s="7"/>
    </row>
    <row r="6" spans="1:12" x14ac:dyDescent="0.25">
      <c r="A6" s="7"/>
    </row>
    <row r="7" spans="1:12" x14ac:dyDescent="0.25">
      <c r="A7" s="7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F14" sqref="F14"/>
    </sheetView>
  </sheetViews>
  <sheetFormatPr defaultRowHeight="15" x14ac:dyDescent="0.25"/>
  <cols>
    <col min="1" max="1" width="10.140625" style="3" bestFit="1" customWidth="1"/>
    <col min="2" max="2" width="12.7109375" style="3" bestFit="1" customWidth="1"/>
    <col min="3" max="3" width="9.85546875" style="3" customWidth="1"/>
    <col min="4" max="4" width="8.140625" style="3" customWidth="1"/>
    <col min="5" max="5" width="9" style="3" bestFit="1" customWidth="1"/>
    <col min="6" max="6" width="9.140625" style="3"/>
    <col min="7" max="7" width="11.85546875" style="3" bestFit="1" customWidth="1"/>
    <col min="8" max="8" width="10.42578125" style="3" bestFit="1" customWidth="1"/>
    <col min="9" max="9" width="9.140625" style="3"/>
    <col min="10" max="10" width="41" style="3" bestFit="1" customWidth="1"/>
    <col min="11" max="16384" width="9.140625" style="3"/>
  </cols>
  <sheetData>
    <row r="1" spans="1:11" x14ac:dyDescent="0.25">
      <c r="A1" s="3" t="s">
        <v>77</v>
      </c>
      <c r="B1" s="3" t="s">
        <v>78</v>
      </c>
      <c r="C1" s="3" t="s">
        <v>79</v>
      </c>
      <c r="D1" s="3" t="s">
        <v>80</v>
      </c>
      <c r="E1" s="3" t="s">
        <v>81</v>
      </c>
      <c r="F1" s="3" t="s">
        <v>82</v>
      </c>
      <c r="G1" s="3" t="s">
        <v>74</v>
      </c>
      <c r="H1" s="3" t="s">
        <v>75</v>
      </c>
      <c r="I1" s="4" t="s">
        <v>0</v>
      </c>
      <c r="J1" s="4" t="s">
        <v>9</v>
      </c>
      <c r="K1" s="4" t="s">
        <v>4</v>
      </c>
    </row>
    <row r="2" spans="1:11" x14ac:dyDescent="0.25">
      <c r="A2" s="3" t="s">
        <v>83</v>
      </c>
      <c r="B2" s="3" t="s">
        <v>21</v>
      </c>
      <c r="C2" s="3" t="s">
        <v>520</v>
      </c>
      <c r="D2" s="3" t="s">
        <v>84</v>
      </c>
      <c r="E2" s="4">
        <v>1234</v>
      </c>
      <c r="F2" s="4">
        <v>123456</v>
      </c>
      <c r="G2" s="4" t="s">
        <v>22</v>
      </c>
      <c r="H2" s="4" t="s">
        <v>64</v>
      </c>
      <c r="I2" s="2" t="s">
        <v>572</v>
      </c>
      <c r="J2" s="4" t="s">
        <v>773</v>
      </c>
      <c r="K2" s="4" t="s">
        <v>5</v>
      </c>
    </row>
    <row r="4" spans="1:11" x14ac:dyDescent="0.25">
      <c r="A4" s="7"/>
    </row>
    <row r="5" spans="1:11" x14ac:dyDescent="0.25">
      <c r="A5" s="7"/>
    </row>
    <row r="6" spans="1:11" x14ac:dyDescent="0.25">
      <c r="A6" s="7"/>
    </row>
    <row r="7" spans="1:11" x14ac:dyDescent="0.25">
      <c r="A7" s="7"/>
    </row>
    <row r="8" spans="1:11" x14ac:dyDescent="0.25">
      <c r="A8" s="7"/>
    </row>
    <row r="9" spans="1:11" x14ac:dyDescent="0.25">
      <c r="A9" s="7"/>
    </row>
    <row r="10" spans="1:11" x14ac:dyDescent="0.25">
      <c r="A10" s="7"/>
    </row>
    <row r="11" spans="1:11" x14ac:dyDescent="0.25">
      <c r="A11" s="7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29" sqref="D29"/>
    </sheetView>
  </sheetViews>
  <sheetFormatPr defaultRowHeight="15" x14ac:dyDescent="0.25"/>
  <cols>
    <col min="1" max="1" width="9.140625" style="3"/>
    <col min="2" max="2" width="41" style="3" bestFit="1" customWidth="1"/>
    <col min="3" max="3" width="9.140625" style="3"/>
    <col min="4" max="4" width="25.140625" style="3" bestFit="1" customWidth="1"/>
    <col min="5" max="16384" width="9.140625" style="3"/>
  </cols>
  <sheetData>
    <row r="1" spans="1:5" x14ac:dyDescent="0.25">
      <c r="A1" s="4" t="s">
        <v>0</v>
      </c>
      <c r="B1" s="4" t="s">
        <v>9</v>
      </c>
      <c r="C1" s="4" t="s">
        <v>4</v>
      </c>
      <c r="D1" s="3" t="s">
        <v>6</v>
      </c>
      <c r="E1" s="3" t="s">
        <v>7</v>
      </c>
    </row>
    <row r="2" spans="1:5" x14ac:dyDescent="0.25">
      <c r="A2" s="2" t="s">
        <v>572</v>
      </c>
      <c r="B2" s="4" t="s">
        <v>774</v>
      </c>
      <c r="C2" s="4" t="s">
        <v>5</v>
      </c>
      <c r="D2" s="4" t="s">
        <v>447</v>
      </c>
      <c r="E2" s="3" t="s">
        <v>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G26" sqref="G26"/>
    </sheetView>
  </sheetViews>
  <sheetFormatPr defaultRowHeight="15" x14ac:dyDescent="0.25"/>
  <cols>
    <col min="1" max="1" width="20.28515625" style="3" bestFit="1" customWidth="1"/>
    <col min="2" max="16384" width="9.140625" style="3"/>
  </cols>
  <sheetData>
    <row r="1" spans="1:2" x14ac:dyDescent="0.25">
      <c r="A1" s="3" t="s">
        <v>413</v>
      </c>
      <c r="B1" s="3" t="s">
        <v>0</v>
      </c>
    </row>
    <row r="2" spans="1:2" x14ac:dyDescent="0.25">
      <c r="A2" s="3" t="s">
        <v>445</v>
      </c>
      <c r="B2" s="2" t="s">
        <v>572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selection activeCell="G27" sqref="G27"/>
    </sheetView>
  </sheetViews>
  <sheetFormatPr defaultRowHeight="15" x14ac:dyDescent="0.25"/>
  <cols>
    <col min="1" max="1" width="11.28515625" style="3" bestFit="1" customWidth="1"/>
    <col min="2" max="2" width="13.140625" style="3" bestFit="1" customWidth="1"/>
    <col min="3" max="4" width="12.85546875" style="3" bestFit="1" customWidth="1"/>
    <col min="5" max="5" width="14.5703125" style="3" bestFit="1" customWidth="1"/>
    <col min="6" max="6" width="20" style="3" bestFit="1" customWidth="1"/>
    <col min="7" max="7" width="21.85546875" style="3" bestFit="1" customWidth="1"/>
    <col min="8" max="8" width="13.28515625" style="3" bestFit="1" customWidth="1"/>
    <col min="9" max="9" width="15.140625" style="3" bestFit="1" customWidth="1"/>
    <col min="10" max="10" width="11.140625" style="3" bestFit="1" customWidth="1"/>
    <col min="11" max="11" width="13.7109375" style="3" bestFit="1" customWidth="1"/>
    <col min="12" max="12" width="9.140625" style="3"/>
    <col min="13" max="13" width="11.5703125" style="3" bestFit="1" customWidth="1"/>
    <col min="14" max="14" width="18.28515625" style="3" bestFit="1" customWidth="1"/>
    <col min="15" max="15" width="9.140625" style="3"/>
    <col min="16" max="16" width="40" style="3" bestFit="1" customWidth="1"/>
    <col min="17" max="17" width="9.140625" style="3"/>
    <col min="18" max="18" width="19.28515625" style="3" bestFit="1" customWidth="1"/>
    <col min="19" max="16384" width="9.140625" style="3"/>
  </cols>
  <sheetData>
    <row r="1" spans="1:20" x14ac:dyDescent="0.25">
      <c r="A1" s="4" t="s">
        <v>10</v>
      </c>
      <c r="B1" s="4" t="s">
        <v>11</v>
      </c>
      <c r="C1" s="1" t="s">
        <v>12</v>
      </c>
      <c r="D1" s="1" t="s">
        <v>13</v>
      </c>
      <c r="E1" s="1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2</v>
      </c>
      <c r="K1" s="4" t="s">
        <v>19</v>
      </c>
      <c r="L1" s="4" t="s">
        <v>20</v>
      </c>
      <c r="M1" s="4" t="s">
        <v>28</v>
      </c>
      <c r="N1" s="4" t="s">
        <v>30</v>
      </c>
      <c r="O1" s="4" t="s">
        <v>0</v>
      </c>
      <c r="P1" s="4" t="s">
        <v>9</v>
      </c>
      <c r="Q1" s="4" t="s">
        <v>527</v>
      </c>
      <c r="R1" s="4" t="s">
        <v>6</v>
      </c>
      <c r="S1" s="4" t="s">
        <v>7</v>
      </c>
      <c r="T1" s="4" t="s">
        <v>4</v>
      </c>
    </row>
    <row r="2" spans="1:20" x14ac:dyDescent="0.25">
      <c r="A2" s="4" t="str">
        <f ca="1">CONCATENATE("Auto",TEXT(NOW(),"DDHHMM"))</f>
        <v>Auto241134</v>
      </c>
      <c r="B2" s="4" t="s">
        <v>753</v>
      </c>
      <c r="C2" s="4" t="s">
        <v>1</v>
      </c>
      <c r="D2" s="4">
        <v>1111</v>
      </c>
      <c r="E2" s="4" t="s">
        <v>416</v>
      </c>
      <c r="F2" s="4" t="s">
        <v>22</v>
      </c>
      <c r="G2" s="4" t="s">
        <v>513</v>
      </c>
      <c r="H2" s="4" t="s">
        <v>23</v>
      </c>
      <c r="I2" s="4" t="s">
        <v>25</v>
      </c>
      <c r="J2" s="4" t="s">
        <v>752</v>
      </c>
      <c r="K2" s="4" t="s">
        <v>27</v>
      </c>
      <c r="L2" s="2"/>
      <c r="M2" s="4" t="s">
        <v>29</v>
      </c>
      <c r="N2" s="4" t="s">
        <v>118</v>
      </c>
      <c r="O2" s="2" t="s">
        <v>3</v>
      </c>
      <c r="P2" s="2" t="s">
        <v>757</v>
      </c>
      <c r="Q2" s="2" t="s">
        <v>579</v>
      </c>
      <c r="R2" s="2" t="s">
        <v>285</v>
      </c>
      <c r="S2" s="4" t="s">
        <v>8</v>
      </c>
      <c r="T2" s="4" t="s">
        <v>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sqref="A1:A2"/>
    </sheetView>
  </sheetViews>
  <sheetFormatPr defaultRowHeight="15" x14ac:dyDescent="0.25"/>
  <cols>
    <col min="1" max="1" width="17" style="3" bestFit="1" customWidth="1"/>
    <col min="2" max="2" width="11.7109375" style="3" bestFit="1" customWidth="1"/>
    <col min="3" max="3" width="18.28515625" style="3" bestFit="1" customWidth="1"/>
    <col min="4" max="4" width="10.140625" style="3" bestFit="1" customWidth="1"/>
    <col min="5" max="6" width="9.140625" style="3"/>
    <col min="7" max="10" width="12" style="3" bestFit="1" customWidth="1"/>
    <col min="11" max="11" width="9.140625" style="3"/>
    <col min="12" max="13" width="23" style="3" bestFit="1" customWidth="1"/>
    <col min="14" max="14" width="9.140625" style="3"/>
    <col min="15" max="15" width="11.42578125" style="3" bestFit="1" customWidth="1"/>
    <col min="16" max="16" width="9.140625" style="3"/>
    <col min="17" max="17" width="22" style="3" bestFit="1" customWidth="1"/>
    <col min="18" max="16384" width="9.140625" style="3"/>
  </cols>
  <sheetData>
    <row r="1" spans="1:18" x14ac:dyDescent="0.25">
      <c r="A1" s="1" t="s">
        <v>31</v>
      </c>
      <c r="B1" s="1" t="s">
        <v>32</v>
      </c>
      <c r="C1" s="1" t="s">
        <v>33</v>
      </c>
      <c r="D1" s="3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4" t="s">
        <v>0</v>
      </c>
      <c r="Q1" s="4" t="s">
        <v>9</v>
      </c>
      <c r="R1" s="4" t="s">
        <v>4</v>
      </c>
    </row>
    <row r="2" spans="1:18" x14ac:dyDescent="0.25">
      <c r="A2" s="4" t="s">
        <v>47</v>
      </c>
      <c r="B2" s="4" t="s">
        <v>48</v>
      </c>
      <c r="C2" s="4" t="s">
        <v>49</v>
      </c>
      <c r="D2" s="4">
        <v>1234</v>
      </c>
      <c r="E2" s="4" t="s">
        <v>754</v>
      </c>
      <c r="F2" s="4" t="s">
        <v>51</v>
      </c>
      <c r="G2" s="4" t="s">
        <v>522</v>
      </c>
      <c r="H2" s="4" t="s">
        <v>522</v>
      </c>
      <c r="I2" s="13" t="str">
        <f ca="1">CONCATENATE(RIGHT(TEXT(NOW(),"YYMMDDhhmmss"),11))</f>
        <v>60624113402</v>
      </c>
      <c r="J2" s="13" t="str">
        <f ca="1">CONCATENATE(RIGHT(TEXT(NOW(),"YYMMDDhhmmss"),11))</f>
        <v>60624113402</v>
      </c>
      <c r="K2" s="4">
        <v>1234</v>
      </c>
      <c r="L2" s="4" t="s">
        <v>52</v>
      </c>
      <c r="M2" s="4" t="s">
        <v>52</v>
      </c>
      <c r="N2" s="4">
        <v>111</v>
      </c>
      <c r="O2" s="4">
        <v>1234</v>
      </c>
      <c r="P2" s="2" t="s">
        <v>572</v>
      </c>
      <c r="Q2" s="4" t="s">
        <v>758</v>
      </c>
      <c r="R2" s="4" t="s">
        <v>5</v>
      </c>
    </row>
    <row r="4" spans="1:18" x14ac:dyDescent="0.25">
      <c r="A4" s="5"/>
    </row>
    <row r="5" spans="1:18" x14ac:dyDescent="0.25">
      <c r="A5" s="5"/>
    </row>
    <row r="6" spans="1:18" x14ac:dyDescent="0.25">
      <c r="A6" s="5"/>
    </row>
    <row r="7" spans="1:18" x14ac:dyDescent="0.25">
      <c r="A7" s="5"/>
    </row>
    <row r="8" spans="1:18" x14ac:dyDescent="0.25">
      <c r="A8" s="5"/>
    </row>
    <row r="9" spans="1:18" x14ac:dyDescent="0.25">
      <c r="A9" s="5"/>
    </row>
    <row r="10" spans="1:18" x14ac:dyDescent="0.25">
      <c r="A10" s="5"/>
    </row>
    <row r="11" spans="1:18" x14ac:dyDescent="0.25">
      <c r="A11" s="5"/>
    </row>
    <row r="12" spans="1:18" x14ac:dyDescent="0.25">
      <c r="A12" s="5"/>
    </row>
    <row r="13" spans="1:18" x14ac:dyDescent="0.25">
      <c r="A13" s="5"/>
    </row>
    <row r="14" spans="1:18" x14ac:dyDescent="0.25">
      <c r="A14" s="5"/>
    </row>
    <row r="15" spans="1:18" x14ac:dyDescent="0.25">
      <c r="A15" s="5"/>
    </row>
    <row r="16" spans="1:18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x14ac:dyDescent="0.25"/>
  <cols>
    <col min="1" max="1" width="9.140625" style="3"/>
    <col min="2" max="2" width="44.42578125" style="3" bestFit="1" customWidth="1"/>
    <col min="3" max="3" width="10.28515625" style="3" bestFit="1" customWidth="1"/>
    <col min="4" max="4" width="19.28515625" style="3" bestFit="1" customWidth="1"/>
    <col min="5" max="16384" width="9.140625" style="3"/>
  </cols>
  <sheetData>
    <row r="1" spans="1:5" x14ac:dyDescent="0.25">
      <c r="A1" s="4" t="s">
        <v>0</v>
      </c>
      <c r="B1" s="4" t="s">
        <v>9</v>
      </c>
      <c r="C1" s="4" t="s">
        <v>4</v>
      </c>
      <c r="D1" s="3" t="s">
        <v>6</v>
      </c>
      <c r="E1" s="3" t="s">
        <v>7</v>
      </c>
    </row>
    <row r="2" spans="1:5" x14ac:dyDescent="0.25">
      <c r="A2" s="2" t="s">
        <v>572</v>
      </c>
      <c r="B2" s="2" t="s">
        <v>756</v>
      </c>
      <c r="C2" s="4" t="s">
        <v>5</v>
      </c>
      <c r="D2" s="4" t="s">
        <v>285</v>
      </c>
      <c r="E2" s="3" t="s">
        <v>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opLeftCell="C1" workbookViewId="0">
      <selection activeCell="F23" sqref="F23"/>
    </sheetView>
  </sheetViews>
  <sheetFormatPr defaultRowHeight="15" x14ac:dyDescent="0.25"/>
  <cols>
    <col min="1" max="1" width="17" style="3" bestFit="1" customWidth="1"/>
    <col min="2" max="2" width="11.7109375" style="3" bestFit="1" customWidth="1"/>
    <col min="3" max="3" width="18.28515625" style="3" bestFit="1" customWidth="1"/>
    <col min="4" max="4" width="10.140625" style="3" bestFit="1" customWidth="1"/>
    <col min="5" max="6" width="9.140625" style="3"/>
    <col min="7" max="10" width="12" style="3" bestFit="1" customWidth="1"/>
    <col min="11" max="11" width="9.140625" style="3"/>
    <col min="12" max="13" width="23" style="3" bestFit="1" customWidth="1"/>
    <col min="14" max="14" width="9.140625" style="3"/>
    <col min="15" max="15" width="11.42578125" style="3" bestFit="1" customWidth="1"/>
    <col min="16" max="16" width="9.140625" style="3"/>
    <col min="17" max="17" width="23.42578125" style="3" bestFit="1" customWidth="1"/>
    <col min="18" max="18" width="10.28515625" style="3" bestFit="1" customWidth="1"/>
    <col min="19" max="16384" width="9.140625" style="3"/>
  </cols>
  <sheetData>
    <row r="1" spans="1:18" x14ac:dyDescent="0.25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4" t="s">
        <v>0</v>
      </c>
      <c r="Q1" s="4" t="s">
        <v>9</v>
      </c>
      <c r="R1" s="4" t="s">
        <v>4</v>
      </c>
    </row>
    <row r="2" spans="1:18" x14ac:dyDescent="0.25">
      <c r="A2" s="4" t="s">
        <v>47</v>
      </c>
      <c r="B2" s="4" t="s">
        <v>48</v>
      </c>
      <c r="C2" s="4" t="s">
        <v>49</v>
      </c>
      <c r="D2" s="4">
        <v>1234</v>
      </c>
      <c r="E2" s="4" t="s">
        <v>754</v>
      </c>
      <c r="F2" s="4" t="s">
        <v>169</v>
      </c>
      <c r="G2" s="4" t="s">
        <v>54</v>
      </c>
      <c r="H2" s="4" t="s">
        <v>54</v>
      </c>
      <c r="I2" s="13" t="str">
        <f ca="1">CONCATENATE(RIGHT(TEXT(NOW(),"YYMMDDhhmmss"),11))</f>
        <v>60624113402</v>
      </c>
      <c r="J2" s="13" t="str">
        <f ca="1">CONCATENATE(RIGHT(TEXT(NOW(),"YYMMDDhhmmss"),11))</f>
        <v>60624113402</v>
      </c>
      <c r="K2" s="4">
        <v>1234</v>
      </c>
      <c r="L2" s="4" t="s">
        <v>52</v>
      </c>
      <c r="M2" s="4" t="s">
        <v>52</v>
      </c>
      <c r="N2" s="4">
        <v>111</v>
      </c>
      <c r="O2" s="4">
        <v>1234</v>
      </c>
      <c r="P2" s="2" t="s">
        <v>572</v>
      </c>
      <c r="Q2" s="4" t="s">
        <v>759</v>
      </c>
      <c r="R2" s="4" t="s">
        <v>5</v>
      </c>
    </row>
    <row r="4" spans="1:18" x14ac:dyDescent="0.25">
      <c r="A4" s="5"/>
    </row>
    <row r="5" spans="1:18" x14ac:dyDescent="0.25">
      <c r="A5" s="5"/>
    </row>
    <row r="6" spans="1:18" x14ac:dyDescent="0.25">
      <c r="A6" s="5"/>
    </row>
    <row r="7" spans="1:18" x14ac:dyDescent="0.25">
      <c r="A7" s="5"/>
    </row>
    <row r="8" spans="1:18" x14ac:dyDescent="0.25">
      <c r="A8" s="5"/>
    </row>
    <row r="9" spans="1:18" x14ac:dyDescent="0.25">
      <c r="A9" s="5"/>
    </row>
    <row r="10" spans="1:18" x14ac:dyDescent="0.25">
      <c r="A10" s="5"/>
    </row>
    <row r="11" spans="1:18" x14ac:dyDescent="0.25">
      <c r="A11" s="5"/>
    </row>
    <row r="12" spans="1:18" x14ac:dyDescent="0.25">
      <c r="A12" s="5"/>
    </row>
    <row r="13" spans="1:18" x14ac:dyDescent="0.25">
      <c r="A13" s="5"/>
    </row>
    <row r="14" spans="1:18" x14ac:dyDescent="0.25">
      <c r="A14" s="5"/>
    </row>
    <row r="15" spans="1:18" x14ac:dyDescent="0.25">
      <c r="A15" s="5"/>
    </row>
    <row r="16" spans="1:18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A2"/>
    </sheetView>
  </sheetViews>
  <sheetFormatPr defaultRowHeight="15" x14ac:dyDescent="0.25"/>
  <cols>
    <col min="1" max="1" width="9.140625" style="3"/>
    <col min="2" max="2" width="31.7109375" style="3" bestFit="1" customWidth="1"/>
    <col min="3" max="3" width="10.28515625" style="3" bestFit="1" customWidth="1"/>
    <col min="4" max="4" width="19.28515625" style="3" bestFit="1" customWidth="1"/>
    <col min="5" max="16384" width="9.140625" style="3"/>
  </cols>
  <sheetData>
    <row r="1" spans="1:5" x14ac:dyDescent="0.25">
      <c r="A1" s="4" t="s">
        <v>0</v>
      </c>
      <c r="B1" s="4" t="s">
        <v>9</v>
      </c>
      <c r="C1" s="4" t="s">
        <v>4</v>
      </c>
      <c r="D1" s="3" t="s">
        <v>6</v>
      </c>
      <c r="E1" s="3" t="s">
        <v>7</v>
      </c>
    </row>
    <row r="2" spans="1:5" x14ac:dyDescent="0.25">
      <c r="A2" s="2" t="s">
        <v>572</v>
      </c>
      <c r="B2" s="4" t="s">
        <v>755</v>
      </c>
      <c r="C2" s="4" t="s">
        <v>5</v>
      </c>
      <c r="D2" s="4" t="s">
        <v>285</v>
      </c>
      <c r="E2" s="3" t="s">
        <v>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A2"/>
    </sheetView>
  </sheetViews>
  <sheetFormatPr defaultRowHeight="15" x14ac:dyDescent="0.25"/>
  <cols>
    <col min="1" max="1" width="17" style="3" bestFit="1" customWidth="1"/>
    <col min="2" max="2" width="11.7109375" style="3" bestFit="1" customWidth="1"/>
    <col min="3" max="3" width="18.28515625" style="3" bestFit="1" customWidth="1"/>
    <col min="4" max="6" width="9.140625" style="3"/>
    <col min="7" max="10" width="12" style="3" bestFit="1" customWidth="1"/>
    <col min="11" max="11" width="9.140625" style="3"/>
    <col min="12" max="13" width="23" style="3" bestFit="1" customWidth="1"/>
    <col min="14" max="14" width="9.140625" style="3"/>
    <col min="15" max="15" width="11.42578125" style="3" bestFit="1" customWidth="1"/>
    <col min="16" max="16" width="9.140625" style="3"/>
    <col min="17" max="17" width="41.140625" style="3" bestFit="1" customWidth="1"/>
    <col min="18" max="18" width="16.28515625" style="3" bestFit="1" customWidth="1"/>
    <col min="19" max="19" width="19.28515625" style="3" bestFit="1" customWidth="1"/>
    <col min="20" max="20" width="16.28515625" style="3" customWidth="1"/>
    <col min="21" max="21" width="10.28515625" style="3" bestFit="1" customWidth="1"/>
    <col min="22" max="16384" width="9.140625" style="3"/>
  </cols>
  <sheetData>
    <row r="1" spans="1:21" x14ac:dyDescent="0.25">
      <c r="A1" s="1" t="s">
        <v>31</v>
      </c>
      <c r="B1" s="1" t="s">
        <v>32</v>
      </c>
      <c r="C1" s="1" t="s">
        <v>33</v>
      </c>
      <c r="D1" s="3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4" t="s">
        <v>0</v>
      </c>
      <c r="Q1" s="4" t="s">
        <v>9</v>
      </c>
      <c r="R1" s="4" t="s">
        <v>527</v>
      </c>
      <c r="S1" s="3" t="s">
        <v>6</v>
      </c>
      <c r="T1" s="3" t="s">
        <v>7</v>
      </c>
      <c r="U1" s="4" t="s">
        <v>4</v>
      </c>
    </row>
    <row r="2" spans="1:21" x14ac:dyDescent="0.25">
      <c r="A2" s="4" t="s">
        <v>47</v>
      </c>
      <c r="B2" s="4" t="s">
        <v>48</v>
      </c>
      <c r="C2" s="4" t="s">
        <v>49</v>
      </c>
      <c r="D2" s="4">
        <v>1234</v>
      </c>
      <c r="E2" s="4" t="s">
        <v>754</v>
      </c>
      <c r="F2" s="4" t="s">
        <v>177</v>
      </c>
      <c r="G2" s="4" t="s">
        <v>521</v>
      </c>
      <c r="H2" s="4" t="s">
        <v>521</v>
      </c>
      <c r="I2" s="13" t="str">
        <f ca="1">CONCATENATE(RIGHT(TEXT(NOW(),"YYMMDDhhmmss"),11))</f>
        <v>60624113402</v>
      </c>
      <c r="J2" s="13" t="str">
        <f ca="1">CONCATENATE(RIGHT(TEXT(NOW(),"YYMMDDhhmmss"),11))</f>
        <v>60624113402</v>
      </c>
      <c r="K2" s="4">
        <v>1234</v>
      </c>
      <c r="L2" s="4" t="s">
        <v>52</v>
      </c>
      <c r="M2" s="4" t="s">
        <v>52</v>
      </c>
      <c r="N2" s="4">
        <v>111</v>
      </c>
      <c r="O2" s="4">
        <v>1234</v>
      </c>
      <c r="P2" s="2" t="s">
        <v>576</v>
      </c>
      <c r="Q2" s="4" t="s">
        <v>764</v>
      </c>
      <c r="R2" s="2" t="s">
        <v>579</v>
      </c>
      <c r="S2" s="4" t="s">
        <v>285</v>
      </c>
      <c r="T2" s="4" t="s">
        <v>8</v>
      </c>
      <c r="U2" s="4" t="s">
        <v>5</v>
      </c>
    </row>
    <row r="3" spans="1:21" x14ac:dyDescent="0.25">
      <c r="R3" s="4"/>
      <c r="S3" s="4"/>
      <c r="T3" s="4"/>
    </row>
    <row r="4" spans="1:21" x14ac:dyDescent="0.25">
      <c r="R4" s="2"/>
      <c r="S4" s="2"/>
      <c r="T4" s="2"/>
    </row>
    <row r="5" spans="1:21" x14ac:dyDescent="0.25">
      <c r="R5" s="2"/>
      <c r="S5" s="2"/>
      <c r="T5" s="2"/>
    </row>
    <row r="7" spans="1:21" x14ac:dyDescent="0.25">
      <c r="L7" s="4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selection activeCell="C19" sqref="C19"/>
    </sheetView>
  </sheetViews>
  <sheetFormatPr defaultRowHeight="15" x14ac:dyDescent="0.25"/>
  <cols>
    <col min="1" max="1" width="15" style="3" bestFit="1" customWidth="1"/>
    <col min="2" max="2" width="20.42578125" style="3" bestFit="1" customWidth="1"/>
    <col min="3" max="3" width="10.42578125" style="3" bestFit="1" customWidth="1"/>
    <col min="4" max="4" width="11" style="3" bestFit="1" customWidth="1"/>
    <col min="5" max="5" width="16.140625" style="3" bestFit="1" customWidth="1"/>
    <col min="6" max="6" width="13.28515625" style="3" bestFit="1" customWidth="1"/>
    <col min="7" max="7" width="9.140625" style="3"/>
    <col min="8" max="8" width="40.5703125" style="3" bestFit="1" customWidth="1"/>
    <col min="9" max="9" width="16.28515625" style="3" bestFit="1" customWidth="1"/>
    <col min="10" max="10" width="52.28515625" style="3" bestFit="1" customWidth="1"/>
    <col min="11" max="16384" width="9.140625" style="3"/>
  </cols>
  <sheetData>
    <row r="1" spans="1:12" x14ac:dyDescent="0.25">
      <c r="A1" s="4" t="s">
        <v>56</v>
      </c>
      <c r="B1" s="5" t="s">
        <v>57</v>
      </c>
      <c r="C1" s="5" t="s">
        <v>58</v>
      </c>
      <c r="D1" s="5" t="s">
        <v>59</v>
      </c>
      <c r="E1" s="4" t="s">
        <v>60</v>
      </c>
      <c r="F1" s="5" t="s">
        <v>61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x14ac:dyDescent="0.25">
      <c r="A2" s="3" t="s">
        <v>62</v>
      </c>
      <c r="B2" s="3" t="str">
        <f ca="1">CONCATENATE("1",TEXT(NOW(),"YYYY"),"2",LEFT(TEXT(NOW(),"DDhhmmss"),8),"22",RIGHT(TEXT(NOW(),"ss"),1))</f>
        <v>12026224113402222</v>
      </c>
      <c r="C2" s="4" t="s">
        <v>63</v>
      </c>
      <c r="D2" s="12"/>
      <c r="E2" s="4" t="s">
        <v>65</v>
      </c>
      <c r="F2" s="4">
        <v>1234</v>
      </c>
      <c r="G2" s="2" t="s">
        <v>572</v>
      </c>
      <c r="H2" s="4" t="s">
        <v>765</v>
      </c>
      <c r="I2" s="2" t="s">
        <v>579</v>
      </c>
      <c r="J2" s="2" t="s">
        <v>581</v>
      </c>
      <c r="K2" s="3" t="s">
        <v>526</v>
      </c>
      <c r="L2" s="4" t="s">
        <v>5</v>
      </c>
    </row>
    <row r="3" spans="1:12" x14ac:dyDescent="0.25">
      <c r="A3" s="3" t="s">
        <v>62</v>
      </c>
      <c r="B3" s="3" t="str">
        <f ca="1">CONCATENATE("1",TEXT(NOW(),"YYYY"),"2",LEFT(TEXT(NOW(),"DDhhmmss"),8),"22",RIGHT(TEXT(NOW(),"ss"),1))</f>
        <v>12026224113402222</v>
      </c>
      <c r="C3" s="4"/>
      <c r="D3" s="12" t="str">
        <f ca="1">TEXT((NOW()+3652),"YYYY-MM-DD")</f>
        <v>2036-06-23</v>
      </c>
      <c r="E3" s="4" t="s">
        <v>65</v>
      </c>
      <c r="F3" s="4">
        <v>1234</v>
      </c>
      <c r="G3" s="2" t="s">
        <v>573</v>
      </c>
      <c r="H3" s="4" t="s">
        <v>766</v>
      </c>
      <c r="I3" s="2" t="s">
        <v>579</v>
      </c>
      <c r="J3" s="3" t="s">
        <v>552</v>
      </c>
      <c r="K3" s="3" t="s">
        <v>526</v>
      </c>
      <c r="L3" s="4" t="s">
        <v>5</v>
      </c>
    </row>
    <row r="4" spans="1:12" x14ac:dyDescent="0.25">
      <c r="A4" s="3" t="s">
        <v>62</v>
      </c>
      <c r="B4" s="3" t="str">
        <f ca="1">CONCATENATE("1",TEXT(NOW(),"YYYY"),"2",LEFT(TEXT(NOW(),"DDhhmmss"),8),"22",RIGHT(TEXT(NOW(),"ss"),1))</f>
        <v>12026224113402222</v>
      </c>
      <c r="C4" s="4" t="s">
        <v>63</v>
      </c>
      <c r="D4" s="12" t="str">
        <f ca="1">TEXT((NOW()+3652),"YYYY-MM-DD")</f>
        <v>2036-06-23</v>
      </c>
      <c r="E4" s="4" t="s">
        <v>65</v>
      </c>
      <c r="F4" s="4">
        <v>1234</v>
      </c>
      <c r="G4" s="2" t="s">
        <v>574</v>
      </c>
      <c r="H4" s="4" t="s">
        <v>767</v>
      </c>
      <c r="I4" s="9" t="s">
        <v>579</v>
      </c>
      <c r="J4" s="2" t="s">
        <v>447</v>
      </c>
      <c r="K4" s="3" t="s">
        <v>8</v>
      </c>
      <c r="L4" s="4" t="s">
        <v>5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sqref="A1:A2"/>
    </sheetView>
  </sheetViews>
  <sheetFormatPr defaultRowHeight="15" x14ac:dyDescent="0.25"/>
  <cols>
    <col min="1" max="1" width="17.42578125" style="3" bestFit="1" customWidth="1"/>
    <col min="2" max="2" width="18.42578125" style="3" bestFit="1" customWidth="1"/>
    <col min="3" max="3" width="11.42578125" style="3" bestFit="1" customWidth="1"/>
    <col min="4" max="4" width="11.5703125" style="3" bestFit="1" customWidth="1"/>
    <col min="5" max="5" width="9.140625" style="3"/>
    <col min="6" max="6" width="37.7109375" style="3" customWidth="1"/>
    <col min="7" max="16384" width="9.140625" style="3"/>
  </cols>
  <sheetData>
    <row r="1" spans="1:7" x14ac:dyDescent="0.25">
      <c r="A1" s="3" t="s">
        <v>66</v>
      </c>
      <c r="B1" s="3" t="s">
        <v>67</v>
      </c>
      <c r="C1" s="3" t="s">
        <v>68</v>
      </c>
      <c r="D1" s="3" t="s">
        <v>69</v>
      </c>
      <c r="E1" s="4" t="s">
        <v>0</v>
      </c>
      <c r="F1" s="4" t="s">
        <v>9</v>
      </c>
      <c r="G1" s="4" t="s">
        <v>4</v>
      </c>
    </row>
    <row r="2" spans="1:7" x14ac:dyDescent="0.25">
      <c r="A2" s="4" t="s">
        <v>775</v>
      </c>
      <c r="B2" s="3" t="s">
        <v>514</v>
      </c>
      <c r="C2" s="4">
        <v>2012</v>
      </c>
      <c r="D2" s="3" t="s">
        <v>21</v>
      </c>
      <c r="E2" s="2" t="s">
        <v>572</v>
      </c>
      <c r="F2" s="4" t="s">
        <v>768</v>
      </c>
      <c r="G2" s="4" t="s">
        <v>5</v>
      </c>
    </row>
    <row r="4" spans="1:7" x14ac:dyDescent="0.25">
      <c r="A4" s="7"/>
    </row>
    <row r="5" spans="1:7" x14ac:dyDescent="0.25">
      <c r="A5" s="7"/>
    </row>
    <row r="6" spans="1:7" x14ac:dyDescent="0.25">
      <c r="A6" s="7"/>
    </row>
    <row r="7" spans="1:7" x14ac:dyDescent="0.25">
      <c r="A7" s="7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1" sqref="B1"/>
    </sheetView>
  </sheetViews>
  <sheetFormatPr defaultRowHeight="15" x14ac:dyDescent="0.25"/>
  <cols>
    <col min="1" max="1" width="9.140625" style="3"/>
    <col min="2" max="2" width="33.140625" style="3" bestFit="1" customWidth="1"/>
    <col min="3" max="3" width="10.28515625" style="3" bestFit="1" customWidth="1"/>
    <col min="4" max="4" width="16.28515625" style="3" bestFit="1" customWidth="1"/>
    <col min="5" max="5" width="25.140625" style="3" bestFit="1" customWidth="1"/>
    <col min="6" max="16384" width="9.140625" style="3"/>
  </cols>
  <sheetData>
    <row r="1" spans="1:6" x14ac:dyDescent="0.25">
      <c r="A1" s="4" t="s">
        <v>0</v>
      </c>
      <c r="B1" s="4" t="s">
        <v>9</v>
      </c>
      <c r="C1" s="4" t="s">
        <v>4</v>
      </c>
      <c r="D1" s="4" t="s">
        <v>527</v>
      </c>
      <c r="E1" s="3" t="s">
        <v>6</v>
      </c>
      <c r="F1" s="3" t="s">
        <v>7</v>
      </c>
    </row>
    <row r="2" spans="1:6" x14ac:dyDescent="0.25">
      <c r="A2" s="2" t="s">
        <v>572</v>
      </c>
      <c r="B2" s="4" t="s">
        <v>772</v>
      </c>
      <c r="C2" s="4" t="s">
        <v>5</v>
      </c>
      <c r="D2" s="9" t="s">
        <v>579</v>
      </c>
      <c r="E2" s="4" t="s">
        <v>447</v>
      </c>
      <c r="F2" s="3" t="s">
        <v>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sqref="A1:A2"/>
    </sheetView>
  </sheetViews>
  <sheetFormatPr defaultRowHeight="15" x14ac:dyDescent="0.25"/>
  <cols>
    <col min="1" max="1" width="11.5703125" style="3" bestFit="1" customWidth="1"/>
    <col min="2" max="2" width="8.140625" style="3" bestFit="1" customWidth="1"/>
    <col min="3" max="3" width="10" style="3" bestFit="1" customWidth="1"/>
    <col min="4" max="4" width="11" style="3" bestFit="1" customWidth="1"/>
    <col min="5" max="5" width="14.85546875" style="3" bestFit="1" customWidth="1"/>
    <col min="6" max="6" width="10.42578125" style="3" bestFit="1" customWidth="1"/>
    <col min="7" max="7" width="9.140625" style="3"/>
    <col min="8" max="8" width="43" style="3" bestFit="1" customWidth="1"/>
    <col min="9" max="9" width="16.28515625" style="3" bestFit="1" customWidth="1"/>
    <col min="10" max="10" width="27.5703125" style="3" bestFit="1" customWidth="1"/>
    <col min="11" max="16384" width="9.140625" style="3"/>
  </cols>
  <sheetData>
    <row r="1" spans="1:12" x14ac:dyDescent="0.25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x14ac:dyDescent="0.25">
      <c r="A2" s="3" t="s">
        <v>21</v>
      </c>
      <c r="B2" s="3" t="s">
        <v>48</v>
      </c>
      <c r="C2" s="4" t="s">
        <v>517</v>
      </c>
      <c r="D2" s="12" t="str">
        <f ca="1">CONCATENATE(RIGHT(TEXT(NOW(),"YYMMDDhhmmss"),11))</f>
        <v>60624113402</v>
      </c>
      <c r="E2" s="15"/>
      <c r="F2" s="15" t="str">
        <f ca="1">TEXT(NOW()-10,"YYYY-MM-DD")</f>
        <v>2026-06-14</v>
      </c>
      <c r="G2" s="2" t="s">
        <v>572</v>
      </c>
      <c r="H2" s="4" t="s">
        <v>769</v>
      </c>
      <c r="I2" s="2" t="s">
        <v>579</v>
      </c>
      <c r="J2" s="3" t="s">
        <v>587</v>
      </c>
      <c r="K2" s="3" t="s">
        <v>526</v>
      </c>
      <c r="L2" s="4" t="s">
        <v>5</v>
      </c>
    </row>
    <row r="3" spans="1:12" x14ac:dyDescent="0.25">
      <c r="A3" s="3" t="s">
        <v>21</v>
      </c>
      <c r="B3" s="3" t="s">
        <v>48</v>
      </c>
      <c r="C3" s="4" t="s">
        <v>517</v>
      </c>
      <c r="D3" s="12" t="str">
        <f ca="1">CONCATENATE(RIGHT(TEXT(NOW(),"YYMMDDhhmmss"),11))</f>
        <v>60624113402</v>
      </c>
      <c r="E3" s="15" t="str">
        <f ca="1">TEXT(NOW()-1500,"YYYY-MM-DD")</f>
        <v>2022-05-16</v>
      </c>
      <c r="F3" s="15"/>
      <c r="G3" s="2" t="s">
        <v>573</v>
      </c>
      <c r="H3" s="4" t="s">
        <v>770</v>
      </c>
      <c r="I3" s="2" t="s">
        <v>579</v>
      </c>
      <c r="J3" s="3" t="s">
        <v>589</v>
      </c>
      <c r="K3" s="3" t="s">
        <v>526</v>
      </c>
      <c r="L3" s="4" t="s">
        <v>5</v>
      </c>
    </row>
    <row r="4" spans="1:12" x14ac:dyDescent="0.25">
      <c r="A4" s="3" t="s">
        <v>21</v>
      </c>
      <c r="B4" s="3" t="s">
        <v>48</v>
      </c>
      <c r="C4" s="4" t="s">
        <v>517</v>
      </c>
      <c r="D4" s="12" t="str">
        <f ca="1">CONCATENATE(RIGHT(TEXT(NOW(),"YYMMDDhhmmss"),11))</f>
        <v>60624113402</v>
      </c>
      <c r="E4" s="15" t="str">
        <f ca="1">TEXT(NOW()-1500,"YYYY-MM-DD")</f>
        <v>2022-05-16</v>
      </c>
      <c r="F4" s="15" t="str">
        <f ca="1">TEXT(NOW()-10,"YYYY-MM-DD")</f>
        <v>2026-06-14</v>
      </c>
      <c r="G4" s="2" t="s">
        <v>574</v>
      </c>
      <c r="H4" s="4" t="s">
        <v>771</v>
      </c>
      <c r="I4" s="2" t="s">
        <v>579</v>
      </c>
      <c r="J4" s="3" t="s">
        <v>447</v>
      </c>
      <c r="K4" s="3" t="s">
        <v>8</v>
      </c>
      <c r="L4" s="4" t="s">
        <v>5</v>
      </c>
    </row>
    <row r="5" spans="1:12" x14ac:dyDescent="0.25">
      <c r="A5" s="7"/>
    </row>
    <row r="6" spans="1:12" x14ac:dyDescent="0.25">
      <c r="A6" s="7"/>
    </row>
    <row r="7" spans="1:12" x14ac:dyDescent="0.25">
      <c r="A7" s="7"/>
    </row>
    <row r="8" spans="1:12" x14ac:dyDescent="0.25">
      <c r="A8" s="7"/>
    </row>
    <row r="9" spans="1:12" x14ac:dyDescent="0.25">
      <c r="A9" s="7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sqref="A1:A2"/>
    </sheetView>
  </sheetViews>
  <sheetFormatPr defaultRowHeight="15" x14ac:dyDescent="0.25"/>
  <cols>
    <col min="1" max="1" width="10.140625" style="3" bestFit="1" customWidth="1"/>
    <col min="2" max="2" width="12.7109375" style="3" bestFit="1" customWidth="1"/>
    <col min="3" max="3" width="9.85546875" style="3" customWidth="1"/>
    <col min="4" max="4" width="8.140625" style="3" customWidth="1"/>
    <col min="5" max="5" width="9" style="3" bestFit="1" customWidth="1"/>
    <col min="6" max="6" width="9.140625" style="3"/>
    <col min="7" max="7" width="11.85546875" style="3" bestFit="1" customWidth="1"/>
    <col min="8" max="8" width="10.42578125" style="3" bestFit="1" customWidth="1"/>
    <col min="9" max="9" width="9.140625" style="3"/>
    <col min="10" max="10" width="41" style="3" bestFit="1" customWidth="1"/>
    <col min="11" max="16384" width="9.140625" style="3"/>
  </cols>
  <sheetData>
    <row r="1" spans="1:11" x14ac:dyDescent="0.25">
      <c r="A1" s="3" t="s">
        <v>77</v>
      </c>
      <c r="B1" s="3" t="s">
        <v>78</v>
      </c>
      <c r="C1" s="3" t="s">
        <v>79</v>
      </c>
      <c r="D1" s="3" t="s">
        <v>80</v>
      </c>
      <c r="E1" s="3" t="s">
        <v>81</v>
      </c>
      <c r="F1" s="3" t="s">
        <v>82</v>
      </c>
      <c r="G1" s="3" t="s">
        <v>74</v>
      </c>
      <c r="H1" s="3" t="s">
        <v>75</v>
      </c>
      <c r="I1" s="4" t="s">
        <v>0</v>
      </c>
      <c r="J1" s="4" t="s">
        <v>9</v>
      </c>
      <c r="K1" s="4" t="s">
        <v>4</v>
      </c>
    </row>
    <row r="2" spans="1:11" x14ac:dyDescent="0.25">
      <c r="A2" s="3" t="s">
        <v>83</v>
      </c>
      <c r="B2" s="3" t="s">
        <v>21</v>
      </c>
      <c r="C2" s="3" t="s">
        <v>520</v>
      </c>
      <c r="D2" s="3" t="s">
        <v>84</v>
      </c>
      <c r="E2" s="4">
        <v>1234</v>
      </c>
      <c r="F2" s="4">
        <v>123456</v>
      </c>
      <c r="G2" s="4" t="s">
        <v>22</v>
      </c>
      <c r="H2" s="4" t="s">
        <v>64</v>
      </c>
      <c r="I2" s="2" t="s">
        <v>572</v>
      </c>
      <c r="J2" s="4" t="s">
        <v>773</v>
      </c>
      <c r="K2" s="4" t="s">
        <v>5</v>
      </c>
    </row>
    <row r="4" spans="1:11" x14ac:dyDescent="0.25">
      <c r="A4" s="7"/>
    </row>
    <row r="5" spans="1:11" x14ac:dyDescent="0.25">
      <c r="A5" s="7"/>
    </row>
    <row r="6" spans="1:11" x14ac:dyDescent="0.25">
      <c r="A6" s="7"/>
    </row>
    <row r="7" spans="1:11" x14ac:dyDescent="0.25">
      <c r="A7" s="7"/>
    </row>
    <row r="8" spans="1:11" x14ac:dyDescent="0.25">
      <c r="A8" s="7"/>
    </row>
    <row r="9" spans="1:11" x14ac:dyDescent="0.25">
      <c r="A9" s="7"/>
    </row>
    <row r="10" spans="1:11" x14ac:dyDescent="0.25">
      <c r="A10" s="7"/>
    </row>
    <row r="11" spans="1:11" x14ac:dyDescent="0.25">
      <c r="A11" s="7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2"/>
    </sheetView>
  </sheetViews>
  <sheetFormatPr defaultRowHeight="15" x14ac:dyDescent="0.25"/>
  <cols>
    <col min="1" max="1" width="9.140625" style="3"/>
    <col min="2" max="2" width="41" style="3" bestFit="1" customWidth="1"/>
    <col min="3" max="3" width="9.140625" style="3"/>
    <col min="4" max="4" width="25.140625" style="3" bestFit="1" customWidth="1"/>
    <col min="5" max="16384" width="9.140625" style="3"/>
  </cols>
  <sheetData>
    <row r="1" spans="1:5" x14ac:dyDescent="0.25">
      <c r="A1" s="4" t="s">
        <v>0</v>
      </c>
      <c r="B1" s="4" t="s">
        <v>9</v>
      </c>
      <c r="C1" s="4" t="s">
        <v>4</v>
      </c>
      <c r="D1" s="3" t="s">
        <v>6</v>
      </c>
      <c r="E1" s="3" t="s">
        <v>7</v>
      </c>
    </row>
    <row r="2" spans="1:5" x14ac:dyDescent="0.25">
      <c r="A2" s="2" t="s">
        <v>572</v>
      </c>
      <c r="B2" s="4" t="s">
        <v>774</v>
      </c>
      <c r="C2" s="4" t="s">
        <v>5</v>
      </c>
      <c r="D2" s="4" t="s">
        <v>447</v>
      </c>
      <c r="E2" s="3" t="s">
        <v>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A2"/>
    </sheetView>
  </sheetViews>
  <sheetFormatPr defaultRowHeight="15" x14ac:dyDescent="0.25"/>
  <cols>
    <col min="1" max="1" width="20.28515625" style="3" bestFit="1" customWidth="1"/>
    <col min="2" max="16384" width="9.140625" style="3"/>
  </cols>
  <sheetData>
    <row r="1" spans="1:2" x14ac:dyDescent="0.25">
      <c r="A1" s="3" t="s">
        <v>413</v>
      </c>
      <c r="B1" s="3" t="s">
        <v>0</v>
      </c>
    </row>
    <row r="2" spans="1:2" x14ac:dyDescent="0.25">
      <c r="A2" s="3" t="s">
        <v>445</v>
      </c>
      <c r="B2" s="2" t="s">
        <v>572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E15" sqref="E14:E15"/>
    </sheetView>
  </sheetViews>
  <sheetFormatPr defaultRowHeight="15" x14ac:dyDescent="0.25"/>
  <cols>
    <col min="1" max="1" width="51.5703125" bestFit="1" customWidth="1"/>
    <col min="2" max="3" width="18.7109375" bestFit="1" customWidth="1"/>
    <col min="5" max="5" width="36.5703125" bestFit="1" customWidth="1"/>
    <col min="6" max="6" width="10.28515625" bestFit="1" customWidth="1"/>
    <col min="7" max="7" width="25.140625" bestFit="1" customWidth="1"/>
    <col min="9" max="9" width="20.28515625" bestFit="1" customWidth="1"/>
  </cols>
  <sheetData>
    <row r="1" spans="1:9" x14ac:dyDescent="0.25">
      <c r="A1" s="4" t="s">
        <v>807</v>
      </c>
      <c r="B1" s="3" t="s">
        <v>809</v>
      </c>
      <c r="C1" s="3" t="s">
        <v>811</v>
      </c>
      <c r="D1" s="4" t="s">
        <v>0</v>
      </c>
      <c r="E1" s="4" t="s">
        <v>9</v>
      </c>
      <c r="F1" s="4" t="s">
        <v>4</v>
      </c>
      <c r="G1" s="3" t="s">
        <v>6</v>
      </c>
      <c r="H1" s="3" t="s">
        <v>7</v>
      </c>
      <c r="I1" s="3" t="s">
        <v>413</v>
      </c>
    </row>
    <row r="2" spans="1:9" x14ac:dyDescent="0.25">
      <c r="A2" s="3" t="str">
        <f ca="1">CONCATENATE("Auto_Test",TEXT(NOW(),"DDHHMM"))</f>
        <v>Auto_Test241134</v>
      </c>
      <c r="B2" s="3" t="s">
        <v>65</v>
      </c>
      <c r="C2" s="3" t="s">
        <v>804</v>
      </c>
      <c r="D2" s="2" t="s">
        <v>3</v>
      </c>
      <c r="E2" s="4" t="s">
        <v>810</v>
      </c>
      <c r="F2" s="4" t="s">
        <v>5</v>
      </c>
      <c r="G2" s="4" t="s">
        <v>499</v>
      </c>
      <c r="H2" s="3" t="s">
        <v>8</v>
      </c>
      <c r="I2" s="4" t="s">
        <v>445</v>
      </c>
    </row>
    <row r="5" spans="1:9" x14ac:dyDescent="0.25">
      <c r="B5" s="3"/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D16" sqref="D16"/>
    </sheetView>
  </sheetViews>
  <sheetFormatPr defaultRowHeight="15" x14ac:dyDescent="0.25"/>
  <cols>
    <col min="1" max="1" width="10.7109375" bestFit="1" customWidth="1"/>
    <col min="2" max="2" width="18.7109375" bestFit="1" customWidth="1"/>
    <col min="4" max="4" width="37.28515625" bestFit="1" customWidth="1"/>
    <col min="5" max="5" width="10.28515625" bestFit="1" customWidth="1"/>
    <col min="6" max="6" width="19.28515625" bestFit="1" customWidth="1"/>
    <col min="7" max="7" width="10.5703125" bestFit="1" customWidth="1"/>
    <col min="8" max="8" width="20.28515625" bestFit="1" customWidth="1"/>
    <col min="10" max="10" width="19.5703125" bestFit="1" customWidth="1"/>
  </cols>
  <sheetData>
    <row r="1" spans="1:10" x14ac:dyDescent="0.25">
      <c r="A1" s="3" t="s">
        <v>807</v>
      </c>
      <c r="B1" s="4" t="s">
        <v>808</v>
      </c>
      <c r="C1" s="4" t="s">
        <v>0</v>
      </c>
      <c r="D1" s="4" t="s">
        <v>9</v>
      </c>
      <c r="E1" s="4" t="s">
        <v>4</v>
      </c>
      <c r="F1" s="3" t="s">
        <v>6</v>
      </c>
      <c r="G1" s="3" t="s">
        <v>7</v>
      </c>
      <c r="H1" s="3" t="s">
        <v>413</v>
      </c>
      <c r="I1" t="s">
        <v>84</v>
      </c>
      <c r="J1" s="3" t="s">
        <v>413</v>
      </c>
    </row>
    <row r="2" spans="1:10" x14ac:dyDescent="0.25">
      <c r="A2" s="3" t="s">
        <v>62</v>
      </c>
      <c r="B2" s="4" t="s">
        <v>813</v>
      </c>
      <c r="C2" s="2" t="s">
        <v>3</v>
      </c>
      <c r="D2" s="4" t="s">
        <v>812</v>
      </c>
      <c r="E2" s="4" t="s">
        <v>5</v>
      </c>
      <c r="F2" s="4" t="s">
        <v>499</v>
      </c>
      <c r="G2" s="3" t="s">
        <v>8</v>
      </c>
      <c r="H2" s="4" t="s">
        <v>445</v>
      </c>
      <c r="I2" t="s">
        <v>84</v>
      </c>
      <c r="J2" s="4" t="s">
        <v>814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opLeftCell="M1" workbookViewId="0">
      <selection activeCell="N2" sqref="N2:U2"/>
    </sheetView>
  </sheetViews>
  <sheetFormatPr defaultRowHeight="15" x14ac:dyDescent="0.25"/>
  <cols>
    <col min="1" max="1" width="19.5703125" bestFit="1" customWidth="1"/>
    <col min="2" max="2" width="21.7109375" bestFit="1" customWidth="1"/>
    <col min="3" max="3" width="14.7109375" bestFit="1" customWidth="1"/>
    <col min="4" max="10" width="11.7109375" bestFit="1" customWidth="1"/>
    <col min="11" max="13" width="12.7109375" bestFit="1" customWidth="1"/>
    <col min="15" max="15" width="37.28515625" bestFit="1" customWidth="1"/>
    <col min="16" max="16" width="10.28515625" bestFit="1" customWidth="1"/>
    <col min="17" max="17" width="19.28515625" bestFit="1" customWidth="1"/>
    <col min="19" max="19" width="20.28515625" bestFit="1" customWidth="1"/>
    <col min="20" max="20" width="9" customWidth="1"/>
  </cols>
  <sheetData>
    <row r="1" spans="1:21" x14ac:dyDescent="0.25">
      <c r="A1" s="4" t="s">
        <v>807</v>
      </c>
      <c r="B1" s="4" t="s">
        <v>808</v>
      </c>
      <c r="C1" s="4" t="s">
        <v>809</v>
      </c>
      <c r="D1" s="4" t="s">
        <v>811</v>
      </c>
      <c r="E1" s="4" t="s">
        <v>815</v>
      </c>
      <c r="F1" s="4" t="s">
        <v>816</v>
      </c>
      <c r="G1" s="4" t="s">
        <v>817</v>
      </c>
      <c r="H1" s="4" t="s">
        <v>818</v>
      </c>
      <c r="I1" s="4" t="s">
        <v>819</v>
      </c>
      <c r="J1" s="4" t="s">
        <v>820</v>
      </c>
      <c r="K1" s="4" t="s">
        <v>821</v>
      </c>
      <c r="L1" s="4" t="s">
        <v>822</v>
      </c>
      <c r="M1" s="4" t="s">
        <v>823</v>
      </c>
      <c r="N1" s="4" t="s">
        <v>0</v>
      </c>
      <c r="O1" s="4" t="s">
        <v>9</v>
      </c>
      <c r="P1" s="4" t="s">
        <v>4</v>
      </c>
      <c r="Q1" s="3" t="s">
        <v>6</v>
      </c>
      <c r="R1" s="3" t="s">
        <v>7</v>
      </c>
      <c r="S1" s="3" t="s">
        <v>413</v>
      </c>
      <c r="T1" s="3" t="s">
        <v>84</v>
      </c>
      <c r="U1" s="3" t="s">
        <v>413</v>
      </c>
    </row>
    <row r="2" spans="1:21" x14ac:dyDescent="0.25">
      <c r="A2" s="3" t="s">
        <v>830</v>
      </c>
      <c r="B2" s="3" t="s">
        <v>830</v>
      </c>
      <c r="C2" s="4" t="s">
        <v>824</v>
      </c>
      <c r="D2" s="4"/>
      <c r="E2" s="4" t="s">
        <v>151</v>
      </c>
      <c r="F2" s="4" t="s">
        <v>825</v>
      </c>
      <c r="G2" s="4">
        <v>5.8844000000000003</v>
      </c>
      <c r="H2" s="4">
        <v>25.729099999999999</v>
      </c>
      <c r="I2" s="4" t="s">
        <v>826</v>
      </c>
      <c r="J2" s="4" t="s">
        <v>65</v>
      </c>
      <c r="K2" s="4" t="s">
        <v>23</v>
      </c>
      <c r="L2" s="4" t="s">
        <v>23</v>
      </c>
      <c r="M2" s="4">
        <v>1212</v>
      </c>
      <c r="N2" s="2" t="s">
        <v>3</v>
      </c>
      <c r="O2" s="4" t="s">
        <v>827</v>
      </c>
      <c r="P2" s="4" t="s">
        <v>5</v>
      </c>
      <c r="Q2" s="4" t="s">
        <v>499</v>
      </c>
      <c r="R2" s="3" t="s">
        <v>8</v>
      </c>
      <c r="S2" s="4" t="s">
        <v>445</v>
      </c>
      <c r="T2" s="3" t="s">
        <v>84</v>
      </c>
      <c r="U2" s="4" t="s">
        <v>814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2"/>
    </sheetView>
  </sheetViews>
  <sheetFormatPr defaultRowHeight="15" x14ac:dyDescent="0.25"/>
  <cols>
    <col min="1" max="1" width="5.7109375" bestFit="1" customWidth="1"/>
    <col min="2" max="2" width="36.5703125" bestFit="1" customWidth="1"/>
    <col min="3" max="3" width="10.28515625" bestFit="1" customWidth="1"/>
    <col min="4" max="4" width="25.140625" bestFit="1" customWidth="1"/>
  </cols>
  <sheetData>
    <row r="1" spans="1:5" x14ac:dyDescent="0.25">
      <c r="A1" s="4" t="s">
        <v>0</v>
      </c>
      <c r="B1" s="4" t="s">
        <v>9</v>
      </c>
      <c r="C1" s="4" t="s">
        <v>4</v>
      </c>
      <c r="D1" s="3" t="s">
        <v>6</v>
      </c>
      <c r="E1" s="3" t="s">
        <v>7</v>
      </c>
    </row>
    <row r="2" spans="1:5" x14ac:dyDescent="0.25">
      <c r="A2" s="2" t="s">
        <v>3</v>
      </c>
      <c r="B2" s="4" t="s">
        <v>828</v>
      </c>
      <c r="C2" s="4" t="s">
        <v>5</v>
      </c>
      <c r="D2" s="4" t="s">
        <v>829</v>
      </c>
      <c r="E2" s="3" t="s">
        <v>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opLeftCell="G1" workbookViewId="0">
      <selection activeCell="O8" sqref="O8"/>
    </sheetView>
  </sheetViews>
  <sheetFormatPr defaultRowHeight="15" x14ac:dyDescent="0.25"/>
  <cols>
    <col min="1" max="1" width="10.7109375" bestFit="1" customWidth="1"/>
    <col min="2" max="3" width="11.7109375" bestFit="1" customWidth="1"/>
    <col min="4" max="4" width="13.5703125" bestFit="1" customWidth="1"/>
    <col min="5" max="5" width="23" bestFit="1" customWidth="1"/>
    <col min="6" max="6" width="19.85546875" bestFit="1" customWidth="1"/>
    <col min="7" max="7" width="16.7109375" bestFit="1" customWidth="1"/>
    <col min="8" max="8" width="11.7109375" bestFit="1" customWidth="1"/>
    <col min="9" max="9" width="12.7109375" bestFit="1" customWidth="1"/>
    <col min="10" max="10" width="15.140625" bestFit="1" customWidth="1"/>
    <col min="11" max="11" width="14" bestFit="1" customWidth="1"/>
    <col min="12" max="13" width="12.7109375" bestFit="1" customWidth="1"/>
    <col min="14" max="14" width="8.85546875" customWidth="1"/>
    <col min="15" max="15" width="39" bestFit="1" customWidth="1"/>
    <col min="16" max="16" width="10.28515625" bestFit="1" customWidth="1"/>
    <col min="17" max="17" width="19.28515625" bestFit="1" customWidth="1"/>
    <col min="18" max="18" width="10.5703125" bestFit="1" customWidth="1"/>
    <col min="19" max="19" width="20.28515625" bestFit="1" customWidth="1"/>
  </cols>
  <sheetData>
    <row r="1" spans="1:20" x14ac:dyDescent="0.25">
      <c r="A1" s="4" t="s">
        <v>807</v>
      </c>
      <c r="B1" s="4" t="s">
        <v>808</v>
      </c>
      <c r="C1" s="4" t="s">
        <v>809</v>
      </c>
      <c r="D1" s="4" t="s">
        <v>811</v>
      </c>
      <c r="E1" s="4" t="s">
        <v>815</v>
      </c>
      <c r="F1" s="4" t="s">
        <v>816</v>
      </c>
      <c r="G1" s="4" t="s">
        <v>817</v>
      </c>
      <c r="H1" s="4" t="s">
        <v>818</v>
      </c>
      <c r="I1" s="4" t="s">
        <v>819</v>
      </c>
      <c r="J1" s="4" t="s">
        <v>820</v>
      </c>
      <c r="K1" s="4" t="s">
        <v>821</v>
      </c>
      <c r="L1" s="4" t="s">
        <v>822</v>
      </c>
      <c r="M1" s="4" t="s">
        <v>823</v>
      </c>
      <c r="N1" s="4" t="s">
        <v>0</v>
      </c>
      <c r="O1" s="4" t="s">
        <v>9</v>
      </c>
      <c r="P1" s="4" t="s">
        <v>4</v>
      </c>
      <c r="Q1" s="3" t="s">
        <v>6</v>
      </c>
      <c r="R1" s="3" t="s">
        <v>7</v>
      </c>
      <c r="S1" s="3" t="s">
        <v>413</v>
      </c>
      <c r="T1" s="3" t="s">
        <v>84</v>
      </c>
    </row>
    <row r="2" spans="1:20" x14ac:dyDescent="0.25">
      <c r="A2" t="s">
        <v>118</v>
      </c>
      <c r="B2" t="s">
        <v>147</v>
      </c>
      <c r="C2" t="s">
        <v>118</v>
      </c>
      <c r="D2" t="s">
        <v>863</v>
      </c>
      <c r="E2" t="s">
        <v>864</v>
      </c>
      <c r="F2" t="s">
        <v>865</v>
      </c>
      <c r="G2" t="s">
        <v>866</v>
      </c>
      <c r="H2" t="s">
        <v>867</v>
      </c>
      <c r="I2" t="s">
        <v>868</v>
      </c>
      <c r="J2" t="s">
        <v>869</v>
      </c>
      <c r="K2" t="s">
        <v>870</v>
      </c>
      <c r="L2" t="s">
        <v>871</v>
      </c>
      <c r="N2" s="2" t="s">
        <v>3</v>
      </c>
      <c r="O2" s="4" t="s">
        <v>831</v>
      </c>
      <c r="P2" s="4" t="s">
        <v>5</v>
      </c>
      <c r="Q2" s="4" t="s">
        <v>499</v>
      </c>
      <c r="R2" s="3" t="s">
        <v>8</v>
      </c>
      <c r="S2" s="4" t="s">
        <v>445</v>
      </c>
      <c r="T2" s="3" t="s">
        <v>84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B2" sqref="B2"/>
    </sheetView>
  </sheetViews>
  <sheetFormatPr defaultRowHeight="15" x14ac:dyDescent="0.25"/>
  <cols>
    <col min="1" max="1" width="10.7109375" bestFit="1" customWidth="1"/>
    <col min="2" max="2" width="20.28515625" bestFit="1" customWidth="1"/>
    <col min="4" max="4" width="39" bestFit="1" customWidth="1"/>
    <col min="5" max="5" width="10.28515625" bestFit="1" customWidth="1"/>
    <col min="6" max="6" width="19.28515625" bestFit="1" customWidth="1"/>
    <col min="7" max="7" width="10.5703125" bestFit="1" customWidth="1"/>
    <col min="8" max="8" width="20.28515625" bestFit="1" customWidth="1"/>
  </cols>
  <sheetData>
    <row r="1" spans="1:9" x14ac:dyDescent="0.25">
      <c r="A1" s="4" t="s">
        <v>807</v>
      </c>
      <c r="B1" s="4" t="s">
        <v>808</v>
      </c>
      <c r="C1" s="4" t="s">
        <v>0</v>
      </c>
      <c r="D1" s="4" t="s">
        <v>9</v>
      </c>
      <c r="E1" s="4" t="s">
        <v>4</v>
      </c>
      <c r="F1" s="4" t="s">
        <v>6</v>
      </c>
      <c r="G1" s="4" t="s">
        <v>7</v>
      </c>
      <c r="H1" s="4" t="s">
        <v>413</v>
      </c>
      <c r="I1" s="4" t="s">
        <v>84</v>
      </c>
    </row>
    <row r="2" spans="1:9" x14ac:dyDescent="0.25">
      <c r="A2" s="4" t="s">
        <v>260</v>
      </c>
      <c r="B2" s="4" t="s">
        <v>833</v>
      </c>
      <c r="C2" s="2" t="s">
        <v>3</v>
      </c>
      <c r="D2" s="4" t="s">
        <v>832</v>
      </c>
      <c r="E2" s="4" t="s">
        <v>5</v>
      </c>
      <c r="F2" s="4" t="s">
        <v>499</v>
      </c>
      <c r="G2" s="4" t="s">
        <v>8</v>
      </c>
      <c r="H2" s="4" t="s">
        <v>445</v>
      </c>
      <c r="I2" s="4" t="s">
        <v>84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G7" sqref="G7:L7"/>
    </sheetView>
  </sheetViews>
  <sheetFormatPr defaultRowHeight="15" x14ac:dyDescent="0.25"/>
  <cols>
    <col min="1" max="1" width="5.5703125" style="3" bestFit="1" customWidth="1"/>
    <col min="2" max="2" width="11.140625" bestFit="1" customWidth="1"/>
    <col min="3" max="3" width="12.5703125" bestFit="1" customWidth="1"/>
    <col min="8" max="8" width="26.7109375" bestFit="1" customWidth="1"/>
    <col min="9" max="9" width="16.28515625" bestFit="1" customWidth="1"/>
    <col min="10" max="10" width="52.28515625" bestFit="1" customWidth="1"/>
    <col min="11" max="11" width="10.5703125" bestFit="1" customWidth="1"/>
  </cols>
  <sheetData>
    <row r="1" spans="1:12" x14ac:dyDescent="0.25">
      <c r="A1" t="s">
        <v>289</v>
      </c>
      <c r="B1" s="4" t="s">
        <v>284</v>
      </c>
      <c r="C1" s="4" t="s">
        <v>305</v>
      </c>
      <c r="D1" s="4" t="s">
        <v>282</v>
      </c>
      <c r="E1" s="4" t="s">
        <v>24</v>
      </c>
      <c r="F1" s="4" t="s">
        <v>834</v>
      </c>
      <c r="G1" s="4" t="s">
        <v>0</v>
      </c>
      <c r="H1" s="4" t="s">
        <v>9</v>
      </c>
      <c r="I1" s="4" t="s">
        <v>527</v>
      </c>
      <c r="J1" s="4" t="s">
        <v>6</v>
      </c>
      <c r="K1" s="4" t="s">
        <v>7</v>
      </c>
      <c r="L1" s="4" t="s">
        <v>4</v>
      </c>
    </row>
    <row r="2" spans="1:12" x14ac:dyDescent="0.25">
      <c r="A2" s="4"/>
      <c r="B2" s="4" t="s">
        <v>776</v>
      </c>
      <c r="C2" s="4" t="s">
        <v>776</v>
      </c>
      <c r="D2" s="4" t="s">
        <v>23</v>
      </c>
      <c r="E2" s="4" t="s">
        <v>23</v>
      </c>
      <c r="F2" s="4" t="s">
        <v>835</v>
      </c>
      <c r="G2" s="2" t="s">
        <v>543</v>
      </c>
      <c r="H2" s="4" t="s">
        <v>836</v>
      </c>
      <c r="I2" s="4" t="s">
        <v>528</v>
      </c>
      <c r="J2" s="4"/>
      <c r="K2" s="4" t="s">
        <v>526</v>
      </c>
      <c r="L2" s="4" t="s">
        <v>5</v>
      </c>
    </row>
    <row r="3" spans="1:12" x14ac:dyDescent="0.25">
      <c r="A3" s="4" t="s">
        <v>843</v>
      </c>
      <c r="B3" s="4"/>
      <c r="C3" s="4" t="s">
        <v>776</v>
      </c>
      <c r="D3" s="4" t="s">
        <v>23</v>
      </c>
      <c r="E3" s="4" t="s">
        <v>23</v>
      </c>
      <c r="F3" s="4" t="s">
        <v>835</v>
      </c>
      <c r="G3" s="2" t="s">
        <v>410</v>
      </c>
      <c r="H3" s="4" t="s">
        <v>837</v>
      </c>
      <c r="I3" s="4" t="s">
        <v>528</v>
      </c>
      <c r="J3" s="4"/>
      <c r="K3" s="4" t="s">
        <v>526</v>
      </c>
      <c r="L3" s="4" t="s">
        <v>5</v>
      </c>
    </row>
    <row r="4" spans="1:12" x14ac:dyDescent="0.25">
      <c r="A4" s="4" t="s">
        <v>843</v>
      </c>
      <c r="B4" s="4" t="s">
        <v>776</v>
      </c>
      <c r="C4" s="4" t="s">
        <v>776</v>
      </c>
      <c r="D4" s="4"/>
      <c r="E4" s="4" t="s">
        <v>23</v>
      </c>
      <c r="F4" s="4" t="s">
        <v>835</v>
      </c>
      <c r="G4" s="2" t="s">
        <v>544</v>
      </c>
      <c r="H4" s="4" t="s">
        <v>838</v>
      </c>
      <c r="I4" s="4" t="s">
        <v>528</v>
      </c>
      <c r="J4" s="4"/>
      <c r="K4" s="4" t="s">
        <v>526</v>
      </c>
      <c r="L4" s="4" t="s">
        <v>5</v>
      </c>
    </row>
    <row r="5" spans="1:12" x14ac:dyDescent="0.25">
      <c r="A5" s="4" t="s">
        <v>843</v>
      </c>
      <c r="B5" s="4" t="s">
        <v>776</v>
      </c>
      <c r="C5" s="4" t="s">
        <v>776</v>
      </c>
      <c r="D5" s="4" t="s">
        <v>23</v>
      </c>
      <c r="E5" s="4"/>
      <c r="F5" s="4" t="s">
        <v>835</v>
      </c>
      <c r="G5" s="2" t="s">
        <v>545</v>
      </c>
      <c r="H5" s="4" t="s">
        <v>839</v>
      </c>
      <c r="I5" s="4" t="s">
        <v>528</v>
      </c>
      <c r="J5" s="4"/>
      <c r="K5" s="4" t="s">
        <v>526</v>
      </c>
      <c r="L5" s="4" t="s">
        <v>5</v>
      </c>
    </row>
    <row r="6" spans="1:12" x14ac:dyDescent="0.25">
      <c r="A6" s="4">
        <v>2</v>
      </c>
      <c r="B6" s="4" t="s">
        <v>776</v>
      </c>
      <c r="C6" s="4" t="s">
        <v>776</v>
      </c>
      <c r="D6" s="4" t="s">
        <v>23</v>
      </c>
      <c r="E6" s="4" t="s">
        <v>23</v>
      </c>
      <c r="F6" s="4" t="s">
        <v>835</v>
      </c>
      <c r="G6" s="2" t="s">
        <v>546</v>
      </c>
      <c r="H6" s="4" t="s">
        <v>840</v>
      </c>
      <c r="I6" s="2" t="s">
        <v>579</v>
      </c>
      <c r="J6" s="4" t="s">
        <v>638</v>
      </c>
      <c r="K6" s="4" t="s">
        <v>526</v>
      </c>
      <c r="L6" s="4" t="s">
        <v>5</v>
      </c>
    </row>
    <row r="7" spans="1:12" x14ac:dyDescent="0.25">
      <c r="A7" s="4" t="s">
        <v>844</v>
      </c>
      <c r="B7" s="4" t="s">
        <v>776</v>
      </c>
      <c r="C7" s="4" t="s">
        <v>776</v>
      </c>
      <c r="D7" s="4" t="s">
        <v>23</v>
      </c>
      <c r="E7" s="4" t="s">
        <v>23</v>
      </c>
      <c r="F7" s="4" t="s">
        <v>835</v>
      </c>
      <c r="G7" s="2" t="s">
        <v>3</v>
      </c>
      <c r="H7" s="4" t="s">
        <v>839</v>
      </c>
      <c r="I7" s="2" t="s">
        <v>579</v>
      </c>
      <c r="J7" s="4" t="s">
        <v>285</v>
      </c>
      <c r="K7" s="4" t="s">
        <v>8</v>
      </c>
      <c r="L7" s="4" t="s">
        <v>5</v>
      </c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2"/>
    </sheetView>
  </sheetViews>
  <sheetFormatPr defaultRowHeight="15" x14ac:dyDescent="0.25"/>
  <cols>
    <col min="2" max="2" width="42.85546875" bestFit="1" customWidth="1"/>
    <col min="3" max="3" width="10.28515625" bestFit="1" customWidth="1"/>
    <col min="4" max="4" width="22" bestFit="1" customWidth="1"/>
    <col min="5" max="5" width="10.5703125" bestFit="1" customWidth="1"/>
  </cols>
  <sheetData>
    <row r="1" spans="1:5" x14ac:dyDescent="0.25">
      <c r="A1" s="4" t="s">
        <v>0</v>
      </c>
      <c r="B1" s="4" t="s">
        <v>9</v>
      </c>
      <c r="C1" s="4" t="s">
        <v>4</v>
      </c>
      <c r="D1" s="3" t="s">
        <v>6</v>
      </c>
      <c r="E1" s="3" t="s">
        <v>7</v>
      </c>
    </row>
    <row r="2" spans="1:5" x14ac:dyDescent="0.25">
      <c r="A2" s="2" t="s">
        <v>3</v>
      </c>
      <c r="B2" s="4" t="s">
        <v>841</v>
      </c>
      <c r="C2" s="4" t="s">
        <v>5</v>
      </c>
      <c r="D2" s="4" t="s">
        <v>842</v>
      </c>
      <c r="E2" s="3" t="s">
        <v>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F2" sqref="F2"/>
    </sheetView>
  </sheetViews>
  <sheetFormatPr defaultRowHeight="15" x14ac:dyDescent="0.25"/>
  <cols>
    <col min="1" max="1" width="19.7109375" bestFit="1" customWidth="1"/>
    <col min="2" max="2" width="13.7109375" bestFit="1" customWidth="1"/>
    <col min="4" max="5" width="10.42578125" bestFit="1" customWidth="1"/>
    <col min="7" max="7" width="31" bestFit="1" customWidth="1"/>
    <col min="8" max="8" width="16.28515625" bestFit="1" customWidth="1"/>
    <col min="9" max="9" width="52.28515625" bestFit="1" customWidth="1"/>
    <col min="10" max="10" width="10.5703125" bestFit="1" customWidth="1"/>
    <col min="11" max="11" width="10.28515625" bestFit="1" customWidth="1"/>
  </cols>
  <sheetData>
    <row r="1" spans="1:11" x14ac:dyDescent="0.25">
      <c r="A1" s="4" t="s">
        <v>845</v>
      </c>
      <c r="B1" s="4" t="s">
        <v>846</v>
      </c>
      <c r="C1" s="4" t="s">
        <v>24</v>
      </c>
      <c r="D1" s="4" t="s">
        <v>432</v>
      </c>
      <c r="E1" s="4" t="s">
        <v>847</v>
      </c>
      <c r="F1" s="4" t="s">
        <v>0</v>
      </c>
      <c r="G1" s="4" t="s">
        <v>9</v>
      </c>
      <c r="H1" s="4" t="s">
        <v>527</v>
      </c>
      <c r="I1" s="4" t="s">
        <v>6</v>
      </c>
      <c r="J1" s="4" t="s">
        <v>7</v>
      </c>
      <c r="K1" s="4" t="s">
        <v>4</v>
      </c>
    </row>
    <row r="2" spans="1:11" x14ac:dyDescent="0.25">
      <c r="A2" s="4"/>
      <c r="B2" s="4" t="s">
        <v>848</v>
      </c>
      <c r="C2" s="4" t="s">
        <v>65</v>
      </c>
      <c r="D2" s="4" t="str">
        <f ca="1">TEXT(NOW()+1,"YYYY-MM-DD")</f>
        <v>2026-06-25</v>
      </c>
      <c r="E2" s="4" t="str">
        <f ca="1">TEXT(NOW()+2,"YYYY-MM-DD")</f>
        <v>2026-06-26</v>
      </c>
      <c r="F2" s="2" t="s">
        <v>543</v>
      </c>
      <c r="G2" s="4" t="s">
        <v>849</v>
      </c>
      <c r="H2" s="4" t="s">
        <v>528</v>
      </c>
      <c r="I2" s="4"/>
      <c r="J2" s="4" t="s">
        <v>526</v>
      </c>
      <c r="K2" s="4" t="s">
        <v>5</v>
      </c>
    </row>
    <row r="3" spans="1:11" x14ac:dyDescent="0.25">
      <c r="A3" s="4" t="s">
        <v>776</v>
      </c>
      <c r="B3" s="4"/>
      <c r="C3" s="4" t="s">
        <v>65</v>
      </c>
      <c r="D3" s="4" t="str">
        <f ca="1">TEXT(NOW()+1,"YYYY-MM-DD")</f>
        <v>2026-06-25</v>
      </c>
      <c r="E3" s="4" t="str">
        <f ca="1">TEXT(NOW()+2,"YYYY-MM-DD")</f>
        <v>2026-06-26</v>
      </c>
      <c r="F3" s="2" t="s">
        <v>410</v>
      </c>
      <c r="G3" s="4" t="s">
        <v>850</v>
      </c>
      <c r="H3" s="4" t="s">
        <v>528</v>
      </c>
      <c r="I3" s="4"/>
      <c r="J3" s="4" t="s">
        <v>526</v>
      </c>
      <c r="K3" s="4" t="s">
        <v>5</v>
      </c>
    </row>
    <row r="4" spans="1:11" x14ac:dyDescent="0.25">
      <c r="A4" s="4" t="s">
        <v>776</v>
      </c>
      <c r="B4" s="4" t="s">
        <v>848</v>
      </c>
      <c r="C4" s="4"/>
      <c r="D4" s="4" t="str">
        <f ca="1">TEXT(NOW()+1,"YYYY-MM-DD")</f>
        <v>2026-06-25</v>
      </c>
      <c r="E4" s="4" t="str">
        <f ca="1">TEXT(NOW()+2,"YYYY-MM-DD")</f>
        <v>2026-06-26</v>
      </c>
      <c r="F4" s="2" t="s">
        <v>544</v>
      </c>
      <c r="G4" s="4" t="s">
        <v>852</v>
      </c>
      <c r="H4" s="4" t="s">
        <v>528</v>
      </c>
      <c r="I4" s="4"/>
      <c r="J4" s="4" t="s">
        <v>526</v>
      </c>
      <c r="K4" s="4" t="s">
        <v>5</v>
      </c>
    </row>
    <row r="5" spans="1:11" x14ac:dyDescent="0.25">
      <c r="A5" s="4" t="s">
        <v>776</v>
      </c>
      <c r="B5" s="4" t="s">
        <v>848</v>
      </c>
      <c r="C5" s="4" t="s">
        <v>65</v>
      </c>
      <c r="D5" s="4"/>
      <c r="E5" s="4" t="str">
        <f ca="1">TEXT(NOW()+2,"YYYY-MM-DD")</f>
        <v>2026-06-26</v>
      </c>
      <c r="F5" s="2" t="s">
        <v>545</v>
      </c>
      <c r="G5" s="4" t="s">
        <v>851</v>
      </c>
      <c r="H5" s="4" t="s">
        <v>528</v>
      </c>
      <c r="I5" s="4"/>
      <c r="J5" s="4" t="s">
        <v>526</v>
      </c>
      <c r="K5" s="4" t="s">
        <v>5</v>
      </c>
    </row>
    <row r="6" spans="1:11" x14ac:dyDescent="0.25">
      <c r="A6" s="4" t="s">
        <v>776</v>
      </c>
      <c r="B6" s="4" t="s">
        <v>848</v>
      </c>
      <c r="C6" s="4" t="s">
        <v>65</v>
      </c>
      <c r="D6" s="4" t="str">
        <f ca="1">TEXT(NOW()+1,"YYYY-MM-DD")</f>
        <v>2026-06-25</v>
      </c>
      <c r="E6" s="4"/>
      <c r="F6" s="2" t="s">
        <v>546</v>
      </c>
      <c r="G6" s="4" t="s">
        <v>853</v>
      </c>
      <c r="H6" s="4" t="s">
        <v>528</v>
      </c>
      <c r="I6" s="4"/>
      <c r="J6" s="4" t="s">
        <v>526</v>
      </c>
      <c r="K6" s="4" t="s">
        <v>5</v>
      </c>
    </row>
    <row r="7" spans="1:11" x14ac:dyDescent="0.25">
      <c r="A7" s="4" t="s">
        <v>776</v>
      </c>
      <c r="B7" s="4" t="s">
        <v>848</v>
      </c>
      <c r="C7" s="4" t="s">
        <v>65</v>
      </c>
      <c r="D7" s="4" t="str">
        <f ca="1">TEXT(NOW()+0,"YYYY-MM-DD")</f>
        <v>2026-06-24</v>
      </c>
      <c r="E7" s="4" t="str">
        <f ca="1">TEXT(NOW()+0,"YYYY-MM-DD")</f>
        <v>2026-06-24</v>
      </c>
      <c r="F7" s="2" t="s">
        <v>619</v>
      </c>
      <c r="G7" s="4" t="s">
        <v>855</v>
      </c>
      <c r="H7" s="2" t="s">
        <v>579</v>
      </c>
      <c r="I7" s="4" t="s">
        <v>854</v>
      </c>
      <c r="J7" s="4" t="s">
        <v>526</v>
      </c>
      <c r="K7" s="4" t="s">
        <v>5</v>
      </c>
    </row>
    <row r="8" spans="1:11" x14ac:dyDescent="0.25">
      <c r="A8" s="4" t="s">
        <v>776</v>
      </c>
      <c r="B8" s="4" t="s">
        <v>848</v>
      </c>
      <c r="C8" s="4" t="s">
        <v>65</v>
      </c>
      <c r="D8" s="4" t="str">
        <f ca="1">TEXT(NOW()+1,"YYYY-MM-DD")</f>
        <v>2026-06-25</v>
      </c>
      <c r="E8" s="4" t="str">
        <f ca="1">TEXT(NOW()+2,"YYYY-MM-DD")</f>
        <v>2026-06-26</v>
      </c>
      <c r="F8" s="2" t="s">
        <v>3</v>
      </c>
      <c r="G8" s="4" t="s">
        <v>856</v>
      </c>
      <c r="H8" s="4"/>
      <c r="I8" s="4" t="s">
        <v>285</v>
      </c>
      <c r="J8" s="4" t="s">
        <v>8</v>
      </c>
      <c r="K8" s="4" t="s">
        <v>5</v>
      </c>
    </row>
    <row r="9" spans="1:11" x14ac:dyDescent="0.25">
      <c r="A9" s="3"/>
      <c r="B9" s="3"/>
      <c r="C9" s="3"/>
      <c r="J9" s="4"/>
      <c r="K9" s="4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sqref="A1:G2"/>
    </sheetView>
  </sheetViews>
  <sheetFormatPr defaultRowHeight="15" x14ac:dyDescent="0.25"/>
  <cols>
    <col min="1" max="1" width="10" bestFit="1" customWidth="1"/>
    <col min="2" max="2" width="9.42578125" bestFit="1" customWidth="1"/>
    <col min="4" max="4" width="11.42578125" bestFit="1" customWidth="1"/>
    <col min="5" max="5" width="19.28515625" bestFit="1" customWidth="1"/>
    <col min="6" max="6" width="10.5703125" bestFit="1" customWidth="1"/>
    <col min="7" max="7" width="10.28515625" bestFit="1" customWidth="1"/>
  </cols>
  <sheetData>
    <row r="1" spans="1:7" x14ac:dyDescent="0.25">
      <c r="A1" s="4" t="s">
        <v>859</v>
      </c>
      <c r="B1" s="4" t="s">
        <v>291</v>
      </c>
      <c r="C1" s="4" t="s">
        <v>0</v>
      </c>
      <c r="D1" s="4" t="s">
        <v>9</v>
      </c>
      <c r="E1" s="4" t="s">
        <v>6</v>
      </c>
      <c r="F1" s="4" t="s">
        <v>7</v>
      </c>
      <c r="G1" s="4" t="s">
        <v>4</v>
      </c>
    </row>
    <row r="2" spans="1:7" x14ac:dyDescent="0.25">
      <c r="A2" s="4" t="s">
        <v>860</v>
      </c>
      <c r="B2" s="4" t="s">
        <v>861</v>
      </c>
      <c r="C2" s="2" t="s">
        <v>3</v>
      </c>
      <c r="D2" s="4" t="s">
        <v>862</v>
      </c>
      <c r="E2" s="4"/>
      <c r="F2" s="4" t="s">
        <v>8</v>
      </c>
      <c r="G2" s="4" t="s">
        <v>5</v>
      </c>
    </row>
  </sheetData>
  <hyperlinks>
    <hyperlink ref="B2" r:id="rId1" display="mailto:Uil11@25"/>
  </hyperlinks>
  <pageMargins left="0.7" right="0.7" top="0.75" bottom="0.75" header="0.3" footer="0.3"/>
  <pageSetup orientation="portrait"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2" sqref="E2"/>
    </sheetView>
  </sheetViews>
  <sheetFormatPr defaultRowHeight="15" x14ac:dyDescent="0.25"/>
  <cols>
    <col min="2" max="2" width="26.7109375" bestFit="1" customWidth="1"/>
    <col min="3" max="3" width="10.28515625" bestFit="1" customWidth="1"/>
    <col min="4" max="4" width="19.42578125" bestFit="1" customWidth="1"/>
    <col min="5" max="5" width="10.5703125" bestFit="1" customWidth="1"/>
  </cols>
  <sheetData>
    <row r="1" spans="1:5" x14ac:dyDescent="0.25">
      <c r="A1" s="4" t="s">
        <v>0</v>
      </c>
      <c r="B1" s="4" t="s">
        <v>9</v>
      </c>
      <c r="C1" s="4" t="s">
        <v>4</v>
      </c>
      <c r="D1" s="3" t="s">
        <v>6</v>
      </c>
      <c r="E1" s="3" t="s">
        <v>7</v>
      </c>
    </row>
    <row r="2" spans="1:5" x14ac:dyDescent="0.25">
      <c r="A2" s="2" t="s">
        <v>3</v>
      </c>
      <c r="B2" s="4" t="s">
        <v>857</v>
      </c>
      <c r="C2" s="4" t="s">
        <v>5</v>
      </c>
      <c r="D2" s="4" t="s">
        <v>858</v>
      </c>
      <c r="E2" s="3" t="s">
        <v>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B3" sqref="B3"/>
    </sheetView>
  </sheetViews>
  <sheetFormatPr defaultRowHeight="15" x14ac:dyDescent="0.25"/>
  <cols>
    <col min="1" max="1" width="12.28515625" style="3" customWidth="1"/>
    <col min="2" max="2" width="18.7109375" style="3" bestFit="1" customWidth="1"/>
    <col min="3" max="3" width="18.7109375" style="3" customWidth="1"/>
    <col min="4" max="4" width="9.140625" style="3"/>
    <col min="5" max="5" width="29" style="3" bestFit="1" customWidth="1"/>
    <col min="6" max="6" width="16" style="3" customWidth="1"/>
    <col min="7" max="7" width="19.28515625" style="3" bestFit="1" customWidth="1"/>
    <col min="8" max="16384" width="9.140625" style="3"/>
  </cols>
  <sheetData>
    <row r="1" spans="1:9" x14ac:dyDescent="0.25">
      <c r="A1" s="3" t="s">
        <v>284</v>
      </c>
      <c r="B1" s="3" t="s">
        <v>305</v>
      </c>
      <c r="C1" s="3" t="s">
        <v>231</v>
      </c>
      <c r="D1" s="3" t="s">
        <v>0</v>
      </c>
      <c r="E1" s="3" t="s">
        <v>9</v>
      </c>
      <c r="F1" s="4" t="s">
        <v>527</v>
      </c>
      <c r="G1" s="3" t="s">
        <v>6</v>
      </c>
      <c r="H1" s="3" t="s">
        <v>7</v>
      </c>
      <c r="I1" s="3" t="s">
        <v>4</v>
      </c>
    </row>
    <row r="2" spans="1:9" x14ac:dyDescent="0.25">
      <c r="B2" s="3" t="s">
        <v>412</v>
      </c>
      <c r="C2" s="4">
        <v>1</v>
      </c>
      <c r="D2" s="9" t="s">
        <v>3</v>
      </c>
      <c r="E2" s="3" t="s">
        <v>651</v>
      </c>
      <c r="F2" s="4" t="s">
        <v>528</v>
      </c>
      <c r="H2" s="3" t="s">
        <v>526</v>
      </c>
      <c r="I2" s="3" t="s">
        <v>5</v>
      </c>
    </row>
    <row r="3" spans="1:9" x14ac:dyDescent="0.25">
      <c r="A3" s="3" t="s">
        <v>776</v>
      </c>
      <c r="B3" s="3" t="s">
        <v>412</v>
      </c>
      <c r="C3" s="4" t="s">
        <v>387</v>
      </c>
      <c r="D3" s="9" t="s">
        <v>544</v>
      </c>
      <c r="E3" s="3" t="s">
        <v>653</v>
      </c>
      <c r="F3" s="2" t="s">
        <v>579</v>
      </c>
      <c r="G3" s="3" t="s">
        <v>285</v>
      </c>
      <c r="H3" s="3" t="s">
        <v>8</v>
      </c>
      <c r="I3" s="3" t="s">
        <v>5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6" sqref="F6"/>
    </sheetView>
  </sheetViews>
  <sheetFormatPr defaultRowHeight="15" x14ac:dyDescent="0.25"/>
  <cols>
    <col min="1" max="16384" width="9.140625" style="3"/>
  </cols>
  <sheetData>
    <row r="1" spans="1:2" x14ac:dyDescent="0.25">
      <c r="A1" s="3" t="s">
        <v>84</v>
      </c>
      <c r="B1" s="3" t="s">
        <v>0</v>
      </c>
    </row>
    <row r="2" spans="1:2" x14ac:dyDescent="0.25">
      <c r="A2" s="3" t="s">
        <v>84</v>
      </c>
      <c r="B2" s="9" t="s">
        <v>708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413</v>
      </c>
      <c r="B1" t="s">
        <v>0</v>
      </c>
    </row>
    <row r="2" spans="1:2" x14ac:dyDescent="0.25">
      <c r="A2" t="s">
        <v>84</v>
      </c>
      <c r="B2" s="9" t="s">
        <v>708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E23" sqref="E23"/>
    </sheetView>
  </sheetViews>
  <sheetFormatPr defaultRowHeight="15" x14ac:dyDescent="0.25"/>
  <cols>
    <col min="1" max="1" width="10.28515625" bestFit="1" customWidth="1"/>
  </cols>
  <sheetData>
    <row r="1" spans="1:2" x14ac:dyDescent="0.25">
      <c r="A1" s="3" t="s">
        <v>413</v>
      </c>
      <c r="B1" s="3" t="s">
        <v>0</v>
      </c>
    </row>
    <row r="2" spans="1:2" x14ac:dyDescent="0.25">
      <c r="A2" s="3" t="s">
        <v>84</v>
      </c>
      <c r="B2" s="9" t="s">
        <v>708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F21" sqref="F21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11" bestFit="1" customWidth="1"/>
    <col min="6" max="6" width="42.5703125" bestFit="1" customWidth="1"/>
    <col min="8" max="8" width="19.28515625" bestFit="1" customWidth="1"/>
  </cols>
  <sheetData>
    <row r="1" spans="1:10" x14ac:dyDescent="0.25">
      <c r="A1" s="16" t="s">
        <v>777</v>
      </c>
      <c r="B1" s="16" t="s">
        <v>284</v>
      </c>
      <c r="C1" s="16" t="s">
        <v>305</v>
      </c>
      <c r="D1" s="16" t="s">
        <v>24</v>
      </c>
      <c r="E1" s="4" t="s">
        <v>0</v>
      </c>
      <c r="F1" s="4" t="s">
        <v>9</v>
      </c>
      <c r="G1" s="4" t="s">
        <v>527</v>
      </c>
      <c r="H1" s="3" t="s">
        <v>6</v>
      </c>
      <c r="I1" s="3" t="s">
        <v>7</v>
      </c>
      <c r="J1" s="4" t="s">
        <v>4</v>
      </c>
    </row>
    <row r="2" spans="1:10" x14ac:dyDescent="0.25">
      <c r="A2" s="12" t="str">
        <f ca="1">CONCATENATE(RIGHT(TEXT(NOW(),"YYMMDDhhmmss"),12))</f>
        <v>260624113402</v>
      </c>
      <c r="B2" t="s">
        <v>776</v>
      </c>
      <c r="C2" t="s">
        <v>776</v>
      </c>
      <c r="D2" t="s">
        <v>65</v>
      </c>
      <c r="E2" s="2" t="s">
        <v>3</v>
      </c>
      <c r="F2" s="4" t="s">
        <v>778</v>
      </c>
      <c r="G2" s="9" t="s">
        <v>579</v>
      </c>
      <c r="H2" s="3" t="s">
        <v>285</v>
      </c>
      <c r="I2" s="3" t="s">
        <v>8</v>
      </c>
      <c r="J2" s="4" t="s">
        <v>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G8" sqref="G8"/>
    </sheetView>
  </sheetViews>
  <sheetFormatPr defaultRowHeight="15" x14ac:dyDescent="0.25"/>
  <cols>
    <col min="1" max="1" width="14" style="3" customWidth="1"/>
    <col min="2" max="2" width="11.140625" bestFit="1" customWidth="1"/>
    <col min="3" max="3" width="18.7109375" bestFit="1" customWidth="1"/>
    <col min="4" max="4" width="18.7109375" style="3" customWidth="1"/>
    <col min="5" max="5" width="20.28515625" bestFit="1" customWidth="1"/>
    <col min="7" max="7" width="23.85546875" bestFit="1" customWidth="1"/>
    <col min="8" max="8" width="16.28515625" bestFit="1" customWidth="1"/>
    <col min="9" max="9" width="19.28515625" bestFit="1" customWidth="1"/>
    <col min="10" max="10" width="10.5703125" bestFit="1" customWidth="1"/>
    <col min="11" max="11" width="10.28515625" bestFit="1" customWidth="1"/>
  </cols>
  <sheetData>
    <row r="1" spans="1:11" ht="15.75" customHeight="1" x14ac:dyDescent="0.25">
      <c r="A1" s="11" t="s">
        <v>289</v>
      </c>
      <c r="B1" s="4" t="s">
        <v>284</v>
      </c>
      <c r="C1" s="4" t="s">
        <v>305</v>
      </c>
      <c r="D1" s="16" t="s">
        <v>24</v>
      </c>
      <c r="E1" s="4" t="s">
        <v>231</v>
      </c>
      <c r="F1" s="4" t="s">
        <v>0</v>
      </c>
      <c r="G1" s="4" t="s">
        <v>9</v>
      </c>
      <c r="H1" s="4" t="s">
        <v>527</v>
      </c>
      <c r="I1" s="4" t="s">
        <v>6</v>
      </c>
      <c r="J1" s="4" t="s">
        <v>7</v>
      </c>
      <c r="K1" s="4" t="s">
        <v>4</v>
      </c>
    </row>
    <row r="2" spans="1:11" ht="14.25" customHeight="1" x14ac:dyDescent="0.25">
      <c r="A2" s="18" t="str">
        <f ca="1">"AutoPH" &amp; RIGHT(TEXT(NOW(), "hhmmss"), 6)</f>
        <v>AutoPH113402</v>
      </c>
      <c r="B2" s="4" t="s">
        <v>776</v>
      </c>
      <c r="C2" s="4" t="s">
        <v>412</v>
      </c>
      <c r="D2" s="4" t="s">
        <v>65</v>
      </c>
      <c r="E2" s="4">
        <v>1</v>
      </c>
      <c r="F2" s="2" t="s">
        <v>3</v>
      </c>
      <c r="G2" s="4" t="s">
        <v>653</v>
      </c>
      <c r="H2" s="4" t="s">
        <v>528</v>
      </c>
      <c r="I2" s="4" t="s">
        <v>285</v>
      </c>
      <c r="J2" s="4" t="s">
        <v>8</v>
      </c>
      <c r="K2" s="4" t="s">
        <v>5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H9" sqref="H9"/>
    </sheetView>
  </sheetViews>
  <sheetFormatPr defaultRowHeight="15" x14ac:dyDescent="0.25"/>
  <cols>
    <col min="1" max="1" width="11.7109375" style="3" bestFit="1" customWidth="1"/>
    <col min="2" max="2" width="14.7109375" style="3" bestFit="1" customWidth="1"/>
    <col min="3" max="3" width="9.28515625" style="3" bestFit="1" customWidth="1"/>
    <col min="4" max="4" width="30.28515625" style="3" bestFit="1" customWidth="1"/>
    <col min="5" max="9" width="9.140625" style="3"/>
    <col min="10" max="10" width="20.7109375" style="3" bestFit="1" customWidth="1"/>
    <col min="11" max="14" width="9.140625" style="3"/>
    <col min="15" max="15" width="19.28515625" style="3" bestFit="1" customWidth="1"/>
    <col min="16" max="16" width="10.5703125" style="3" bestFit="1" customWidth="1"/>
    <col min="17" max="17" width="10.28515625" style="3" bestFit="1" customWidth="1"/>
    <col min="18" max="16384" width="9.140625" style="3"/>
  </cols>
  <sheetData>
    <row r="1" spans="1:18" x14ac:dyDescent="0.25">
      <c r="A1" s="4" t="s">
        <v>155</v>
      </c>
      <c r="B1" s="4" t="s">
        <v>415</v>
      </c>
      <c r="C1" s="4" t="s">
        <v>416</v>
      </c>
      <c r="D1" s="4" t="s">
        <v>417</v>
      </c>
      <c r="E1" s="4" t="s">
        <v>282</v>
      </c>
      <c r="F1" s="4" t="s">
        <v>418</v>
      </c>
      <c r="G1" s="4" t="s">
        <v>419</v>
      </c>
      <c r="H1" s="4" t="s">
        <v>242</v>
      </c>
      <c r="I1" s="4" t="s">
        <v>420</v>
      </c>
      <c r="J1" s="4" t="s">
        <v>421</v>
      </c>
      <c r="K1" s="4" t="s">
        <v>422</v>
      </c>
      <c r="L1" s="3" t="s">
        <v>0</v>
      </c>
      <c r="M1" s="3" t="s">
        <v>9</v>
      </c>
      <c r="N1" s="4" t="s">
        <v>527</v>
      </c>
      <c r="O1" s="3" t="s">
        <v>6</v>
      </c>
      <c r="P1" s="3" t="s">
        <v>7</v>
      </c>
      <c r="Q1" s="3" t="s">
        <v>4</v>
      </c>
      <c r="R1" s="3" t="s">
        <v>84</v>
      </c>
    </row>
    <row r="2" spans="1:18" x14ac:dyDescent="0.25">
      <c r="A2" s="4" t="s">
        <v>423</v>
      </c>
      <c r="B2" s="4" t="s">
        <v>424</v>
      </c>
      <c r="C2" s="4" t="s">
        <v>779</v>
      </c>
      <c r="D2" s="4" t="s">
        <v>426</v>
      </c>
      <c r="E2" s="4" t="s">
        <v>118</v>
      </c>
      <c r="F2" s="4" t="s">
        <v>23</v>
      </c>
      <c r="G2" s="4" t="s">
        <v>23</v>
      </c>
      <c r="H2" s="4" t="s">
        <v>23</v>
      </c>
      <c r="I2" s="4" t="s">
        <v>226</v>
      </c>
      <c r="J2" s="4" t="s">
        <v>235</v>
      </c>
      <c r="K2" s="4" t="s">
        <v>118</v>
      </c>
      <c r="L2" s="9" t="s">
        <v>3</v>
      </c>
      <c r="M2" s="3" t="s">
        <v>712</v>
      </c>
      <c r="N2" s="2" t="s">
        <v>579</v>
      </c>
      <c r="O2" s="3" t="s">
        <v>285</v>
      </c>
      <c r="P2" s="3" t="s">
        <v>8</v>
      </c>
      <c r="Q2" s="3" t="s">
        <v>5</v>
      </c>
      <c r="R2" s="3" t="s">
        <v>84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C10" sqref="C10"/>
    </sheetView>
  </sheetViews>
  <sheetFormatPr defaultRowHeight="15" x14ac:dyDescent="0.25"/>
  <cols>
    <col min="1" max="1" width="13.42578125" style="3" bestFit="1" customWidth="1"/>
    <col min="2" max="2" width="14.7109375" style="3" bestFit="1" customWidth="1"/>
    <col min="3" max="3" width="30.28515625" style="3" bestFit="1" customWidth="1"/>
    <col min="4" max="8" width="9.140625" style="3"/>
    <col min="9" max="9" width="20.7109375" style="3" bestFit="1" customWidth="1"/>
    <col min="10" max="10" width="10.42578125" style="3" bestFit="1" customWidth="1"/>
    <col min="11" max="11" width="9.140625" style="3"/>
    <col min="12" max="12" width="27.5703125" style="3" bestFit="1" customWidth="1"/>
    <col min="13" max="13" width="16.28515625" style="3" bestFit="1" customWidth="1"/>
    <col min="14" max="14" width="19.28515625" style="3" bestFit="1" customWidth="1"/>
    <col min="15" max="15" width="10.5703125" style="3" bestFit="1" customWidth="1"/>
    <col min="16" max="16" width="10.28515625" style="3" bestFit="1" customWidth="1"/>
    <col min="17" max="16384" width="9.140625" style="3"/>
  </cols>
  <sheetData>
    <row r="1" spans="1:17" x14ac:dyDescent="0.25">
      <c r="A1" s="4" t="s">
        <v>155</v>
      </c>
      <c r="B1" s="4" t="s">
        <v>415</v>
      </c>
      <c r="C1" s="4" t="s">
        <v>417</v>
      </c>
      <c r="D1" s="4" t="s">
        <v>282</v>
      </c>
      <c r="E1" s="4" t="s">
        <v>418</v>
      </c>
      <c r="F1" s="4" t="s">
        <v>419</v>
      </c>
      <c r="G1" s="4" t="s">
        <v>242</v>
      </c>
      <c r="H1" s="4" t="s">
        <v>420</v>
      </c>
      <c r="I1" s="4" t="s">
        <v>421</v>
      </c>
      <c r="J1" s="4" t="s">
        <v>422</v>
      </c>
      <c r="K1" s="3" t="s">
        <v>0</v>
      </c>
      <c r="L1" s="3" t="s">
        <v>9</v>
      </c>
      <c r="M1" s="4" t="s">
        <v>527</v>
      </c>
      <c r="N1" s="3" t="s">
        <v>6</v>
      </c>
      <c r="O1" s="3" t="s">
        <v>7</v>
      </c>
      <c r="P1" s="3" t="s">
        <v>4</v>
      </c>
      <c r="Q1" s="3" t="s">
        <v>84</v>
      </c>
    </row>
    <row r="2" spans="1:17" x14ac:dyDescent="0.25">
      <c r="A2" s="12" t="str">
        <f ca="1">CONCATENATE("Auto",TEXT(NOW(),"DDHHMMSS"))</f>
        <v>Auto24113402</v>
      </c>
      <c r="B2" s="4" t="s">
        <v>424</v>
      </c>
      <c r="C2" s="4" t="s">
        <v>426</v>
      </c>
      <c r="D2" s="4" t="s">
        <v>118</v>
      </c>
      <c r="E2" s="4" t="s">
        <v>23</v>
      </c>
      <c r="F2" s="4" t="s">
        <v>23</v>
      </c>
      <c r="G2" s="4" t="s">
        <v>23</v>
      </c>
      <c r="H2" s="4" t="s">
        <v>226</v>
      </c>
      <c r="I2" s="4" t="s">
        <v>235</v>
      </c>
      <c r="J2" s="4" t="s">
        <v>118</v>
      </c>
      <c r="K2" s="9" t="s">
        <v>3</v>
      </c>
      <c r="L2" s="3" t="s">
        <v>712</v>
      </c>
      <c r="M2" s="2" t="s">
        <v>579</v>
      </c>
      <c r="N2" s="3" t="s">
        <v>285</v>
      </c>
      <c r="O2" s="3" t="s">
        <v>8</v>
      </c>
      <c r="P2" s="3" t="s">
        <v>5</v>
      </c>
      <c r="Q2" s="3" t="s">
        <v>84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I2" sqref="I2"/>
    </sheetView>
  </sheetViews>
  <sheetFormatPr defaultRowHeight="15" x14ac:dyDescent="0.25"/>
  <cols>
    <col min="1" max="1" width="15.42578125" style="3" bestFit="1" customWidth="1"/>
    <col min="2" max="2" width="25.28515625" style="3" bestFit="1" customWidth="1"/>
    <col min="3" max="3" width="10.28515625" style="3" bestFit="1" customWidth="1"/>
    <col min="4" max="4" width="11.85546875" style="3" bestFit="1" customWidth="1"/>
    <col min="5" max="5" width="26" style="3" bestFit="1" customWidth="1"/>
    <col min="6" max="6" width="30.140625" style="3" bestFit="1" customWidth="1"/>
    <col min="7" max="7" width="11" style="3" bestFit="1" customWidth="1"/>
    <col min="8" max="8" width="24.42578125" style="3" bestFit="1" customWidth="1"/>
    <col min="9" max="9" width="6.140625" style="3" customWidth="1"/>
    <col min="10" max="10" width="28.42578125" style="3" bestFit="1" customWidth="1"/>
    <col min="11" max="11" width="16.28515625" style="3" bestFit="1" customWidth="1"/>
    <col min="12" max="12" width="25.140625" style="3" bestFit="1" customWidth="1"/>
    <col min="13" max="13" width="10.5703125" style="3" bestFit="1" customWidth="1"/>
    <col min="14" max="14" width="10.28515625" style="3" bestFit="1" customWidth="1"/>
    <col min="15" max="16384" width="9.140625" style="3"/>
  </cols>
  <sheetData>
    <row r="1" spans="1:19" x14ac:dyDescent="0.25">
      <c r="A1" s="4" t="s">
        <v>427</v>
      </c>
      <c r="B1" s="4" t="s">
        <v>428</v>
      </c>
      <c r="C1" s="4" t="s">
        <v>429</v>
      </c>
      <c r="D1" s="4" t="s">
        <v>430</v>
      </c>
      <c r="E1" s="4" t="s">
        <v>431</v>
      </c>
      <c r="F1" s="4" t="s">
        <v>432</v>
      </c>
      <c r="G1" s="4" t="s">
        <v>59</v>
      </c>
      <c r="H1" s="4" t="s">
        <v>433</v>
      </c>
      <c r="I1" s="3" t="s">
        <v>0</v>
      </c>
      <c r="J1" s="3" t="s">
        <v>9</v>
      </c>
      <c r="K1" s="4" t="s">
        <v>527</v>
      </c>
      <c r="L1" s="3" t="s">
        <v>6</v>
      </c>
      <c r="M1" s="3" t="s">
        <v>7</v>
      </c>
      <c r="N1" s="3" t="s">
        <v>4</v>
      </c>
      <c r="O1" s="4"/>
      <c r="P1" s="4"/>
      <c r="Q1" s="4"/>
      <c r="R1" s="4"/>
      <c r="S1" s="4"/>
    </row>
    <row r="2" spans="1:19" x14ac:dyDescent="0.25">
      <c r="A2" s="4" t="s">
        <v>434</v>
      </c>
      <c r="B2" s="4" t="s">
        <v>921</v>
      </c>
      <c r="C2" s="4" t="s">
        <v>897</v>
      </c>
      <c r="D2" s="4" t="s">
        <v>226</v>
      </c>
      <c r="E2" s="4" t="s">
        <v>746</v>
      </c>
      <c r="F2" s="3" t="str">
        <f ca="1">TEXT(NOW(),"yyyy-mm-dd")</f>
        <v>2026-06-24</v>
      </c>
      <c r="G2" s="2" t="s">
        <v>874</v>
      </c>
      <c r="H2" s="4" t="s">
        <v>919</v>
      </c>
      <c r="I2" s="9" t="s">
        <v>572</v>
      </c>
      <c r="J2" s="3" t="s">
        <v>709</v>
      </c>
      <c r="K2" s="4"/>
      <c r="L2" s="4" t="s">
        <v>447</v>
      </c>
      <c r="M2" s="3" t="s">
        <v>8</v>
      </c>
      <c r="N2" s="3" t="s">
        <v>5</v>
      </c>
      <c r="O2" s="4"/>
      <c r="P2" s="4"/>
      <c r="Q2" s="4"/>
      <c r="R2" s="4"/>
      <c r="S2" s="4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5" x14ac:dyDescent="0.25"/>
  <cols>
    <col min="1" max="1" width="13.85546875" style="3" bestFit="1" customWidth="1"/>
    <col min="2" max="16384" width="9.140625" style="3"/>
  </cols>
  <sheetData>
    <row r="1" spans="1:2" x14ac:dyDescent="0.25">
      <c r="A1" s="3" t="s">
        <v>84</v>
      </c>
      <c r="B1" s="3" t="s">
        <v>0</v>
      </c>
    </row>
    <row r="2" spans="1:2" x14ac:dyDescent="0.25">
      <c r="A2" s="3" t="s">
        <v>780</v>
      </c>
      <c r="B2" s="9" t="s">
        <v>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F14" sqref="F14"/>
    </sheetView>
  </sheetViews>
  <sheetFormatPr defaultRowHeight="15" x14ac:dyDescent="0.25"/>
  <cols>
    <col min="1" max="1" width="13.42578125" bestFit="1" customWidth="1"/>
    <col min="2" max="2" width="14.7109375" bestFit="1" customWidth="1"/>
    <col min="3" max="3" width="9.28515625" bestFit="1" customWidth="1"/>
    <col min="4" max="4" width="33.28515625" bestFit="1" customWidth="1"/>
    <col min="10" max="10" width="20.7109375" bestFit="1" customWidth="1"/>
    <col min="15" max="15" width="19.28515625" bestFit="1" customWidth="1"/>
    <col min="16" max="16" width="10.5703125" bestFit="1" customWidth="1"/>
    <col min="17" max="17" width="10.28515625" bestFit="1" customWidth="1"/>
  </cols>
  <sheetData>
    <row r="1" spans="1:18" x14ac:dyDescent="0.25">
      <c r="A1" s="4" t="s">
        <v>155</v>
      </c>
      <c r="B1" s="4" t="s">
        <v>415</v>
      </c>
      <c r="C1" s="4" t="s">
        <v>416</v>
      </c>
      <c r="D1" s="4" t="s">
        <v>417</v>
      </c>
      <c r="E1" s="4" t="s">
        <v>282</v>
      </c>
      <c r="F1" s="4" t="s">
        <v>418</v>
      </c>
      <c r="G1" s="4" t="s">
        <v>419</v>
      </c>
      <c r="H1" s="4" t="s">
        <v>242</v>
      </c>
      <c r="I1" s="4" t="s">
        <v>420</v>
      </c>
      <c r="J1" s="4" t="s">
        <v>421</v>
      </c>
      <c r="K1" s="4" t="s">
        <v>422</v>
      </c>
      <c r="L1" s="3" t="s">
        <v>0</v>
      </c>
      <c r="M1" s="3" t="s">
        <v>9</v>
      </c>
      <c r="N1" s="4" t="s">
        <v>527</v>
      </c>
      <c r="O1" s="3" t="s">
        <v>6</v>
      </c>
      <c r="P1" s="3" t="s">
        <v>7</v>
      </c>
      <c r="Q1" s="3" t="s">
        <v>4</v>
      </c>
      <c r="R1" s="3" t="s">
        <v>84</v>
      </c>
    </row>
    <row r="2" spans="1:18" x14ac:dyDescent="0.25">
      <c r="A2" s="12" t="str">
        <f ca="1">CONCATENATE("Auto",TEXT(NOW(),"DDHHMMSS"))</f>
        <v>Auto24113402</v>
      </c>
      <c r="B2" s="4" t="s">
        <v>424</v>
      </c>
      <c r="C2" s="4" t="s">
        <v>779</v>
      </c>
      <c r="D2" s="4" t="s">
        <v>478</v>
      </c>
      <c r="E2" s="4" t="s">
        <v>118</v>
      </c>
      <c r="F2" s="4" t="s">
        <v>23</v>
      </c>
      <c r="G2" s="4" t="s">
        <v>23</v>
      </c>
      <c r="H2" s="4" t="s">
        <v>23</v>
      </c>
      <c r="I2" s="4" t="s">
        <v>226</v>
      </c>
      <c r="J2" s="4" t="s">
        <v>235</v>
      </c>
      <c r="K2" s="4" t="s">
        <v>118</v>
      </c>
      <c r="L2" s="9" t="s">
        <v>3</v>
      </c>
      <c r="M2" s="3" t="s">
        <v>712</v>
      </c>
      <c r="N2" s="2" t="s">
        <v>579</v>
      </c>
      <c r="O2" s="3" t="s">
        <v>285</v>
      </c>
      <c r="P2" s="3" t="s">
        <v>8</v>
      </c>
      <c r="Q2" s="3" t="s">
        <v>5</v>
      </c>
      <c r="R2" s="3" t="s">
        <v>84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I2" sqref="I2"/>
    </sheetView>
  </sheetViews>
  <sheetFormatPr defaultRowHeight="15" x14ac:dyDescent="0.25"/>
  <cols>
    <col min="1" max="1" width="15.42578125" style="3" bestFit="1" customWidth="1"/>
    <col min="2" max="2" width="25.28515625" style="3" bestFit="1" customWidth="1"/>
    <col min="3" max="3" width="10.28515625" style="3" bestFit="1" customWidth="1"/>
    <col min="4" max="4" width="11.85546875" style="3" bestFit="1" customWidth="1"/>
    <col min="5" max="5" width="26" style="3" bestFit="1" customWidth="1"/>
    <col min="6" max="6" width="28.140625" style="3" bestFit="1" customWidth="1"/>
    <col min="7" max="7" width="11" style="3" bestFit="1" customWidth="1"/>
    <col min="8" max="8" width="26.85546875" style="3" bestFit="1" customWidth="1"/>
    <col min="9" max="9" width="6.140625" style="3" customWidth="1"/>
    <col min="10" max="10" width="28.42578125" style="3" bestFit="1" customWidth="1"/>
    <col min="11" max="11" width="16.28515625" style="3" bestFit="1" customWidth="1"/>
    <col min="12" max="12" width="25.140625" style="3" bestFit="1" customWidth="1"/>
    <col min="13" max="13" width="10.5703125" style="3" bestFit="1" customWidth="1"/>
    <col min="14" max="14" width="10.28515625" style="3" bestFit="1" customWidth="1"/>
    <col min="15" max="16384" width="9.140625" style="3"/>
  </cols>
  <sheetData>
    <row r="1" spans="1:19" x14ac:dyDescent="0.25">
      <c r="A1" s="4" t="s">
        <v>427</v>
      </c>
      <c r="B1" s="4" t="s">
        <v>428</v>
      </c>
      <c r="C1" s="4" t="s">
        <v>429</v>
      </c>
      <c r="D1" s="4" t="s">
        <v>430</v>
      </c>
      <c r="E1" s="4" t="s">
        <v>431</v>
      </c>
      <c r="F1" s="4" t="s">
        <v>432</v>
      </c>
      <c r="G1" s="4" t="s">
        <v>59</v>
      </c>
      <c r="H1" s="4" t="s">
        <v>433</v>
      </c>
      <c r="I1" s="3" t="s">
        <v>0</v>
      </c>
      <c r="J1" s="3" t="s">
        <v>9</v>
      </c>
      <c r="K1" s="4" t="s">
        <v>527</v>
      </c>
      <c r="L1" s="3" t="s">
        <v>6</v>
      </c>
      <c r="M1" s="3" t="s">
        <v>7</v>
      </c>
      <c r="N1" s="3" t="s">
        <v>4</v>
      </c>
      <c r="O1" s="4"/>
      <c r="P1" s="4"/>
      <c r="Q1" s="4"/>
      <c r="R1" s="4"/>
      <c r="S1" s="4"/>
    </row>
    <row r="2" spans="1:19" x14ac:dyDescent="0.25">
      <c r="A2" s="4" t="s">
        <v>434</v>
      </c>
      <c r="B2" s="4" t="s">
        <v>921</v>
      </c>
      <c r="C2" s="4" t="s">
        <v>897</v>
      </c>
      <c r="D2" s="4" t="s">
        <v>226</v>
      </c>
      <c r="E2" s="4" t="s">
        <v>746</v>
      </c>
      <c r="F2" s="3" t="str">
        <f ca="1">TEXT(NOW(),"yyyy-mm-dd")</f>
        <v>2026-06-24</v>
      </c>
      <c r="G2" s="2" t="s">
        <v>874</v>
      </c>
      <c r="H2" s="4" t="s">
        <v>919</v>
      </c>
      <c r="I2" s="9" t="s">
        <v>572</v>
      </c>
      <c r="J2" s="3" t="s">
        <v>923</v>
      </c>
      <c r="K2" s="4"/>
      <c r="L2" s="4" t="s">
        <v>447</v>
      </c>
      <c r="M2" s="3" t="s">
        <v>8</v>
      </c>
      <c r="N2" s="3" t="s">
        <v>5</v>
      </c>
      <c r="O2" s="4"/>
      <c r="P2" s="4"/>
      <c r="Q2" s="4"/>
      <c r="R2" s="4"/>
      <c r="S2" s="4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5" x14ac:dyDescent="0.25"/>
  <cols>
    <col min="1" max="1" width="13.85546875" bestFit="1" customWidth="1"/>
  </cols>
  <sheetData>
    <row r="1" spans="1:2" x14ac:dyDescent="0.25">
      <c r="A1" t="s">
        <v>84</v>
      </c>
      <c r="B1" t="s">
        <v>0</v>
      </c>
    </row>
    <row r="2" spans="1:2" x14ac:dyDescent="0.25">
      <c r="A2" t="s">
        <v>780</v>
      </c>
      <c r="B2" s="9" t="s">
        <v>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workbookViewId="0">
      <selection activeCell="B9" sqref="B9"/>
    </sheetView>
  </sheetViews>
  <sheetFormatPr defaultRowHeight="15" x14ac:dyDescent="0.25"/>
  <cols>
    <col min="1" max="1" width="17.85546875" bestFit="1" customWidth="1"/>
    <col min="2" max="2" width="19.42578125" bestFit="1" customWidth="1"/>
    <col min="3" max="3" width="13.5703125" bestFit="1" customWidth="1"/>
    <col min="4" max="4" width="20.140625" style="3" bestFit="1" customWidth="1"/>
    <col min="5" max="5" width="21.42578125" bestFit="1" customWidth="1"/>
    <col min="6" max="6" width="41.28515625" bestFit="1" customWidth="1"/>
    <col min="7" max="7" width="11.42578125" bestFit="1" customWidth="1"/>
    <col min="8" max="8" width="14.140625" bestFit="1" customWidth="1"/>
    <col min="9" max="9" width="19.7109375" bestFit="1" customWidth="1"/>
    <col min="10" max="10" width="21.42578125" bestFit="1" customWidth="1"/>
    <col min="11" max="11" width="9.85546875" bestFit="1" customWidth="1"/>
    <col min="12" max="12" width="12.42578125" bestFit="1" customWidth="1"/>
    <col min="13" max="13" width="12.42578125" style="3" customWidth="1"/>
    <col min="14" max="15" width="23.140625" bestFit="1" customWidth="1"/>
    <col min="16" max="18" width="9.7109375" bestFit="1" customWidth="1"/>
    <col min="20" max="20" width="14.42578125" bestFit="1" customWidth="1"/>
    <col min="21" max="21" width="19.5703125" bestFit="1" customWidth="1"/>
    <col min="22" max="22" width="21.5703125" bestFit="1" customWidth="1"/>
    <col min="23" max="23" width="27.140625" bestFit="1" customWidth="1"/>
    <col min="24" max="24" width="11" bestFit="1" customWidth="1"/>
    <col min="26" max="26" width="43.42578125" bestFit="1" customWidth="1"/>
    <col min="27" max="27" width="19.28515625" bestFit="1" customWidth="1"/>
    <col min="28" max="28" width="19.28515625" style="3" bestFit="1" customWidth="1"/>
    <col min="29" max="29" width="10.28515625" style="3" bestFit="1" customWidth="1"/>
  </cols>
  <sheetData>
    <row r="1" spans="1:31" x14ac:dyDescent="0.25">
      <c r="A1" s="5" t="s">
        <v>85</v>
      </c>
      <c r="B1" s="5" t="s">
        <v>86</v>
      </c>
      <c r="C1" s="5" t="s">
        <v>87</v>
      </c>
      <c r="D1" t="s">
        <v>109</v>
      </c>
      <c r="E1" s="1" t="s">
        <v>88</v>
      </c>
      <c r="F1" s="5" t="s">
        <v>89</v>
      </c>
      <c r="G1" s="3" t="s">
        <v>90</v>
      </c>
      <c r="H1" t="s">
        <v>91</v>
      </c>
      <c r="I1" s="1" t="s">
        <v>92</v>
      </c>
      <c r="J1" s="1" t="s">
        <v>93</v>
      </c>
      <c r="K1" s="5" t="s">
        <v>94</v>
      </c>
      <c r="L1" s="5" t="s">
        <v>95</v>
      </c>
      <c r="M1" s="5" t="s">
        <v>24</v>
      </c>
      <c r="N1" s="5" t="s">
        <v>96</v>
      </c>
      <c r="O1" s="5" t="s">
        <v>97</v>
      </c>
      <c r="P1" s="5" t="s">
        <v>98</v>
      </c>
      <c r="Q1" s="5" t="s">
        <v>99</v>
      </c>
      <c r="R1" s="5" t="s">
        <v>100</v>
      </c>
      <c r="S1" s="5" t="s">
        <v>101</v>
      </c>
      <c r="T1" s="5" t="s">
        <v>102</v>
      </c>
      <c r="U1" s="5" t="s">
        <v>103</v>
      </c>
      <c r="V1" s="5" t="s">
        <v>104</v>
      </c>
      <c r="W1" s="5" t="s">
        <v>105</v>
      </c>
      <c r="X1" s="5" t="s">
        <v>106</v>
      </c>
      <c r="Y1" s="4" t="s">
        <v>0</v>
      </c>
      <c r="Z1" s="4" t="s">
        <v>9</v>
      </c>
      <c r="AA1" s="4" t="s">
        <v>527</v>
      </c>
      <c r="AB1" s="3" t="s">
        <v>6</v>
      </c>
      <c r="AC1" s="3" t="s">
        <v>7</v>
      </c>
      <c r="AD1" s="4" t="s">
        <v>4</v>
      </c>
      <c r="AE1" s="4" t="s">
        <v>84</v>
      </c>
    </row>
    <row r="2" spans="1:31" s="3" customFormat="1" x14ac:dyDescent="0.25">
      <c r="A2" s="3" t="s">
        <v>21</v>
      </c>
      <c r="B2" s="3" t="s">
        <v>442</v>
      </c>
      <c r="C2" s="3" t="s">
        <v>108</v>
      </c>
      <c r="D2" s="4">
        <v>1234</v>
      </c>
      <c r="E2" s="4" t="s">
        <v>875</v>
      </c>
      <c r="F2" s="3" t="s">
        <v>902</v>
      </c>
      <c r="G2" s="3" t="s">
        <v>151</v>
      </c>
      <c r="H2" s="3" t="s">
        <v>151</v>
      </c>
      <c r="I2" s="4" t="s">
        <v>443</v>
      </c>
      <c r="J2" s="4" t="s">
        <v>444</v>
      </c>
      <c r="K2" s="3" t="s">
        <v>112</v>
      </c>
      <c r="L2" s="4" t="s">
        <v>113</v>
      </c>
      <c r="M2" s="4" t="s">
        <v>65</v>
      </c>
      <c r="N2" s="4" t="s">
        <v>876</v>
      </c>
      <c r="O2" s="4" t="s">
        <v>877</v>
      </c>
      <c r="S2" s="3" t="s">
        <v>23</v>
      </c>
      <c r="T2" s="3" t="s">
        <v>118</v>
      </c>
      <c r="V2" s="3" t="s">
        <v>23</v>
      </c>
      <c r="W2" s="3" t="s">
        <v>119</v>
      </c>
      <c r="X2" s="4" t="s">
        <v>120</v>
      </c>
      <c r="Y2" s="2" t="s">
        <v>3</v>
      </c>
      <c r="Z2" s="4" t="s">
        <v>542</v>
      </c>
      <c r="AA2" s="9" t="s">
        <v>579</v>
      </c>
      <c r="AB2" s="3" t="s">
        <v>285</v>
      </c>
      <c r="AC2" s="3" t="s">
        <v>8</v>
      </c>
      <c r="AD2" s="4" t="s">
        <v>5</v>
      </c>
      <c r="AE2" s="4" t="s">
        <v>84</v>
      </c>
    </row>
    <row r="3" spans="1:31" x14ac:dyDescent="0.25">
      <c r="A3" s="5"/>
    </row>
    <row r="4" spans="1:31" x14ac:dyDescent="0.25">
      <c r="A4" s="5"/>
    </row>
    <row r="5" spans="1:31" x14ac:dyDescent="0.25">
      <c r="A5" s="5"/>
    </row>
    <row r="6" spans="1:31" x14ac:dyDescent="0.25">
      <c r="A6" s="5"/>
    </row>
    <row r="7" spans="1:31" x14ac:dyDescent="0.25">
      <c r="A7" s="5"/>
    </row>
    <row r="8" spans="1:31" x14ac:dyDescent="0.25">
      <c r="A8" s="5"/>
    </row>
    <row r="9" spans="1:31" x14ac:dyDescent="0.25">
      <c r="A9" s="5"/>
    </row>
    <row r="10" spans="1:31" x14ac:dyDescent="0.25">
      <c r="A10" s="5"/>
    </row>
    <row r="11" spans="1:31" x14ac:dyDescent="0.25">
      <c r="A11" s="5"/>
    </row>
    <row r="12" spans="1:31" x14ac:dyDescent="0.25">
      <c r="A12" s="5"/>
    </row>
    <row r="13" spans="1:31" x14ac:dyDescent="0.25">
      <c r="A13" s="5"/>
    </row>
    <row r="14" spans="1:31" x14ac:dyDescent="0.25">
      <c r="A14" s="5"/>
    </row>
    <row r="15" spans="1:31" x14ac:dyDescent="0.25">
      <c r="A15" s="5"/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workbookViewId="0">
      <selection activeCell="O3" sqref="O3"/>
    </sheetView>
  </sheetViews>
  <sheetFormatPr defaultRowHeight="15" x14ac:dyDescent="0.25"/>
  <cols>
    <col min="2" max="2" width="19.42578125" bestFit="1" customWidth="1"/>
    <col min="3" max="3" width="13.5703125" bestFit="1" customWidth="1"/>
    <col min="5" max="5" width="17.42578125" bestFit="1" customWidth="1"/>
    <col min="6" max="6" width="26.5703125" bestFit="1" customWidth="1"/>
    <col min="14" max="14" width="15" bestFit="1" customWidth="1"/>
    <col min="15" max="15" width="12.85546875" bestFit="1" customWidth="1"/>
    <col min="26" max="26" width="43.42578125" bestFit="1" customWidth="1"/>
  </cols>
  <sheetData>
    <row r="1" spans="1:31" x14ac:dyDescent="0.25">
      <c r="A1" s="5" t="s">
        <v>85</v>
      </c>
      <c r="B1" s="5" t="s">
        <v>86</v>
      </c>
      <c r="C1" s="5" t="s">
        <v>87</v>
      </c>
      <c r="D1" s="3" t="s">
        <v>109</v>
      </c>
      <c r="E1" s="1" t="s">
        <v>88</v>
      </c>
      <c r="F1" s="5" t="s">
        <v>89</v>
      </c>
      <c r="G1" s="3" t="s">
        <v>90</v>
      </c>
      <c r="H1" s="3" t="s">
        <v>91</v>
      </c>
      <c r="I1" s="1" t="s">
        <v>92</v>
      </c>
      <c r="J1" s="1" t="s">
        <v>93</v>
      </c>
      <c r="K1" s="5" t="s">
        <v>94</v>
      </c>
      <c r="L1" s="5" t="s">
        <v>95</v>
      </c>
      <c r="M1" s="5" t="s">
        <v>24</v>
      </c>
      <c r="N1" s="5" t="s">
        <v>96</v>
      </c>
      <c r="O1" s="5" t="s">
        <v>97</v>
      </c>
      <c r="P1" s="5" t="s">
        <v>98</v>
      </c>
      <c r="Q1" s="5" t="s">
        <v>99</v>
      </c>
      <c r="R1" s="5" t="s">
        <v>100</v>
      </c>
      <c r="S1" s="5" t="s">
        <v>101</v>
      </c>
      <c r="T1" s="5" t="s">
        <v>102</v>
      </c>
      <c r="U1" s="5" t="s">
        <v>103</v>
      </c>
      <c r="V1" s="5" t="s">
        <v>104</v>
      </c>
      <c r="W1" s="5" t="s">
        <v>105</v>
      </c>
      <c r="X1" s="5" t="s">
        <v>106</v>
      </c>
      <c r="Y1" s="4" t="s">
        <v>0</v>
      </c>
      <c r="Z1" s="4" t="s">
        <v>9</v>
      </c>
      <c r="AA1" s="4" t="s">
        <v>527</v>
      </c>
      <c r="AB1" s="3" t="s">
        <v>6</v>
      </c>
      <c r="AC1" s="3" t="s">
        <v>7</v>
      </c>
      <c r="AD1" s="4" t="s">
        <v>4</v>
      </c>
      <c r="AE1" s="4" t="s">
        <v>84</v>
      </c>
    </row>
    <row r="2" spans="1:31" x14ac:dyDescent="0.25">
      <c r="A2" s="3" t="s">
        <v>21</v>
      </c>
      <c r="B2" s="3"/>
      <c r="C2" s="3" t="s">
        <v>108</v>
      </c>
      <c r="D2" s="4">
        <v>1234</v>
      </c>
      <c r="E2" s="4" t="s">
        <v>110</v>
      </c>
      <c r="F2" s="3" t="s">
        <v>271</v>
      </c>
      <c r="G2" s="3" t="s">
        <v>151</v>
      </c>
      <c r="H2" s="3" t="s">
        <v>151</v>
      </c>
      <c r="I2" s="4" t="s">
        <v>443</v>
      </c>
      <c r="J2" s="4" t="s">
        <v>444</v>
      </c>
      <c r="K2" s="3" t="s">
        <v>112</v>
      </c>
      <c r="L2" s="4" t="s">
        <v>113</v>
      </c>
      <c r="M2" s="4" t="s">
        <v>65</v>
      </c>
      <c r="N2" s="3" t="s">
        <v>114</v>
      </c>
      <c r="O2" s="3" t="s">
        <v>114</v>
      </c>
      <c r="P2" s="3" t="s">
        <v>115</v>
      </c>
      <c r="Q2" s="3" t="s">
        <v>116</v>
      </c>
      <c r="R2" s="3" t="s">
        <v>117</v>
      </c>
      <c r="S2" s="3" t="s">
        <v>23</v>
      </c>
      <c r="T2" s="3" t="s">
        <v>118</v>
      </c>
      <c r="U2" s="3"/>
      <c r="V2" s="3" t="s">
        <v>23</v>
      </c>
      <c r="W2" s="3" t="s">
        <v>119</v>
      </c>
      <c r="X2" s="4" t="s">
        <v>120</v>
      </c>
      <c r="Y2" s="2" t="s">
        <v>543</v>
      </c>
      <c r="Z2" s="4" t="s">
        <v>654</v>
      </c>
      <c r="AA2" s="4" t="s">
        <v>528</v>
      </c>
      <c r="AB2" s="3"/>
      <c r="AC2" s="3" t="s">
        <v>526</v>
      </c>
      <c r="AD2" s="4" t="s">
        <v>5</v>
      </c>
      <c r="AE2" s="4" t="s">
        <v>84</v>
      </c>
    </row>
    <row r="3" spans="1:31" x14ac:dyDescent="0.25">
      <c r="A3" s="3" t="s">
        <v>21</v>
      </c>
      <c r="B3" s="3" t="s">
        <v>442</v>
      </c>
      <c r="C3" s="3" t="s">
        <v>108</v>
      </c>
      <c r="D3" s="4">
        <v>1234</v>
      </c>
      <c r="E3" s="4"/>
      <c r="F3" s="3" t="s">
        <v>271</v>
      </c>
      <c r="G3" s="3" t="s">
        <v>151</v>
      </c>
      <c r="H3" s="3" t="s">
        <v>151</v>
      </c>
      <c r="I3" s="4" t="s">
        <v>443</v>
      </c>
      <c r="J3" s="4" t="s">
        <v>444</v>
      </c>
      <c r="K3" s="3" t="s">
        <v>112</v>
      </c>
      <c r="L3" s="4" t="s">
        <v>113</v>
      </c>
      <c r="M3" s="4" t="s">
        <v>65</v>
      </c>
      <c r="N3" s="3" t="s">
        <v>114</v>
      </c>
      <c r="O3" s="3" t="s">
        <v>114</v>
      </c>
      <c r="P3" s="3" t="s">
        <v>115</v>
      </c>
      <c r="Q3" s="3" t="s">
        <v>116</v>
      </c>
      <c r="R3" s="3" t="s">
        <v>117</v>
      </c>
      <c r="S3" s="3" t="s">
        <v>23</v>
      </c>
      <c r="T3" s="3" t="s">
        <v>118</v>
      </c>
      <c r="U3" s="3"/>
      <c r="V3" s="3" t="s">
        <v>23</v>
      </c>
      <c r="W3" s="3" t="s">
        <v>119</v>
      </c>
      <c r="X3" s="4" t="s">
        <v>120</v>
      </c>
      <c r="Y3" s="2" t="s">
        <v>410</v>
      </c>
      <c r="Z3" s="4" t="s">
        <v>655</v>
      </c>
      <c r="AA3" s="4" t="s">
        <v>528</v>
      </c>
      <c r="AB3" s="3"/>
      <c r="AC3" s="3" t="s">
        <v>526</v>
      </c>
      <c r="AD3" s="4" t="s">
        <v>5</v>
      </c>
      <c r="AE3" s="4" t="s">
        <v>84</v>
      </c>
    </row>
    <row r="4" spans="1:31" x14ac:dyDescent="0.25">
      <c r="A4" s="3" t="s">
        <v>21</v>
      </c>
      <c r="B4" s="3" t="s">
        <v>442</v>
      </c>
      <c r="C4" s="3" t="s">
        <v>108</v>
      </c>
      <c r="D4" s="4">
        <v>1234</v>
      </c>
      <c r="E4" s="4" t="s">
        <v>110</v>
      </c>
      <c r="F4" s="3"/>
      <c r="G4" s="3" t="s">
        <v>151</v>
      </c>
      <c r="H4" s="3" t="s">
        <v>151</v>
      </c>
      <c r="I4" s="4" t="s">
        <v>443</v>
      </c>
      <c r="J4" s="4" t="s">
        <v>444</v>
      </c>
      <c r="K4" s="3" t="s">
        <v>112</v>
      </c>
      <c r="L4" s="4" t="s">
        <v>113</v>
      </c>
      <c r="M4" s="4" t="s">
        <v>65</v>
      </c>
      <c r="N4" s="3" t="s">
        <v>114</v>
      </c>
      <c r="O4" s="3" t="s">
        <v>114</v>
      </c>
      <c r="P4" s="3" t="s">
        <v>115</v>
      </c>
      <c r="Q4" s="3" t="s">
        <v>116</v>
      </c>
      <c r="R4" s="3" t="s">
        <v>117</v>
      </c>
      <c r="S4" s="3" t="s">
        <v>23</v>
      </c>
      <c r="T4" s="3" t="s">
        <v>118</v>
      </c>
      <c r="U4" s="3"/>
      <c r="V4" s="3" t="s">
        <v>23</v>
      </c>
      <c r="W4" s="3" t="s">
        <v>119</v>
      </c>
      <c r="X4" s="4" t="s">
        <v>120</v>
      </c>
      <c r="Y4" s="2" t="s">
        <v>544</v>
      </c>
      <c r="Z4" s="4" t="s">
        <v>656</v>
      </c>
      <c r="AA4" s="4" t="s">
        <v>528</v>
      </c>
      <c r="AB4" s="3"/>
      <c r="AC4" s="3" t="s">
        <v>526</v>
      </c>
      <c r="AD4" s="4" t="s">
        <v>5</v>
      </c>
      <c r="AE4" s="4" t="s">
        <v>84</v>
      </c>
    </row>
    <row r="5" spans="1:31" x14ac:dyDescent="0.25">
      <c r="A5" s="3" t="s">
        <v>21</v>
      </c>
      <c r="B5" s="3" t="s">
        <v>442</v>
      </c>
      <c r="C5" s="3" t="s">
        <v>108</v>
      </c>
      <c r="D5" s="4">
        <v>1234</v>
      </c>
      <c r="E5" s="4" t="s">
        <v>110</v>
      </c>
      <c r="F5" s="3" t="s">
        <v>271</v>
      </c>
      <c r="G5" s="3" t="s">
        <v>151</v>
      </c>
      <c r="H5" s="3" t="s">
        <v>151</v>
      </c>
      <c r="I5" s="4"/>
      <c r="J5" s="4" t="s">
        <v>444</v>
      </c>
      <c r="K5" s="3" t="s">
        <v>112</v>
      </c>
      <c r="L5" s="4" t="s">
        <v>113</v>
      </c>
      <c r="M5" s="4" t="s">
        <v>65</v>
      </c>
      <c r="N5" s="3" t="s">
        <v>114</v>
      </c>
      <c r="O5" s="3" t="s">
        <v>114</v>
      </c>
      <c r="P5" s="3" t="s">
        <v>115</v>
      </c>
      <c r="Q5" s="3" t="s">
        <v>116</v>
      </c>
      <c r="R5" s="3" t="s">
        <v>117</v>
      </c>
      <c r="S5" s="3" t="s">
        <v>23</v>
      </c>
      <c r="T5" s="3" t="s">
        <v>118</v>
      </c>
      <c r="U5" s="3"/>
      <c r="V5" s="3" t="s">
        <v>23</v>
      </c>
      <c r="W5" s="3" t="s">
        <v>119</v>
      </c>
      <c r="X5" s="4" t="s">
        <v>120</v>
      </c>
      <c r="Y5" s="2" t="s">
        <v>545</v>
      </c>
      <c r="Z5" s="4" t="s">
        <v>657</v>
      </c>
      <c r="AA5" s="4" t="s">
        <v>528</v>
      </c>
      <c r="AB5" s="3"/>
      <c r="AC5" s="3" t="s">
        <v>526</v>
      </c>
      <c r="AD5" s="4" t="s">
        <v>5</v>
      </c>
      <c r="AE5" s="4" t="s">
        <v>84</v>
      </c>
    </row>
    <row r="6" spans="1:31" x14ac:dyDescent="0.25">
      <c r="A6" s="3" t="s">
        <v>21</v>
      </c>
      <c r="B6" s="3" t="s">
        <v>442</v>
      </c>
      <c r="C6" s="3" t="s">
        <v>108</v>
      </c>
      <c r="D6" s="4">
        <v>1234</v>
      </c>
      <c r="E6" s="4" t="s">
        <v>110</v>
      </c>
      <c r="F6" s="3" t="s">
        <v>271</v>
      </c>
      <c r="G6" s="3" t="s">
        <v>151</v>
      </c>
      <c r="H6" s="3" t="s">
        <v>151</v>
      </c>
      <c r="I6" s="4" t="s">
        <v>443</v>
      </c>
      <c r="J6" s="4"/>
      <c r="K6" s="3" t="s">
        <v>112</v>
      </c>
      <c r="L6" s="4" t="s">
        <v>113</v>
      </c>
      <c r="M6" s="4" t="s">
        <v>65</v>
      </c>
      <c r="N6" s="3" t="s">
        <v>114</v>
      </c>
      <c r="O6" s="3" t="s">
        <v>114</v>
      </c>
      <c r="P6" s="3" t="s">
        <v>115</v>
      </c>
      <c r="Q6" s="3" t="s">
        <v>116</v>
      </c>
      <c r="R6" s="3" t="s">
        <v>117</v>
      </c>
      <c r="S6" s="3" t="s">
        <v>23</v>
      </c>
      <c r="T6" s="3" t="s">
        <v>118</v>
      </c>
      <c r="U6" s="3"/>
      <c r="V6" s="3" t="s">
        <v>23</v>
      </c>
      <c r="W6" s="3" t="s">
        <v>119</v>
      </c>
      <c r="X6" s="4" t="s">
        <v>120</v>
      </c>
      <c r="Y6" s="2" t="s">
        <v>546</v>
      </c>
      <c r="Z6" s="4" t="s">
        <v>658</v>
      </c>
      <c r="AA6" s="4" t="s">
        <v>528</v>
      </c>
      <c r="AB6" s="3"/>
      <c r="AC6" s="3" t="s">
        <v>526</v>
      </c>
      <c r="AD6" s="4" t="s">
        <v>5</v>
      </c>
      <c r="AE6" s="4" t="s">
        <v>84</v>
      </c>
    </row>
    <row r="7" spans="1:31" x14ac:dyDescent="0.25">
      <c r="A7" s="3" t="s">
        <v>21</v>
      </c>
      <c r="B7" s="3" t="s">
        <v>442</v>
      </c>
      <c r="C7" s="3" t="s">
        <v>108</v>
      </c>
      <c r="D7" s="4">
        <v>1234</v>
      </c>
      <c r="E7" s="4" t="s">
        <v>110</v>
      </c>
      <c r="F7" s="3" t="s">
        <v>271</v>
      </c>
      <c r="G7" s="3" t="s">
        <v>151</v>
      </c>
      <c r="H7" s="3" t="s">
        <v>151</v>
      </c>
      <c r="I7" s="4" t="s">
        <v>443</v>
      </c>
      <c r="J7" s="4" t="s">
        <v>444</v>
      </c>
      <c r="K7" s="3"/>
      <c r="L7" s="4" t="s">
        <v>113</v>
      </c>
      <c r="M7" s="4" t="s">
        <v>65</v>
      </c>
      <c r="N7" s="3" t="s">
        <v>114</v>
      </c>
      <c r="O7" s="3" t="s">
        <v>114</v>
      </c>
      <c r="P7" s="3" t="s">
        <v>115</v>
      </c>
      <c r="Q7" s="3" t="s">
        <v>116</v>
      </c>
      <c r="R7" s="3" t="s">
        <v>117</v>
      </c>
      <c r="S7" s="3" t="s">
        <v>23</v>
      </c>
      <c r="T7" s="3" t="s">
        <v>118</v>
      </c>
      <c r="U7" s="3"/>
      <c r="V7" s="3" t="s">
        <v>23</v>
      </c>
      <c r="W7" s="3" t="s">
        <v>119</v>
      </c>
      <c r="X7" s="4" t="s">
        <v>120</v>
      </c>
      <c r="Y7" s="2" t="s">
        <v>619</v>
      </c>
      <c r="Z7" s="4" t="s">
        <v>659</v>
      </c>
      <c r="AA7" s="4" t="s">
        <v>528</v>
      </c>
      <c r="AB7" s="3"/>
      <c r="AC7" s="3" t="s">
        <v>526</v>
      </c>
      <c r="AD7" s="4" t="s">
        <v>5</v>
      </c>
      <c r="AE7" s="4" t="s">
        <v>84</v>
      </c>
    </row>
    <row r="8" spans="1:31" x14ac:dyDescent="0.25">
      <c r="A8" s="3" t="s">
        <v>21</v>
      </c>
      <c r="B8" s="3" t="s">
        <v>442</v>
      </c>
      <c r="C8" s="3" t="s">
        <v>108</v>
      </c>
      <c r="D8" s="4">
        <v>1234</v>
      </c>
      <c r="E8" s="4" t="s">
        <v>110</v>
      </c>
      <c r="F8" s="3" t="s">
        <v>271</v>
      </c>
      <c r="G8" s="3" t="s">
        <v>151</v>
      </c>
      <c r="H8" s="3" t="s">
        <v>151</v>
      </c>
      <c r="I8" s="4" t="s">
        <v>443</v>
      </c>
      <c r="J8" s="4" t="s">
        <v>444</v>
      </c>
      <c r="K8" s="3" t="s">
        <v>112</v>
      </c>
      <c r="L8" s="4" t="s">
        <v>113</v>
      </c>
      <c r="M8" s="4" t="s">
        <v>65</v>
      </c>
      <c r="N8" s="3" t="s">
        <v>114</v>
      </c>
      <c r="O8" s="3" t="s">
        <v>114</v>
      </c>
      <c r="P8" s="3" t="s">
        <v>115</v>
      </c>
      <c r="Q8" s="3" t="s">
        <v>116</v>
      </c>
      <c r="R8" s="3" t="s">
        <v>117</v>
      </c>
      <c r="S8" s="3" t="s">
        <v>23</v>
      </c>
      <c r="T8" s="3" t="s">
        <v>118</v>
      </c>
      <c r="U8" s="3"/>
      <c r="V8" s="3" t="s">
        <v>23</v>
      </c>
      <c r="W8" s="3" t="s">
        <v>119</v>
      </c>
      <c r="X8" s="4" t="s">
        <v>120</v>
      </c>
      <c r="Y8" s="2" t="s">
        <v>3</v>
      </c>
      <c r="Z8" s="4" t="s">
        <v>542</v>
      </c>
      <c r="AA8" s="9" t="s">
        <v>579</v>
      </c>
      <c r="AB8" s="3" t="s">
        <v>285</v>
      </c>
      <c r="AC8" s="3" t="s">
        <v>8</v>
      </c>
      <c r="AD8" s="4" t="s">
        <v>5</v>
      </c>
      <c r="AE8" s="4" t="s">
        <v>84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topLeftCell="F1" workbookViewId="0">
      <selection activeCell="K16" sqref="K16"/>
    </sheetView>
  </sheetViews>
  <sheetFormatPr defaultRowHeight="15" x14ac:dyDescent="0.25"/>
  <cols>
    <col min="1" max="1" width="15.42578125" bestFit="1" customWidth="1"/>
    <col min="2" max="2" width="10" bestFit="1" customWidth="1"/>
    <col min="3" max="3" width="18" bestFit="1" customWidth="1"/>
    <col min="4" max="4" width="12.7109375" style="3" customWidth="1"/>
    <col min="5" max="5" width="23" style="3" bestFit="1" customWidth="1"/>
    <col min="6" max="6" width="25.28515625" bestFit="1" customWidth="1"/>
    <col min="7" max="7" width="25.85546875" bestFit="1" customWidth="1"/>
    <col min="8" max="8" width="27.85546875" bestFit="1" customWidth="1"/>
    <col min="9" max="9" width="25.28515625" bestFit="1" customWidth="1"/>
    <col min="10" max="10" width="16.140625" style="3" customWidth="1"/>
    <col min="11" max="11" width="14.140625" bestFit="1" customWidth="1"/>
    <col min="12" max="12" width="9.42578125" bestFit="1" customWidth="1"/>
    <col min="13" max="13" width="22.42578125" style="3" bestFit="1" customWidth="1"/>
    <col min="14" max="14" width="12.85546875" bestFit="1" customWidth="1"/>
    <col min="15" max="15" width="18.5703125" bestFit="1" customWidth="1"/>
    <col min="16" max="16" width="19.85546875" bestFit="1" customWidth="1"/>
    <col min="17" max="17" width="16.7109375" bestFit="1" customWidth="1"/>
    <col min="18" max="18" width="23.85546875" bestFit="1" customWidth="1"/>
    <col min="19" max="19" width="34.5703125" bestFit="1" customWidth="1"/>
    <col min="20" max="20" width="19.140625" bestFit="1" customWidth="1"/>
    <col min="21" max="21" width="25.7109375" bestFit="1" customWidth="1"/>
    <col min="22" max="22" width="20.85546875" bestFit="1" customWidth="1"/>
    <col min="23" max="23" width="15.5703125" bestFit="1" customWidth="1"/>
    <col min="24" max="24" width="19.140625" bestFit="1" customWidth="1"/>
    <col min="25" max="25" width="16.28515625" bestFit="1" customWidth="1"/>
    <col min="27" max="27" width="41" bestFit="1" customWidth="1"/>
    <col min="28" max="28" width="16.28515625" style="3" bestFit="1" customWidth="1"/>
    <col min="29" max="29" width="19.28515625" style="3" bestFit="1" customWidth="1"/>
    <col min="30" max="30" width="17.7109375" style="3" customWidth="1"/>
  </cols>
  <sheetData>
    <row r="1" spans="1:31" x14ac:dyDescent="0.25">
      <c r="A1" s="5" t="s">
        <v>121</v>
      </c>
      <c r="B1" s="5" t="s">
        <v>122</v>
      </c>
      <c r="C1" s="5" t="s">
        <v>123</v>
      </c>
      <c r="D1" t="s">
        <v>140</v>
      </c>
      <c r="E1" t="s">
        <v>141</v>
      </c>
      <c r="F1" t="s">
        <v>124</v>
      </c>
      <c r="G1" s="5" t="s">
        <v>125</v>
      </c>
      <c r="H1" s="5" t="s">
        <v>126</v>
      </c>
      <c r="I1" s="5" t="s">
        <v>127</v>
      </c>
      <c r="J1" t="s">
        <v>146</v>
      </c>
      <c r="K1" s="5" t="s">
        <v>128</v>
      </c>
      <c r="L1" s="5" t="s">
        <v>129</v>
      </c>
      <c r="M1" s="5" t="s">
        <v>148</v>
      </c>
      <c r="N1" s="5" t="s">
        <v>130</v>
      </c>
      <c r="O1" s="5" t="s">
        <v>131</v>
      </c>
      <c r="P1" s="5" t="s">
        <v>132</v>
      </c>
      <c r="Q1" s="5" t="s">
        <v>133</v>
      </c>
      <c r="R1" s="5" t="s">
        <v>134</v>
      </c>
      <c r="S1" s="5" t="s">
        <v>135</v>
      </c>
      <c r="T1" s="5" t="s">
        <v>136</v>
      </c>
      <c r="U1" s="5" t="s">
        <v>137</v>
      </c>
      <c r="V1" s="5" t="s">
        <v>138</v>
      </c>
      <c r="W1" s="5" t="s">
        <v>139</v>
      </c>
      <c r="X1" t="s">
        <v>150</v>
      </c>
      <c r="Y1" t="s">
        <v>152</v>
      </c>
      <c r="Z1" s="4" t="s">
        <v>0</v>
      </c>
      <c r="AA1" s="4" t="s">
        <v>9</v>
      </c>
      <c r="AB1" s="4" t="s">
        <v>527</v>
      </c>
      <c r="AC1" s="4" t="s">
        <v>6</v>
      </c>
      <c r="AD1" s="4" t="s">
        <v>7</v>
      </c>
      <c r="AE1" s="4" t="s">
        <v>4</v>
      </c>
    </row>
    <row r="2" spans="1:31" s="3" customFormat="1" x14ac:dyDescent="0.25">
      <c r="A2" s="3" t="s">
        <v>23</v>
      </c>
      <c r="B2" s="3" t="s">
        <v>23</v>
      </c>
      <c r="C2" s="4">
        <v>1</v>
      </c>
      <c r="D2" s="4" t="s">
        <v>270</v>
      </c>
      <c r="E2" s="8" t="s">
        <v>52</v>
      </c>
      <c r="F2" s="9" t="s">
        <v>142</v>
      </c>
      <c r="G2" s="9" t="s">
        <v>143</v>
      </c>
      <c r="H2" s="9" t="s">
        <v>144</v>
      </c>
      <c r="I2" s="9" t="s">
        <v>145</v>
      </c>
      <c r="J2" s="9" t="s">
        <v>118</v>
      </c>
      <c r="K2" s="3" t="s">
        <v>147</v>
      </c>
      <c r="L2" s="3" t="s">
        <v>118</v>
      </c>
      <c r="M2" s="3" t="s">
        <v>23</v>
      </c>
      <c r="N2" s="3" t="s">
        <v>863</v>
      </c>
      <c r="O2" s="3" t="s">
        <v>864</v>
      </c>
      <c r="P2" s="3" t="s">
        <v>865</v>
      </c>
      <c r="Q2" s="3" t="s">
        <v>878</v>
      </c>
      <c r="R2" s="3" t="s">
        <v>903</v>
      </c>
      <c r="S2" s="3" t="s">
        <v>904</v>
      </c>
      <c r="T2" s="3" t="s">
        <v>905</v>
      </c>
      <c r="U2" s="3" t="s">
        <v>906</v>
      </c>
      <c r="V2" s="3" t="s">
        <v>907</v>
      </c>
      <c r="X2" s="3" t="s">
        <v>879</v>
      </c>
      <c r="Y2" s="3" t="s">
        <v>880</v>
      </c>
      <c r="Z2" s="2" t="s">
        <v>572</v>
      </c>
      <c r="AA2" s="4" t="s">
        <v>153</v>
      </c>
      <c r="AB2" s="2" t="s">
        <v>579</v>
      </c>
      <c r="AC2" s="4" t="s">
        <v>285</v>
      </c>
      <c r="AD2" s="4" t="s">
        <v>8</v>
      </c>
      <c r="AE2" s="4" t="s">
        <v>5</v>
      </c>
    </row>
    <row r="3" spans="1:31" x14ac:dyDescent="0.25">
      <c r="Y3" s="4"/>
      <c r="Z3" s="3"/>
      <c r="AA3" s="3"/>
      <c r="AE3" s="4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Views>
    <sheetView workbookViewId="0">
      <selection activeCell="M17" sqref="M17"/>
    </sheetView>
  </sheetViews>
  <sheetFormatPr defaultRowHeight="15" x14ac:dyDescent="0.25"/>
  <cols>
    <col min="5" max="5" width="23" bestFit="1" customWidth="1"/>
  </cols>
  <sheetData>
    <row r="1" spans="1:31" x14ac:dyDescent="0.25">
      <c r="A1" s="5" t="s">
        <v>121</v>
      </c>
      <c r="B1" s="5" t="s">
        <v>122</v>
      </c>
      <c r="C1" s="5" t="s">
        <v>123</v>
      </c>
      <c r="D1" s="3" t="s">
        <v>140</v>
      </c>
      <c r="E1" s="3" t="s">
        <v>141</v>
      </c>
      <c r="F1" s="3" t="s">
        <v>124</v>
      </c>
      <c r="G1" s="5" t="s">
        <v>125</v>
      </c>
      <c r="H1" s="5" t="s">
        <v>126</v>
      </c>
      <c r="I1" s="5" t="s">
        <v>127</v>
      </c>
      <c r="J1" s="3" t="s">
        <v>146</v>
      </c>
      <c r="K1" s="5" t="s">
        <v>128</v>
      </c>
      <c r="L1" s="5" t="s">
        <v>129</v>
      </c>
      <c r="M1" s="5" t="s">
        <v>148</v>
      </c>
      <c r="N1" s="5" t="s">
        <v>130</v>
      </c>
      <c r="O1" s="5" t="s">
        <v>131</v>
      </c>
      <c r="P1" s="5" t="s">
        <v>132</v>
      </c>
      <c r="Q1" s="5" t="s">
        <v>133</v>
      </c>
      <c r="R1" s="5" t="s">
        <v>134</v>
      </c>
      <c r="S1" s="5" t="s">
        <v>135</v>
      </c>
      <c r="T1" s="5" t="s">
        <v>136</v>
      </c>
      <c r="U1" s="5" t="s">
        <v>137</v>
      </c>
      <c r="V1" s="5" t="s">
        <v>138</v>
      </c>
      <c r="W1" s="5" t="s">
        <v>139</v>
      </c>
      <c r="X1" s="3" t="s">
        <v>150</v>
      </c>
      <c r="Y1" s="3" t="s">
        <v>152</v>
      </c>
      <c r="Z1" s="4" t="s">
        <v>0</v>
      </c>
      <c r="AA1" s="4" t="s">
        <v>9</v>
      </c>
      <c r="AB1" s="4" t="s">
        <v>527</v>
      </c>
      <c r="AC1" s="4" t="s">
        <v>6</v>
      </c>
      <c r="AD1" s="4" t="s">
        <v>7</v>
      </c>
      <c r="AE1" s="4" t="s">
        <v>4</v>
      </c>
    </row>
    <row r="2" spans="1:31" x14ac:dyDescent="0.25">
      <c r="A2" s="3" t="s">
        <v>23</v>
      </c>
      <c r="B2" s="3" t="s">
        <v>23</v>
      </c>
      <c r="C2" s="4">
        <v>1</v>
      </c>
      <c r="D2" s="4" t="s">
        <v>270</v>
      </c>
      <c r="E2" s="8" t="s">
        <v>52</v>
      </c>
      <c r="F2" s="9" t="s">
        <v>142</v>
      </c>
      <c r="G2" s="9" t="s">
        <v>143</v>
      </c>
      <c r="H2" s="9" t="s">
        <v>144</v>
      </c>
      <c r="I2" s="9" t="s">
        <v>145</v>
      </c>
      <c r="J2" s="9"/>
      <c r="K2" s="3" t="s">
        <v>147</v>
      </c>
      <c r="L2" s="3" t="s">
        <v>118</v>
      </c>
      <c r="M2" s="3" t="s">
        <v>23</v>
      </c>
      <c r="N2" s="3" t="s">
        <v>111</v>
      </c>
      <c r="O2" s="3" t="s">
        <v>111</v>
      </c>
      <c r="P2" s="3" t="s">
        <v>111</v>
      </c>
      <c r="Q2" s="3" t="s">
        <v>111</v>
      </c>
      <c r="R2" s="3" t="s">
        <v>111</v>
      </c>
      <c r="S2" s="3" t="s">
        <v>111</v>
      </c>
      <c r="T2" s="3" t="s">
        <v>268</v>
      </c>
      <c r="U2" s="3" t="s">
        <v>111</v>
      </c>
      <c r="V2" s="3" t="s">
        <v>269</v>
      </c>
      <c r="W2" s="3" t="s">
        <v>149</v>
      </c>
      <c r="X2" s="3" t="s">
        <v>151</v>
      </c>
      <c r="Y2" s="3" t="s">
        <v>151</v>
      </c>
      <c r="Z2" s="2" t="s">
        <v>573</v>
      </c>
      <c r="AA2" s="4" t="s">
        <v>591</v>
      </c>
      <c r="AB2" s="4" t="s">
        <v>528</v>
      </c>
      <c r="AC2" s="4"/>
      <c r="AD2" s="4" t="s">
        <v>526</v>
      </c>
      <c r="AE2" s="4" t="s">
        <v>5</v>
      </c>
    </row>
    <row r="3" spans="1:31" x14ac:dyDescent="0.25">
      <c r="A3" s="3" t="s">
        <v>23</v>
      </c>
      <c r="B3" s="3" t="s">
        <v>23</v>
      </c>
      <c r="C3" s="4">
        <v>1</v>
      </c>
      <c r="D3" s="4" t="s">
        <v>270</v>
      </c>
      <c r="E3" s="8" t="s">
        <v>52</v>
      </c>
      <c r="F3" s="9" t="s">
        <v>142</v>
      </c>
      <c r="G3" s="9" t="s">
        <v>143</v>
      </c>
      <c r="H3" s="9" t="s">
        <v>144</v>
      </c>
      <c r="I3" s="9" t="s">
        <v>145</v>
      </c>
      <c r="J3" s="9" t="s">
        <v>118</v>
      </c>
      <c r="K3" s="3"/>
      <c r="L3" s="3" t="s">
        <v>118</v>
      </c>
      <c r="M3" s="3" t="s">
        <v>23</v>
      </c>
      <c r="N3" s="3" t="s">
        <v>111</v>
      </c>
      <c r="O3" s="3" t="s">
        <v>111</v>
      </c>
      <c r="P3" s="3" t="s">
        <v>111</v>
      </c>
      <c r="Q3" s="3" t="s">
        <v>111</v>
      </c>
      <c r="R3" s="3" t="s">
        <v>111</v>
      </c>
      <c r="S3" s="3" t="s">
        <v>111</v>
      </c>
      <c r="T3" s="3" t="s">
        <v>268</v>
      </c>
      <c r="U3" s="3" t="s">
        <v>111</v>
      </c>
      <c r="V3" s="3" t="s">
        <v>269</v>
      </c>
      <c r="W3" s="3" t="s">
        <v>149</v>
      </c>
      <c r="X3" s="3" t="s">
        <v>151</v>
      </c>
      <c r="Y3" s="3" t="s">
        <v>151</v>
      </c>
      <c r="Z3" s="2" t="s">
        <v>574</v>
      </c>
      <c r="AA3" s="4" t="s">
        <v>592</v>
      </c>
      <c r="AB3" s="4" t="s">
        <v>528</v>
      </c>
      <c r="AC3" s="4"/>
      <c r="AD3" s="4" t="s">
        <v>526</v>
      </c>
      <c r="AE3" s="4" t="s">
        <v>5</v>
      </c>
    </row>
    <row r="4" spans="1:31" x14ac:dyDescent="0.25">
      <c r="A4" s="3" t="s">
        <v>23</v>
      </c>
      <c r="B4" s="3" t="s">
        <v>23</v>
      </c>
      <c r="C4" s="4">
        <v>1</v>
      </c>
      <c r="D4" s="4" t="s">
        <v>270</v>
      </c>
      <c r="E4" s="8" t="s">
        <v>52</v>
      </c>
      <c r="F4" s="9" t="s">
        <v>142</v>
      </c>
      <c r="G4" s="9" t="s">
        <v>143</v>
      </c>
      <c r="H4" s="9" t="s">
        <v>144</v>
      </c>
      <c r="I4" s="9" t="s">
        <v>145</v>
      </c>
      <c r="J4" s="9" t="s">
        <v>118</v>
      </c>
      <c r="K4" s="3" t="s">
        <v>147</v>
      </c>
      <c r="L4" s="3"/>
      <c r="M4" s="3" t="s">
        <v>23</v>
      </c>
      <c r="N4" s="3" t="s">
        <v>111</v>
      </c>
      <c r="O4" s="3" t="s">
        <v>111</v>
      </c>
      <c r="P4" s="3" t="s">
        <v>111</v>
      </c>
      <c r="Q4" s="3" t="s">
        <v>111</v>
      </c>
      <c r="R4" s="3" t="s">
        <v>111</v>
      </c>
      <c r="S4" s="3" t="s">
        <v>111</v>
      </c>
      <c r="T4" s="3" t="s">
        <v>268</v>
      </c>
      <c r="U4" s="3" t="s">
        <v>111</v>
      </c>
      <c r="V4" s="3" t="s">
        <v>269</v>
      </c>
      <c r="W4" s="3" t="s">
        <v>149</v>
      </c>
      <c r="X4" s="3" t="s">
        <v>151</v>
      </c>
      <c r="Y4" s="3" t="s">
        <v>151</v>
      </c>
      <c r="Z4" s="2" t="s">
        <v>575</v>
      </c>
      <c r="AA4" s="4" t="s">
        <v>593</v>
      </c>
      <c r="AB4" s="4" t="s">
        <v>528</v>
      </c>
      <c r="AC4" s="4"/>
      <c r="AD4" s="4" t="s">
        <v>526</v>
      </c>
      <c r="AE4" s="4" t="s">
        <v>5</v>
      </c>
    </row>
    <row r="5" spans="1:31" x14ac:dyDescent="0.25">
      <c r="A5" s="3" t="s">
        <v>23</v>
      </c>
      <c r="B5" s="3" t="s">
        <v>23</v>
      </c>
      <c r="C5" s="4">
        <v>1</v>
      </c>
      <c r="D5" s="4" t="s">
        <v>270</v>
      </c>
      <c r="E5" s="8" t="s">
        <v>52</v>
      </c>
      <c r="F5" s="9" t="s">
        <v>142</v>
      </c>
      <c r="G5" s="9" t="s">
        <v>143</v>
      </c>
      <c r="H5" s="9" t="s">
        <v>144</v>
      </c>
      <c r="I5" s="9" t="s">
        <v>145</v>
      </c>
      <c r="J5" s="9" t="s">
        <v>118</v>
      </c>
      <c r="K5" s="3" t="s">
        <v>147</v>
      </c>
      <c r="L5" s="3" t="s">
        <v>118</v>
      </c>
      <c r="M5" s="3"/>
      <c r="N5" s="3" t="s">
        <v>111</v>
      </c>
      <c r="O5" s="3" t="s">
        <v>111</v>
      </c>
      <c r="P5" s="3" t="s">
        <v>111</v>
      </c>
      <c r="Q5" s="3" t="s">
        <v>111</v>
      </c>
      <c r="R5" s="3" t="s">
        <v>111</v>
      </c>
      <c r="S5" s="3" t="s">
        <v>111</v>
      </c>
      <c r="T5" s="3" t="s">
        <v>268</v>
      </c>
      <c r="U5" s="3" t="s">
        <v>111</v>
      </c>
      <c r="V5" s="3" t="s">
        <v>269</v>
      </c>
      <c r="W5" s="3" t="s">
        <v>149</v>
      </c>
      <c r="X5" s="3" t="s">
        <v>151</v>
      </c>
      <c r="Y5" s="3" t="s">
        <v>151</v>
      </c>
      <c r="Z5" s="2" t="s">
        <v>576</v>
      </c>
      <c r="AA5" s="4" t="s">
        <v>594</v>
      </c>
      <c r="AB5" s="4" t="s">
        <v>528</v>
      </c>
      <c r="AC5" s="4"/>
      <c r="AD5" s="4" t="s">
        <v>526</v>
      </c>
      <c r="AE5" s="4" t="s">
        <v>5</v>
      </c>
    </row>
    <row r="6" spans="1:31" x14ac:dyDescent="0.25">
      <c r="A6" s="3" t="s">
        <v>23</v>
      </c>
      <c r="B6" s="3" t="s">
        <v>23</v>
      </c>
      <c r="C6" s="4">
        <v>1</v>
      </c>
      <c r="D6" s="4" t="s">
        <v>270</v>
      </c>
      <c r="E6" s="8" t="s">
        <v>52</v>
      </c>
      <c r="F6" s="9" t="s">
        <v>142</v>
      </c>
      <c r="G6" s="9" t="s">
        <v>143</v>
      </c>
      <c r="H6" s="9" t="s">
        <v>144</v>
      </c>
      <c r="I6" s="9" t="s">
        <v>145</v>
      </c>
      <c r="J6" s="9" t="s">
        <v>118</v>
      </c>
      <c r="K6" s="3" t="s">
        <v>147</v>
      </c>
      <c r="L6" s="3" t="s">
        <v>118</v>
      </c>
      <c r="M6" s="3" t="s">
        <v>23</v>
      </c>
      <c r="N6" s="3" t="s">
        <v>111</v>
      </c>
      <c r="O6" s="3" t="s">
        <v>111</v>
      </c>
      <c r="P6" s="3" t="s">
        <v>111</v>
      </c>
      <c r="Q6" s="3" t="s">
        <v>111</v>
      </c>
      <c r="R6" s="3" t="s">
        <v>111</v>
      </c>
      <c r="S6" s="3" t="s">
        <v>111</v>
      </c>
      <c r="T6" s="3" t="s">
        <v>268</v>
      </c>
      <c r="U6" s="3" t="s">
        <v>111</v>
      </c>
      <c r="V6" s="3" t="s">
        <v>269</v>
      </c>
      <c r="W6" s="3" t="s">
        <v>149</v>
      </c>
      <c r="X6" s="3" t="s">
        <v>151</v>
      </c>
      <c r="Y6" s="3" t="s">
        <v>151</v>
      </c>
      <c r="Z6" s="2" t="s">
        <v>572</v>
      </c>
      <c r="AA6" s="4" t="s">
        <v>153</v>
      </c>
      <c r="AB6" s="2" t="s">
        <v>579</v>
      </c>
      <c r="AC6" s="4" t="s">
        <v>285</v>
      </c>
      <c r="AD6" s="4" t="s">
        <v>8</v>
      </c>
      <c r="AE6" s="4" t="s">
        <v>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workbookViewId="0">
      <selection activeCell="F16" sqref="F16"/>
    </sheetView>
  </sheetViews>
  <sheetFormatPr defaultRowHeight="15" x14ac:dyDescent="0.25"/>
  <cols>
    <col min="1" max="1" width="14.140625" customWidth="1"/>
    <col min="2" max="2" width="13.28515625" bestFit="1" customWidth="1"/>
    <col min="3" max="3" width="18" bestFit="1" customWidth="1"/>
    <col min="4" max="4" width="21" bestFit="1" customWidth="1"/>
    <col min="5" max="5" width="20.28515625" bestFit="1" customWidth="1"/>
    <col min="6" max="6" width="21.140625" bestFit="1" customWidth="1"/>
    <col min="7" max="7" width="20.140625" bestFit="1" customWidth="1"/>
    <col min="8" max="8" width="13.28515625" bestFit="1" customWidth="1"/>
    <col min="9" max="9" width="18" bestFit="1" customWidth="1"/>
    <col min="10" max="10" width="21" bestFit="1" customWidth="1"/>
    <col min="11" max="11" width="20.28515625" bestFit="1" customWidth="1"/>
    <col min="12" max="12" width="21.140625" bestFit="1" customWidth="1"/>
    <col min="13" max="14" width="23" style="3" bestFit="1" customWidth="1"/>
    <col min="15" max="15" width="23" style="3" customWidth="1"/>
    <col min="16" max="16" width="11.42578125" bestFit="1" customWidth="1"/>
    <col min="17" max="17" width="34" bestFit="1" customWidth="1"/>
    <col min="18" max="18" width="10.28515625" bestFit="1" customWidth="1"/>
    <col min="19" max="19" width="21.5703125" bestFit="1" customWidth="1"/>
    <col min="21" max="21" width="34" bestFit="1" customWidth="1"/>
  </cols>
  <sheetData>
    <row r="1" spans="1:23" x14ac:dyDescent="0.25">
      <c r="A1" s="5" t="s">
        <v>71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161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t="s">
        <v>43</v>
      </c>
      <c r="O1" s="5" t="s">
        <v>44</v>
      </c>
      <c r="P1" s="5" t="s">
        <v>45</v>
      </c>
      <c r="Q1" s="5" t="s">
        <v>162</v>
      </c>
      <c r="R1" s="5" t="s">
        <v>163</v>
      </c>
      <c r="S1" s="5" t="s">
        <v>164</v>
      </c>
      <c r="T1" s="4" t="s">
        <v>0</v>
      </c>
      <c r="U1" s="4" t="s">
        <v>9</v>
      </c>
      <c r="V1" s="4" t="s">
        <v>4</v>
      </c>
      <c r="W1" s="5"/>
    </row>
    <row r="2" spans="1:23" x14ac:dyDescent="0.25">
      <c r="A2" t="s">
        <v>21</v>
      </c>
      <c r="B2" t="s">
        <v>48</v>
      </c>
      <c r="C2" t="s">
        <v>165</v>
      </c>
      <c r="D2" s="4">
        <v>11</v>
      </c>
      <c r="E2" t="s">
        <v>50</v>
      </c>
      <c r="F2" t="s">
        <v>51</v>
      </c>
      <c r="G2" t="s">
        <v>881</v>
      </c>
      <c r="H2" s="4" t="s">
        <v>167</v>
      </c>
      <c r="I2" s="4" t="s">
        <v>167</v>
      </c>
      <c r="J2" s="12" t="str">
        <f ca="1">CONCATENATE(RIGHT(TEXT(NOW(),"YYMMDDhhmmss"),11))</f>
        <v>60624113402</v>
      </c>
      <c r="K2" s="12" t="str">
        <f ca="1">CONCATENATE(RIGHT(TEXT(NOW(),"YYMMDDhhmmss"),11))</f>
        <v>60624113402</v>
      </c>
      <c r="L2" s="4" t="s">
        <v>168</v>
      </c>
      <c r="M2" s="4" t="s">
        <v>52</v>
      </c>
      <c r="N2" s="4" t="s">
        <v>52</v>
      </c>
      <c r="O2" s="4" t="s">
        <v>171</v>
      </c>
      <c r="P2" s="2" t="s">
        <v>172</v>
      </c>
      <c r="Q2" s="4" t="s">
        <v>173</v>
      </c>
      <c r="R2" s="4" t="s">
        <v>174</v>
      </c>
      <c r="S2" s="4" t="s">
        <v>113</v>
      </c>
      <c r="T2" s="2" t="s">
        <v>572</v>
      </c>
      <c r="U2" s="4" t="s">
        <v>175</v>
      </c>
      <c r="V2" s="4" t="s">
        <v>5</v>
      </c>
    </row>
    <row r="3" spans="1:23" x14ac:dyDescent="0.25">
      <c r="A3" s="5"/>
    </row>
    <row r="4" spans="1:23" x14ac:dyDescent="0.25">
      <c r="A4" s="5"/>
    </row>
    <row r="5" spans="1:23" x14ac:dyDescent="0.25">
      <c r="A5" s="5"/>
    </row>
    <row r="6" spans="1:23" x14ac:dyDescent="0.25">
      <c r="A6" s="5"/>
      <c r="P6" s="5"/>
    </row>
    <row r="7" spans="1:23" x14ac:dyDescent="0.25">
      <c r="A7" s="5"/>
      <c r="P7" s="5"/>
    </row>
    <row r="8" spans="1:23" x14ac:dyDescent="0.25">
      <c r="A8" s="5"/>
      <c r="P8" s="5"/>
    </row>
    <row r="9" spans="1:23" x14ac:dyDescent="0.25">
      <c r="A9" s="5"/>
      <c r="P9" s="5"/>
    </row>
    <row r="10" spans="1:23" x14ac:dyDescent="0.25">
      <c r="A10" s="5"/>
      <c r="P10" s="5"/>
    </row>
    <row r="11" spans="1:23" x14ac:dyDescent="0.25">
      <c r="A11" s="5"/>
      <c r="P11" s="5"/>
    </row>
    <row r="12" spans="1:23" x14ac:dyDescent="0.25">
      <c r="A12" s="5"/>
    </row>
    <row r="13" spans="1:23" x14ac:dyDescent="0.25">
      <c r="A13" s="5"/>
    </row>
    <row r="14" spans="1:23" x14ac:dyDescent="0.25">
      <c r="A14" s="5"/>
    </row>
    <row r="15" spans="1:23" x14ac:dyDescent="0.25">
      <c r="A15" s="5"/>
    </row>
    <row r="16" spans="1:23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F19" sqref="F19"/>
    </sheetView>
  </sheetViews>
  <sheetFormatPr defaultRowHeight="15" x14ac:dyDescent="0.25"/>
  <cols>
    <col min="2" max="2" width="30" bestFit="1" customWidth="1"/>
    <col min="3" max="3" width="19.28515625" bestFit="1" customWidth="1"/>
  </cols>
  <sheetData>
    <row r="1" spans="1:4" x14ac:dyDescent="0.25">
      <c r="A1" s="3" t="s">
        <v>0</v>
      </c>
      <c r="B1" s="3" t="s">
        <v>9</v>
      </c>
      <c r="C1" s="3" t="s">
        <v>6</v>
      </c>
      <c r="D1" s="3" t="s">
        <v>7</v>
      </c>
    </row>
    <row r="2" spans="1:4" x14ac:dyDescent="0.25">
      <c r="A2" s="2" t="s">
        <v>572</v>
      </c>
      <c r="B2" s="3" t="s">
        <v>286</v>
      </c>
      <c r="C2" s="3" t="s">
        <v>285</v>
      </c>
      <c r="D2" s="3" t="s">
        <v>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workbookViewId="0">
      <selection activeCell="J2" sqref="J2"/>
    </sheetView>
  </sheetViews>
  <sheetFormatPr defaultRowHeight="15" x14ac:dyDescent="0.25"/>
  <cols>
    <col min="1" max="1" width="11.5703125" bestFit="1" customWidth="1"/>
    <col min="4" max="4" width="16.42578125" bestFit="1" customWidth="1"/>
    <col min="7" max="7" width="10" bestFit="1" customWidth="1"/>
    <col min="13" max="13" width="23" bestFit="1" customWidth="1"/>
    <col min="14" max="14" width="22.85546875" customWidth="1"/>
    <col min="19" max="19" width="21.5703125" bestFit="1" customWidth="1"/>
    <col min="20" max="20" width="7" customWidth="1"/>
    <col min="21" max="21" width="40.7109375" bestFit="1" customWidth="1"/>
    <col min="22" max="22" width="10.28515625" bestFit="1" customWidth="1"/>
  </cols>
  <sheetData>
    <row r="1" spans="1:22" x14ac:dyDescent="0.25">
      <c r="A1" s="5" t="s">
        <v>71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161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3" t="s">
        <v>43</v>
      </c>
      <c r="O1" s="5" t="s">
        <v>44</v>
      </c>
      <c r="P1" s="5" t="s">
        <v>45</v>
      </c>
      <c r="Q1" s="5" t="s">
        <v>162</v>
      </c>
      <c r="R1" s="5" t="s">
        <v>163</v>
      </c>
      <c r="S1" s="5" t="s">
        <v>164</v>
      </c>
      <c r="T1" s="4" t="s">
        <v>0</v>
      </c>
      <c r="U1" s="4" t="s">
        <v>9</v>
      </c>
      <c r="V1" s="4" t="s">
        <v>4</v>
      </c>
    </row>
    <row r="2" spans="1:22" x14ac:dyDescent="0.25">
      <c r="A2" s="3" t="s">
        <v>21</v>
      </c>
      <c r="B2" s="3" t="s">
        <v>48</v>
      </c>
      <c r="C2" s="3" t="s">
        <v>165</v>
      </c>
      <c r="D2" s="4">
        <v>11</v>
      </c>
      <c r="E2" s="3" t="s">
        <v>754</v>
      </c>
      <c r="F2" s="3" t="s">
        <v>169</v>
      </c>
      <c r="G2" s="3" t="s">
        <v>254</v>
      </c>
      <c r="H2" s="4" t="s">
        <v>167</v>
      </c>
      <c r="I2" s="4" t="s">
        <v>167</v>
      </c>
      <c r="J2" s="12" t="str">
        <f ca="1">CONCATENATE(RIGHT(TEXT(NOW(),"YYMMDDhhmmss"),11))</f>
        <v>60624113402</v>
      </c>
      <c r="K2" s="12" t="str">
        <f ca="1">CONCATENATE(RIGHT(TEXT(NOW(),"YYMMDDhhmmss"),11))</f>
        <v>60624113402</v>
      </c>
      <c r="L2" s="4" t="s">
        <v>168</v>
      </c>
      <c r="M2" s="4" t="s">
        <v>52</v>
      </c>
      <c r="N2" s="4" t="s">
        <v>52</v>
      </c>
      <c r="O2" s="4" t="s">
        <v>171</v>
      </c>
      <c r="P2" s="2" t="s">
        <v>172</v>
      </c>
      <c r="Q2" s="4" t="s">
        <v>173</v>
      </c>
      <c r="R2" s="4" t="s">
        <v>174</v>
      </c>
      <c r="S2" s="4" t="s">
        <v>113</v>
      </c>
      <c r="T2" s="2" t="s">
        <v>572</v>
      </c>
      <c r="U2" s="3" t="s">
        <v>170</v>
      </c>
      <c r="V2" s="4" t="s">
        <v>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D2"/>
    </sheetView>
  </sheetViews>
  <sheetFormatPr defaultRowHeight="15" x14ac:dyDescent="0.25"/>
  <cols>
    <col min="2" max="2" width="24" bestFit="1" customWidth="1"/>
    <col min="3" max="3" width="19.28515625" bestFit="1" customWidth="1"/>
  </cols>
  <sheetData>
    <row r="1" spans="1:4" x14ac:dyDescent="0.25">
      <c r="A1" s="3" t="s">
        <v>0</v>
      </c>
      <c r="B1" s="3" t="s">
        <v>9</v>
      </c>
      <c r="C1" s="3" t="s">
        <v>6</v>
      </c>
      <c r="D1" s="3" t="s">
        <v>7</v>
      </c>
    </row>
    <row r="2" spans="1:4" x14ac:dyDescent="0.25">
      <c r="A2" s="2" t="s">
        <v>572</v>
      </c>
      <c r="B2" s="3" t="s">
        <v>287</v>
      </c>
      <c r="C2" s="3" t="s">
        <v>285</v>
      </c>
      <c r="D2" s="3" t="s">
        <v>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workbookViewId="0">
      <selection activeCell="R3" sqref="R3"/>
    </sheetView>
  </sheetViews>
  <sheetFormatPr defaultRowHeight="15" x14ac:dyDescent="0.25"/>
  <cols>
    <col min="1" max="1" width="11.5703125" bestFit="1" customWidth="1"/>
    <col min="4" max="4" width="16.42578125" bestFit="1" customWidth="1"/>
    <col min="7" max="7" width="10.7109375" bestFit="1" customWidth="1"/>
    <col min="8" max="8" width="11" bestFit="1" customWidth="1"/>
    <col min="11" max="11" width="12.140625" customWidth="1"/>
    <col min="13" max="14" width="23" bestFit="1" customWidth="1"/>
    <col min="19" max="19" width="21.5703125" bestFit="1" customWidth="1"/>
    <col min="21" max="21" width="49" customWidth="1"/>
    <col min="22" max="22" width="16.28515625" style="3" bestFit="1" customWidth="1"/>
    <col min="23" max="23" width="19.28515625" style="3" bestFit="1" customWidth="1"/>
    <col min="24" max="24" width="16.28515625" style="3" customWidth="1"/>
  </cols>
  <sheetData>
    <row r="1" spans="1:25" x14ac:dyDescent="0.25">
      <c r="A1" s="5" t="s">
        <v>71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161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3" t="s">
        <v>43</v>
      </c>
      <c r="O1" s="5" t="s">
        <v>44</v>
      </c>
      <c r="P1" s="5" t="s">
        <v>45</v>
      </c>
      <c r="Q1" s="5" t="s">
        <v>162</v>
      </c>
      <c r="R1" s="5" t="s">
        <v>163</v>
      </c>
      <c r="S1" s="5" t="s">
        <v>164</v>
      </c>
      <c r="T1" s="4" t="s">
        <v>0</v>
      </c>
      <c r="U1" s="4" t="s">
        <v>9</v>
      </c>
      <c r="V1" s="4" t="s">
        <v>527</v>
      </c>
      <c r="W1" s="3" t="s">
        <v>6</v>
      </c>
      <c r="X1" s="3" t="s">
        <v>7</v>
      </c>
      <c r="Y1" s="4" t="s">
        <v>4</v>
      </c>
    </row>
    <row r="2" spans="1:25" x14ac:dyDescent="0.25">
      <c r="A2" s="3"/>
      <c r="B2" s="3" t="s">
        <v>48</v>
      </c>
      <c r="C2" s="3" t="s">
        <v>165</v>
      </c>
      <c r="D2" s="4" t="s">
        <v>441</v>
      </c>
      <c r="E2" s="3" t="s">
        <v>754</v>
      </c>
      <c r="F2" s="3" t="s">
        <v>177</v>
      </c>
      <c r="G2" s="3" t="s">
        <v>254</v>
      </c>
      <c r="H2" s="4" t="s">
        <v>167</v>
      </c>
      <c r="I2" s="4" t="s">
        <v>167</v>
      </c>
      <c r="J2" s="12" t="str">
        <f t="shared" ref="J2:K4" ca="1" si="0">CONCATENATE(RIGHT(TEXT(NOW(),"YYMMDDhhmmss"),11))</f>
        <v>60624113402</v>
      </c>
      <c r="K2" s="12" t="str">
        <f t="shared" ca="1" si="0"/>
        <v>60624113402</v>
      </c>
      <c r="L2" s="4" t="s">
        <v>168</v>
      </c>
      <c r="M2" s="8" t="s">
        <v>52</v>
      </c>
      <c r="N2" s="4" t="s">
        <v>52</v>
      </c>
      <c r="O2" s="4" t="s">
        <v>171</v>
      </c>
      <c r="P2" s="2" t="s">
        <v>172</v>
      </c>
      <c r="Q2" s="4" t="s">
        <v>173</v>
      </c>
      <c r="R2" s="4" t="s">
        <v>174</v>
      </c>
      <c r="S2" s="4" t="s">
        <v>113</v>
      </c>
      <c r="T2" s="2" t="s">
        <v>573</v>
      </c>
      <c r="U2" s="3" t="s">
        <v>548</v>
      </c>
      <c r="V2" s="4" t="s">
        <v>528</v>
      </c>
      <c r="W2" s="2" t="s">
        <v>579</v>
      </c>
      <c r="X2" s="4" t="s">
        <v>526</v>
      </c>
      <c r="Y2" s="4" t="s">
        <v>5</v>
      </c>
    </row>
    <row r="3" spans="1:25" s="3" customFormat="1" x14ac:dyDescent="0.25">
      <c r="A3" s="3" t="s">
        <v>21</v>
      </c>
      <c r="C3" s="3" t="s">
        <v>165</v>
      </c>
      <c r="D3" s="4" t="s">
        <v>441</v>
      </c>
      <c r="E3" s="3" t="s">
        <v>754</v>
      </c>
      <c r="F3" s="3" t="s">
        <v>177</v>
      </c>
      <c r="G3" s="3" t="s">
        <v>254</v>
      </c>
      <c r="H3" s="4" t="s">
        <v>167</v>
      </c>
      <c r="I3" s="4" t="s">
        <v>167</v>
      </c>
      <c r="J3" s="12" t="str">
        <f t="shared" ca="1" si="0"/>
        <v>60624113402</v>
      </c>
      <c r="K3" s="12" t="str">
        <f t="shared" ca="1" si="0"/>
        <v>60624113402</v>
      </c>
      <c r="L3" s="4" t="s">
        <v>168</v>
      </c>
      <c r="M3" s="8" t="s">
        <v>52</v>
      </c>
      <c r="N3" s="4" t="s">
        <v>52</v>
      </c>
      <c r="O3" s="4" t="s">
        <v>171</v>
      </c>
      <c r="P3" s="2" t="s">
        <v>172</v>
      </c>
      <c r="Q3" s="4" t="s">
        <v>173</v>
      </c>
      <c r="R3" s="4" t="s">
        <v>174</v>
      </c>
      <c r="S3" s="4" t="s">
        <v>113</v>
      </c>
      <c r="T3" s="2" t="s">
        <v>574</v>
      </c>
      <c r="U3" s="3" t="s">
        <v>549</v>
      </c>
      <c r="V3" s="4" t="s">
        <v>528</v>
      </c>
      <c r="W3" s="2" t="s">
        <v>579</v>
      </c>
      <c r="X3" s="4" t="s">
        <v>526</v>
      </c>
      <c r="Y3" s="4" t="s">
        <v>5</v>
      </c>
    </row>
    <row r="4" spans="1:25" s="3" customFormat="1" x14ac:dyDescent="0.25">
      <c r="A4" s="3" t="s">
        <v>21</v>
      </c>
      <c r="B4" s="3" t="s">
        <v>48</v>
      </c>
      <c r="C4" s="3" t="s">
        <v>165</v>
      </c>
      <c r="D4" s="4" t="s">
        <v>441</v>
      </c>
      <c r="E4" s="3" t="s">
        <v>754</v>
      </c>
      <c r="F4" s="3" t="s">
        <v>177</v>
      </c>
      <c r="G4" s="3" t="s">
        <v>254</v>
      </c>
      <c r="H4" s="4" t="s">
        <v>167</v>
      </c>
      <c r="I4" s="4" t="s">
        <v>167</v>
      </c>
      <c r="J4" s="12" t="str">
        <f t="shared" ca="1" si="0"/>
        <v>60624113402</v>
      </c>
      <c r="K4" s="12" t="str">
        <f t="shared" ca="1" si="0"/>
        <v>60624113402</v>
      </c>
      <c r="L4" s="4" t="s">
        <v>168</v>
      </c>
      <c r="M4" s="8" t="s">
        <v>52</v>
      </c>
      <c r="N4" s="4" t="s">
        <v>52</v>
      </c>
      <c r="O4" s="4" t="s">
        <v>171</v>
      </c>
      <c r="P4" s="2" t="s">
        <v>172</v>
      </c>
      <c r="Q4" s="4" t="s">
        <v>173</v>
      </c>
      <c r="R4" s="4" t="s">
        <v>174</v>
      </c>
      <c r="S4" s="4" t="s">
        <v>113</v>
      </c>
      <c r="T4" s="2" t="s">
        <v>572</v>
      </c>
      <c r="U4" s="3" t="s">
        <v>550</v>
      </c>
      <c r="V4" s="2" t="s">
        <v>579</v>
      </c>
      <c r="W4" s="4" t="s">
        <v>285</v>
      </c>
      <c r="X4" s="4" t="s">
        <v>8</v>
      </c>
      <c r="Y4" s="4" t="s">
        <v>5</v>
      </c>
    </row>
    <row r="5" spans="1:25" x14ac:dyDescent="0.25">
      <c r="V5" s="4"/>
      <c r="W5" s="4"/>
      <c r="X5" s="4"/>
    </row>
    <row r="6" spans="1:25" x14ac:dyDescent="0.25">
      <c r="V6" s="2"/>
      <c r="W6" s="2"/>
      <c r="X6" s="2"/>
    </row>
    <row r="7" spans="1:25" x14ac:dyDescent="0.25">
      <c r="V7" s="2"/>
      <c r="W7" s="2"/>
      <c r="X7" s="2"/>
    </row>
  </sheetData>
  <hyperlinks>
    <hyperlink ref="M2" r:id="rId1"/>
    <hyperlink ref="M3" r:id="rId2"/>
    <hyperlink ref="M4" r:id="rId3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B7" sqref="B7"/>
    </sheetView>
  </sheetViews>
  <sheetFormatPr defaultRowHeight="15" x14ac:dyDescent="0.25"/>
  <cols>
    <col min="1" max="1" width="15" style="3" bestFit="1" customWidth="1"/>
    <col min="2" max="2" width="18.140625" style="3" bestFit="1" customWidth="1"/>
    <col min="3" max="3" width="10.42578125" style="3" bestFit="1" customWidth="1"/>
    <col min="4" max="4" width="14.85546875" style="3" bestFit="1" customWidth="1"/>
    <col min="5" max="5" width="16.140625" style="3" bestFit="1" customWidth="1"/>
    <col min="6" max="6" width="13.28515625" style="3" bestFit="1" customWidth="1"/>
    <col min="7" max="7" width="9.140625" style="3"/>
    <col min="8" max="8" width="42.28515625" style="3" bestFit="1" customWidth="1"/>
    <col min="9" max="9" width="19.28515625" style="3" bestFit="1" customWidth="1"/>
    <col min="10" max="10" width="62.140625" style="3" customWidth="1"/>
    <col min="11" max="11" width="15.28515625" style="3" customWidth="1"/>
    <col min="12" max="16384" width="9.140625" style="3"/>
  </cols>
  <sheetData>
    <row r="1" spans="1:12" x14ac:dyDescent="0.25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x14ac:dyDescent="0.25">
      <c r="B2" s="3" t="str">
        <f ca="1">CONCATENATE("5",TEXT(NOW(),"YYYY"),"-",LEFT(TEXT(NOW(),"DDhhmmss"),9),"",RIGHT(TEXT(NOW(),"ss"),7))</f>
        <v>52026-2411340202</v>
      </c>
      <c r="C2" s="4" t="s">
        <v>64</v>
      </c>
      <c r="D2" s="12" t="str">
        <f ca="1">TEXT((NOW()+3652),"YYYY-MM-DD")</f>
        <v>2036-06-23</v>
      </c>
      <c r="E2" s="3" t="s">
        <v>65</v>
      </c>
      <c r="F2" s="4">
        <v>1212</v>
      </c>
      <c r="G2" s="2" t="s">
        <v>573</v>
      </c>
      <c r="H2" s="3" t="s">
        <v>555</v>
      </c>
      <c r="I2" s="2" t="s">
        <v>579</v>
      </c>
      <c r="J2" s="3" t="s">
        <v>551</v>
      </c>
      <c r="K2" s="3" t="s">
        <v>526</v>
      </c>
      <c r="L2" s="4" t="s">
        <v>5</v>
      </c>
    </row>
    <row r="3" spans="1:12" x14ac:dyDescent="0.25">
      <c r="A3" s="3" t="s">
        <v>62</v>
      </c>
      <c r="B3" s="3" t="str">
        <f ca="1">CONCATENATE("5",TEXT(NOW(),"YYYY"),"-",LEFT(TEXT(NOW(),"DDhhmmss"),9),"",RIGHT(TEXT(NOW(),"ss"),7))</f>
        <v>52026-2411340202</v>
      </c>
      <c r="C3" s="4" t="s">
        <v>226</v>
      </c>
      <c r="D3" s="12" t="str">
        <f ca="1">TEXT((NOW()+3652),"YYYY-MM-DD")</f>
        <v>2036-06-23</v>
      </c>
      <c r="E3" s="3" t="s">
        <v>65</v>
      </c>
      <c r="F3" s="4">
        <v>1212</v>
      </c>
      <c r="G3" s="2" t="s">
        <v>574</v>
      </c>
      <c r="H3" s="3" t="s">
        <v>556</v>
      </c>
      <c r="I3" s="2" t="s">
        <v>579</v>
      </c>
      <c r="J3" s="3" t="s">
        <v>553</v>
      </c>
      <c r="K3" s="3" t="s">
        <v>526</v>
      </c>
      <c r="L3" s="4" t="s">
        <v>5</v>
      </c>
    </row>
    <row r="4" spans="1:12" x14ac:dyDescent="0.25">
      <c r="A4" s="3" t="s">
        <v>62</v>
      </c>
      <c r="B4" s="3" t="str">
        <f ca="1">CONCATENATE("5",TEXT(NOW(),"YYYY"),"-",LEFT(TEXT(NOW(),"DDhhmmss"),9),"",RIGHT(TEXT(NOW(),"ss"),7))</f>
        <v>52026-2411340202</v>
      </c>
      <c r="C4" s="4" t="s">
        <v>64</v>
      </c>
      <c r="D4" s="12" t="str">
        <f ca="1">TEXT((NOW()+3652),"YYYY-MM-DD")</f>
        <v>2036-06-23</v>
      </c>
      <c r="F4" s="4">
        <v>1212</v>
      </c>
      <c r="G4" s="2" t="s">
        <v>575</v>
      </c>
      <c r="H4" s="3" t="s">
        <v>557</v>
      </c>
      <c r="I4" s="2" t="s">
        <v>579</v>
      </c>
      <c r="J4" s="3" t="s">
        <v>559</v>
      </c>
      <c r="K4" s="3" t="s">
        <v>526</v>
      </c>
      <c r="L4" s="4" t="s">
        <v>5</v>
      </c>
    </row>
    <row r="5" spans="1:12" x14ac:dyDescent="0.25">
      <c r="A5" s="3" t="s">
        <v>62</v>
      </c>
      <c r="B5" s="3" t="str">
        <f ca="1">CONCATENATE("5",TEXT(NOW(),"YYYY"),"-",LEFT(TEXT(NOW(),"DDhhmmss"),9),"",RIGHT(TEXT(NOW(),"ss"),7))</f>
        <v>52026-2411340202</v>
      </c>
      <c r="C5" s="4" t="s">
        <v>64</v>
      </c>
      <c r="D5" s="4" t="s">
        <v>64</v>
      </c>
      <c r="E5" s="3" t="s">
        <v>65</v>
      </c>
      <c r="F5" s="4">
        <v>1212</v>
      </c>
      <c r="G5" s="2" t="s">
        <v>576</v>
      </c>
      <c r="H5" s="3" t="s">
        <v>560</v>
      </c>
      <c r="I5" s="2" t="s">
        <v>579</v>
      </c>
      <c r="J5" s="3" t="s">
        <v>554</v>
      </c>
      <c r="K5" s="3" t="s">
        <v>526</v>
      </c>
      <c r="L5" s="4" t="s">
        <v>5</v>
      </c>
    </row>
    <row r="6" spans="1:12" x14ac:dyDescent="0.25">
      <c r="A6" s="3" t="s">
        <v>62</v>
      </c>
      <c r="B6" s="3" t="str">
        <f ca="1">LEFT(CONCATENATE("2",TEXT(NOW(),"YYYY"),"-",LEFT(TEXT(NOW(),"DDhhmmss"),7),"-",RIGHT(TEXT(NOW(),"ss"),1)),13)</f>
        <v>22026-2411340</v>
      </c>
      <c r="C6" s="4" t="s">
        <v>64</v>
      </c>
      <c r="D6" s="12" t="str">
        <f ca="1">TEXT((NOW()+3652),"YYYY-MM-DD")</f>
        <v>2036-06-23</v>
      </c>
      <c r="E6" s="3" t="s">
        <v>65</v>
      </c>
      <c r="F6" s="4">
        <v>1212</v>
      </c>
      <c r="G6" s="2" t="s">
        <v>577</v>
      </c>
      <c r="H6" s="3" t="s">
        <v>561</v>
      </c>
      <c r="I6" s="2" t="s">
        <v>579</v>
      </c>
      <c r="J6" s="3" t="s">
        <v>552</v>
      </c>
      <c r="K6" s="3" t="s">
        <v>526</v>
      </c>
      <c r="L6" s="4" t="s">
        <v>5</v>
      </c>
    </row>
    <row r="7" spans="1:12" x14ac:dyDescent="0.25">
      <c r="A7" s="3" t="s">
        <v>260</v>
      </c>
      <c r="B7" s="4" t="s">
        <v>788</v>
      </c>
      <c r="C7" s="4" t="s">
        <v>113</v>
      </c>
      <c r="D7" s="12" t="str">
        <f ca="1">TEXT((NOW()+3652),"YYYY-MM-DD")</f>
        <v>2036-06-23</v>
      </c>
      <c r="E7" s="3" t="s">
        <v>65</v>
      </c>
      <c r="F7" s="4">
        <v>1212</v>
      </c>
      <c r="G7" s="2" t="s">
        <v>572</v>
      </c>
      <c r="H7" s="3" t="s">
        <v>558</v>
      </c>
      <c r="I7" s="2" t="s">
        <v>579</v>
      </c>
      <c r="J7" s="3" t="s">
        <v>447</v>
      </c>
      <c r="K7" s="3" t="s">
        <v>8</v>
      </c>
      <c r="L7" s="4" t="s">
        <v>5</v>
      </c>
    </row>
    <row r="16" spans="1:12" x14ac:dyDescent="0.25">
      <c r="H16" s="10"/>
    </row>
  </sheetData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D13" sqref="D13"/>
    </sheetView>
  </sheetViews>
  <sheetFormatPr defaultRowHeight="15" x14ac:dyDescent="0.25"/>
  <cols>
    <col min="1" max="1" width="15" bestFit="1" customWidth="1"/>
    <col min="2" max="2" width="20.28515625" bestFit="1" customWidth="1"/>
    <col min="3" max="3" width="10.42578125" bestFit="1" customWidth="1"/>
    <col min="4" max="4" width="14.85546875" bestFit="1" customWidth="1"/>
    <col min="5" max="5" width="16.140625" bestFit="1" customWidth="1"/>
    <col min="6" max="6" width="13.28515625" bestFit="1" customWidth="1"/>
    <col min="8" max="8" width="42.28515625" bestFit="1" customWidth="1"/>
    <col min="9" max="9" width="19.28515625" style="3" bestFit="1" customWidth="1"/>
    <col min="10" max="10" width="62.140625" style="3" customWidth="1"/>
    <col min="11" max="11" width="15.28515625" style="3" customWidth="1"/>
  </cols>
  <sheetData>
    <row r="1" spans="1:12" x14ac:dyDescent="0.25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s="3" customFormat="1" x14ac:dyDescent="0.25">
      <c r="A2" s="3" t="s">
        <v>260</v>
      </c>
      <c r="B2" s="4" t="s">
        <v>788</v>
      </c>
      <c r="C2" s="4" t="s">
        <v>113</v>
      </c>
      <c r="D2" s="12" t="str">
        <f ca="1">TEXT((NOW()+3652),"YYYY-MM-DD")</f>
        <v>2036-06-23</v>
      </c>
      <c r="E2" s="3" t="s">
        <v>65</v>
      </c>
      <c r="F2" s="4">
        <v>1212</v>
      </c>
      <c r="G2" s="2" t="s">
        <v>572</v>
      </c>
      <c r="H2" s="3" t="s">
        <v>558</v>
      </c>
      <c r="I2" s="2" t="s">
        <v>579</v>
      </c>
      <c r="J2" s="3" t="s">
        <v>447</v>
      </c>
      <c r="K2" s="3" t="s">
        <v>8</v>
      </c>
      <c r="L2" s="4" t="s">
        <v>5</v>
      </c>
    </row>
    <row r="8" spans="1:12" x14ac:dyDescent="0.25">
      <c r="B8" s="3"/>
      <c r="C8" s="3"/>
    </row>
    <row r="9" spans="1:12" x14ac:dyDescent="0.25">
      <c r="B9" s="3"/>
      <c r="C9" s="3"/>
    </row>
    <row r="10" spans="1:12" x14ac:dyDescent="0.25">
      <c r="B10" s="3"/>
      <c r="C10" s="3"/>
    </row>
    <row r="11" spans="1:12" x14ac:dyDescent="0.25">
      <c r="B11" s="3"/>
      <c r="C11" s="3"/>
      <c r="H11" s="10"/>
    </row>
    <row r="12" spans="1:12" x14ac:dyDescent="0.25">
      <c r="B12" s="3"/>
      <c r="C12" s="3"/>
    </row>
    <row r="13" spans="1:12" x14ac:dyDescent="0.25">
      <c r="B13" s="3"/>
      <c r="C13" s="3"/>
    </row>
    <row r="14" spans="1:12" x14ac:dyDescent="0.25">
      <c r="B14" s="3"/>
      <c r="C14" s="3"/>
    </row>
    <row r="15" spans="1:12" x14ac:dyDescent="0.25">
      <c r="B15" s="3"/>
      <c r="C15" s="3"/>
    </row>
  </sheetData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G23" sqref="G23"/>
    </sheetView>
  </sheetViews>
  <sheetFormatPr defaultRowHeight="15" x14ac:dyDescent="0.25"/>
  <cols>
    <col min="1" max="1" width="26.5703125" style="3" bestFit="1" customWidth="1"/>
    <col min="2" max="2" width="13.5703125" style="3" bestFit="1" customWidth="1"/>
    <col min="3" max="3" width="11.5703125" style="3" bestFit="1" customWidth="1"/>
    <col min="4" max="4" width="9.140625" style="3"/>
    <col min="5" max="5" width="43.140625" style="3" bestFit="1" customWidth="1"/>
    <col min="6" max="6" width="15" style="3" customWidth="1"/>
    <col min="7" max="7" width="63" style="3" bestFit="1" customWidth="1"/>
    <col min="8" max="8" width="18.42578125" style="3" customWidth="1"/>
    <col min="9" max="16384" width="9.140625" style="3"/>
  </cols>
  <sheetData>
    <row r="1" spans="1:9" x14ac:dyDescent="0.25">
      <c r="A1" s="5" t="s">
        <v>178</v>
      </c>
      <c r="B1" s="5" t="s">
        <v>179</v>
      </c>
      <c r="C1" s="3" t="s">
        <v>180</v>
      </c>
      <c r="D1" s="4" t="s">
        <v>0</v>
      </c>
      <c r="E1" s="4" t="s">
        <v>9</v>
      </c>
      <c r="F1" s="4" t="s">
        <v>527</v>
      </c>
      <c r="G1" s="3" t="s">
        <v>6</v>
      </c>
      <c r="H1" s="3" t="s">
        <v>7</v>
      </c>
      <c r="I1" s="4" t="s">
        <v>4</v>
      </c>
    </row>
    <row r="2" spans="1:9" x14ac:dyDescent="0.25">
      <c r="B2" s="4" t="s">
        <v>790</v>
      </c>
      <c r="C2" s="3" t="s">
        <v>21</v>
      </c>
      <c r="D2" s="2" t="s">
        <v>573</v>
      </c>
      <c r="E2" s="3" t="s">
        <v>629</v>
      </c>
      <c r="F2" s="2" t="s">
        <v>579</v>
      </c>
      <c r="G2" s="3" t="s">
        <v>660</v>
      </c>
      <c r="H2" s="3" t="s">
        <v>526</v>
      </c>
      <c r="I2" s="4" t="s">
        <v>5</v>
      </c>
    </row>
    <row r="3" spans="1:9" x14ac:dyDescent="0.25">
      <c r="A3" s="4" t="s">
        <v>789</v>
      </c>
      <c r="C3" s="3" t="s">
        <v>21</v>
      </c>
      <c r="D3" s="2" t="s">
        <v>574</v>
      </c>
      <c r="E3" s="3" t="s">
        <v>630</v>
      </c>
      <c r="F3" s="2" t="s">
        <v>579</v>
      </c>
      <c r="G3" s="3" t="s">
        <v>661</v>
      </c>
      <c r="H3" s="3" t="s">
        <v>526</v>
      </c>
      <c r="I3" s="4" t="s">
        <v>5</v>
      </c>
    </row>
    <row r="4" spans="1:9" x14ac:dyDescent="0.25">
      <c r="A4" s="4" t="s">
        <v>789</v>
      </c>
      <c r="B4" s="4" t="s">
        <v>790</v>
      </c>
      <c r="C4" s="3" t="s">
        <v>21</v>
      </c>
      <c r="D4" s="2" t="s">
        <v>572</v>
      </c>
      <c r="E4" s="3" t="s">
        <v>631</v>
      </c>
      <c r="F4" s="2" t="s">
        <v>579</v>
      </c>
      <c r="G4" s="3" t="s">
        <v>447</v>
      </c>
      <c r="H4" s="3" t="s">
        <v>8</v>
      </c>
      <c r="I4" s="4" t="s">
        <v>5</v>
      </c>
    </row>
    <row r="5" spans="1:9" x14ac:dyDescent="0.25">
      <c r="A5" s="5"/>
    </row>
    <row r="6" spans="1:9" x14ac:dyDescent="0.25">
      <c r="A6" s="5"/>
    </row>
    <row r="7" spans="1:9" x14ac:dyDescent="0.25">
      <c r="A7" s="5"/>
    </row>
  </sheetData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G15" sqref="G15"/>
    </sheetView>
  </sheetViews>
  <sheetFormatPr defaultRowHeight="15" x14ac:dyDescent="0.25"/>
  <cols>
    <col min="1" max="1" width="26.5703125" bestFit="1" customWidth="1"/>
    <col min="2" max="2" width="13.5703125" bestFit="1" customWidth="1"/>
    <col min="3" max="3" width="11.5703125" bestFit="1" customWidth="1"/>
    <col min="5" max="5" width="43.140625" bestFit="1" customWidth="1"/>
    <col min="6" max="6" width="15" style="3" customWidth="1"/>
    <col min="7" max="7" width="63" style="3" bestFit="1" customWidth="1"/>
    <col min="8" max="8" width="18.42578125" style="3" customWidth="1"/>
  </cols>
  <sheetData>
    <row r="1" spans="1:9" x14ac:dyDescent="0.25">
      <c r="A1" s="5" t="s">
        <v>178</v>
      </c>
      <c r="B1" s="5" t="s">
        <v>179</v>
      </c>
      <c r="C1" t="s">
        <v>180</v>
      </c>
      <c r="D1" s="4" t="s">
        <v>0</v>
      </c>
      <c r="E1" s="4" t="s">
        <v>9</v>
      </c>
      <c r="F1" s="4" t="s">
        <v>527</v>
      </c>
      <c r="G1" s="3" t="s">
        <v>6</v>
      </c>
      <c r="H1" s="3" t="s">
        <v>7</v>
      </c>
      <c r="I1" s="4" t="s">
        <v>4</v>
      </c>
    </row>
    <row r="2" spans="1:9" s="3" customFormat="1" x14ac:dyDescent="0.25">
      <c r="A2" s="4" t="s">
        <v>882</v>
      </c>
      <c r="B2" s="4" t="s">
        <v>883</v>
      </c>
      <c r="C2" s="3" t="s">
        <v>21</v>
      </c>
      <c r="D2" s="2" t="s">
        <v>572</v>
      </c>
      <c r="E2" s="3" t="s">
        <v>631</v>
      </c>
      <c r="F2" s="2" t="s">
        <v>579</v>
      </c>
      <c r="G2" s="3" t="s">
        <v>447</v>
      </c>
      <c r="H2" s="3" t="s">
        <v>8</v>
      </c>
      <c r="I2" s="4" t="s">
        <v>5</v>
      </c>
    </row>
    <row r="3" spans="1:9" x14ac:dyDescent="0.25">
      <c r="A3" s="5"/>
    </row>
    <row r="4" spans="1:9" x14ac:dyDescent="0.25">
      <c r="A4" s="5"/>
    </row>
    <row r="5" spans="1:9" x14ac:dyDescent="0.25">
      <c r="A5" s="5"/>
    </row>
  </sheetData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H24" sqref="H24"/>
    </sheetView>
  </sheetViews>
  <sheetFormatPr defaultRowHeight="15" x14ac:dyDescent="0.25"/>
  <cols>
    <col min="1" max="1" width="11.5703125" style="3" bestFit="1" customWidth="1"/>
    <col min="2" max="2" width="18" style="3" bestFit="1" customWidth="1"/>
    <col min="3" max="3" width="9.140625" style="3"/>
    <col min="4" max="4" width="10.7109375" style="3" bestFit="1" customWidth="1"/>
    <col min="5" max="5" width="12" style="3" bestFit="1" customWidth="1"/>
    <col min="6" max="6" width="23" style="3" bestFit="1" customWidth="1"/>
    <col min="7" max="7" width="9.140625" style="3"/>
    <col min="8" max="8" width="47.140625" style="3" bestFit="1" customWidth="1"/>
    <col min="9" max="9" width="16.28515625" style="3" bestFit="1" customWidth="1"/>
    <col min="10" max="10" width="55.85546875" style="3" bestFit="1" customWidth="1"/>
    <col min="11" max="11" width="13.5703125" style="3" customWidth="1"/>
    <col min="12" max="16384" width="9.140625" style="3"/>
  </cols>
  <sheetData>
    <row r="1" spans="1:12" x14ac:dyDescent="0.25">
      <c r="A1" s="3" t="s">
        <v>187</v>
      </c>
      <c r="B1" s="5" t="s">
        <v>181</v>
      </c>
      <c r="C1" s="5" t="s">
        <v>182</v>
      </c>
      <c r="D1" s="5" t="s">
        <v>184</v>
      </c>
      <c r="E1" s="5" t="s">
        <v>185</v>
      </c>
      <c r="F1" s="5" t="s">
        <v>186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ht="16.5" customHeight="1" x14ac:dyDescent="0.25">
      <c r="B2" s="4" t="s">
        <v>791</v>
      </c>
      <c r="C2" s="4">
        <v>121212</v>
      </c>
      <c r="D2" s="12" t="str">
        <f ca="1">CONCATENATE(RIGHT(TEXT(NOW(),"YYMMDDhhmmss"),11))</f>
        <v>60624113402</v>
      </c>
      <c r="E2" s="12" t="str">
        <f ca="1">CONCATENATE(RIGHT(TEXT(NOW(),"YYMMDDhhmmss"),11))</f>
        <v>60624113402</v>
      </c>
      <c r="F2" s="3" t="s">
        <v>52</v>
      </c>
      <c r="G2" s="2" t="s">
        <v>573</v>
      </c>
      <c r="H2" s="3" t="s">
        <v>598</v>
      </c>
      <c r="I2" s="9" t="s">
        <v>579</v>
      </c>
      <c r="J2" s="3" t="s">
        <v>595</v>
      </c>
      <c r="K2" s="3" t="s">
        <v>526</v>
      </c>
      <c r="L2" s="4" t="s">
        <v>5</v>
      </c>
    </row>
    <row r="3" spans="1:12" ht="16.5" customHeight="1" x14ac:dyDescent="0.25">
      <c r="A3" s="3" t="s">
        <v>21</v>
      </c>
      <c r="C3" s="4">
        <v>121212</v>
      </c>
      <c r="D3" s="12" t="str">
        <f ca="1">CONCATENATE(RIGHT(TEXT(NOW(),"YYMMDDhhmmss"),11))</f>
        <v>60624113402</v>
      </c>
      <c r="E3" s="12" t="str">
        <f ca="1">CONCATENATE(RIGHT(TEXT(NOW(),"YYMMDDhhmmss"),11))</f>
        <v>60624113402</v>
      </c>
      <c r="F3" s="3" t="s">
        <v>52</v>
      </c>
      <c r="G3" s="2" t="s">
        <v>574</v>
      </c>
      <c r="H3" s="3" t="s">
        <v>599</v>
      </c>
      <c r="I3" s="9" t="s">
        <v>579</v>
      </c>
      <c r="J3" s="3" t="s">
        <v>662</v>
      </c>
      <c r="K3" s="3" t="s">
        <v>526</v>
      </c>
      <c r="L3" s="4" t="s">
        <v>5</v>
      </c>
    </row>
    <row r="4" spans="1:12" ht="16.5" customHeight="1" x14ac:dyDescent="0.25">
      <c r="A4" s="3" t="s">
        <v>21</v>
      </c>
      <c r="B4" s="4" t="s">
        <v>791</v>
      </c>
      <c r="C4" s="4">
        <v>121212</v>
      </c>
      <c r="D4" s="4"/>
      <c r="E4" s="12" t="str">
        <f ca="1">CONCATENATE(RIGHT(TEXT(NOW(),"YYMMDDhhmmss"),11))</f>
        <v>60624113402</v>
      </c>
      <c r="F4" s="3" t="s">
        <v>52</v>
      </c>
      <c r="G4" s="2" t="s">
        <v>575</v>
      </c>
      <c r="H4" s="3" t="s">
        <v>600</v>
      </c>
      <c r="I4" s="9" t="s">
        <v>579</v>
      </c>
      <c r="J4" s="3" t="s">
        <v>596</v>
      </c>
      <c r="K4" s="3" t="s">
        <v>526</v>
      </c>
      <c r="L4" s="4" t="s">
        <v>5</v>
      </c>
    </row>
    <row r="5" spans="1:12" ht="16.5" customHeight="1" x14ac:dyDescent="0.25">
      <c r="A5" s="3" t="s">
        <v>21</v>
      </c>
      <c r="B5" s="4" t="s">
        <v>791</v>
      </c>
      <c r="C5" s="4">
        <v>121212</v>
      </c>
      <c r="D5" s="12" t="str">
        <f ca="1">CONCATENATE(RIGHT(TEXT(NOW(),"YYMMDDhhmmss"),11))</f>
        <v>60624113402</v>
      </c>
      <c r="E5" s="12"/>
      <c r="F5" s="3" t="s">
        <v>52</v>
      </c>
      <c r="G5" s="2" t="s">
        <v>576</v>
      </c>
      <c r="H5" s="3" t="s">
        <v>601</v>
      </c>
      <c r="I5" s="9" t="s">
        <v>579</v>
      </c>
      <c r="J5" s="3" t="s">
        <v>597</v>
      </c>
      <c r="K5" s="3" t="s">
        <v>526</v>
      </c>
      <c r="L5" s="4" t="s">
        <v>5</v>
      </c>
    </row>
    <row r="6" spans="1:12" ht="16.5" customHeight="1" x14ac:dyDescent="0.25">
      <c r="A6" s="3" t="s">
        <v>21</v>
      </c>
      <c r="B6" s="4" t="s">
        <v>791</v>
      </c>
      <c r="C6" s="4">
        <v>121212</v>
      </c>
      <c r="D6" s="12" t="str">
        <f ca="1">CONCATENATE(RIGHT(TEXT(NOW(),"YYMMDDhhmmss"),11))</f>
        <v>60624113402</v>
      </c>
      <c r="E6" s="12" t="str">
        <f ca="1">CONCATENATE(RIGHT(TEXT(NOW(),"YYMMDDhhmmss"),11))</f>
        <v>60624113402</v>
      </c>
      <c r="F6" s="3" t="s">
        <v>52</v>
      </c>
      <c r="G6" s="2" t="s">
        <v>572</v>
      </c>
      <c r="H6" s="3" t="s">
        <v>602</v>
      </c>
      <c r="I6" s="9" t="s">
        <v>579</v>
      </c>
      <c r="J6" s="3" t="s">
        <v>447</v>
      </c>
      <c r="K6" s="3" t="s">
        <v>8</v>
      </c>
      <c r="L6" s="4" t="s">
        <v>5</v>
      </c>
    </row>
    <row r="7" spans="1:12" x14ac:dyDescent="0.25">
      <c r="B7" s="5"/>
      <c r="F7" s="10"/>
    </row>
    <row r="8" spans="1:12" x14ac:dyDescent="0.25">
      <c r="B8" s="5"/>
    </row>
    <row r="9" spans="1:12" x14ac:dyDescent="0.25">
      <c r="B9" s="5"/>
    </row>
  </sheetData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selection activeCell="H16" sqref="H16"/>
    </sheetView>
  </sheetViews>
  <sheetFormatPr defaultRowHeight="15" x14ac:dyDescent="0.25"/>
  <cols>
    <col min="1" max="1" width="11.5703125" style="3" bestFit="1" customWidth="1"/>
    <col min="2" max="2" width="18" bestFit="1" customWidth="1"/>
    <col min="4" max="4" width="11.5703125" style="3" bestFit="1" customWidth="1"/>
    <col min="5" max="5" width="12.7109375" style="3" bestFit="1" customWidth="1"/>
    <col min="6" max="6" width="10.7109375" bestFit="1" customWidth="1"/>
    <col min="7" max="7" width="12" bestFit="1" customWidth="1"/>
    <col min="8" max="8" width="23" bestFit="1" customWidth="1"/>
    <col min="10" max="10" width="47.140625" bestFit="1" customWidth="1"/>
    <col min="11" max="11" width="16.28515625" style="3" bestFit="1" customWidth="1"/>
    <col min="12" max="12" width="55.85546875" style="3" bestFit="1" customWidth="1"/>
    <col min="13" max="13" width="13.5703125" style="3" customWidth="1"/>
  </cols>
  <sheetData>
    <row r="1" spans="1:14" x14ac:dyDescent="0.25">
      <c r="A1" s="3" t="s">
        <v>187</v>
      </c>
      <c r="B1" s="5" t="s">
        <v>181</v>
      </c>
      <c r="C1" s="5" t="s">
        <v>182</v>
      </c>
      <c r="D1" s="5" t="s">
        <v>28</v>
      </c>
      <c r="E1" s="5" t="s">
        <v>183</v>
      </c>
      <c r="F1" s="5" t="s">
        <v>184</v>
      </c>
      <c r="G1" s="5" t="s">
        <v>185</v>
      </c>
      <c r="H1" s="5" t="s">
        <v>186</v>
      </c>
      <c r="I1" s="4" t="s">
        <v>0</v>
      </c>
      <c r="J1" s="4" t="s">
        <v>9</v>
      </c>
      <c r="K1" s="4" t="s">
        <v>527</v>
      </c>
      <c r="L1" s="3" t="s">
        <v>6</v>
      </c>
      <c r="M1" s="3" t="s">
        <v>7</v>
      </c>
      <c r="N1" s="4" t="s">
        <v>4</v>
      </c>
    </row>
    <row r="2" spans="1:14" s="3" customFormat="1" ht="16.5" customHeight="1" x14ac:dyDescent="0.25">
      <c r="A2" s="3" t="s">
        <v>21</v>
      </c>
      <c r="B2" s="4" t="s">
        <v>791</v>
      </c>
      <c r="C2" s="4">
        <v>121212</v>
      </c>
      <c r="D2" s="4" t="s">
        <v>29</v>
      </c>
      <c r="E2" s="4" t="s">
        <v>514</v>
      </c>
      <c r="F2" s="12" t="str">
        <f ca="1">CONCATENATE(RIGHT(TEXT(NOW(),"YYMMDDhhmmss"),11))</f>
        <v>60624113402</v>
      </c>
      <c r="G2" s="12" t="str">
        <f ca="1">CONCATENATE(RIGHT(TEXT(NOW(),"YYMMDDhhmmss"),11))</f>
        <v>60624113402</v>
      </c>
      <c r="H2" s="3" t="s">
        <v>52</v>
      </c>
      <c r="I2" s="2" t="s">
        <v>572</v>
      </c>
      <c r="J2" s="3" t="s">
        <v>602</v>
      </c>
      <c r="K2" s="9" t="s">
        <v>579</v>
      </c>
      <c r="L2" s="3" t="s">
        <v>447</v>
      </c>
      <c r="M2" s="3" t="s">
        <v>8</v>
      </c>
      <c r="N2" s="4" t="s">
        <v>5</v>
      </c>
    </row>
    <row r="3" spans="1:14" x14ac:dyDescent="0.25">
      <c r="K3"/>
      <c r="L3"/>
      <c r="M3"/>
    </row>
    <row r="4" spans="1:14" x14ac:dyDescent="0.25">
      <c r="K4"/>
      <c r="L4"/>
      <c r="M4"/>
    </row>
    <row r="5" spans="1:14" x14ac:dyDescent="0.25">
      <c r="K5"/>
      <c r="L5"/>
      <c r="M5"/>
    </row>
    <row r="6" spans="1:14" x14ac:dyDescent="0.25">
      <c r="K6"/>
      <c r="L6"/>
      <c r="M6"/>
    </row>
    <row r="7" spans="1:14" x14ac:dyDescent="0.25">
      <c r="K7"/>
      <c r="L7"/>
      <c r="M7"/>
    </row>
  </sheetData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F30" sqref="F30"/>
    </sheetView>
  </sheetViews>
  <sheetFormatPr defaultRowHeight="15" x14ac:dyDescent="0.25"/>
  <cols>
    <col min="1" max="1" width="19.140625" style="3" bestFit="1" customWidth="1"/>
    <col min="2" max="2" width="14.42578125" style="3" bestFit="1" customWidth="1"/>
    <col min="3" max="3" width="9.140625" style="3"/>
    <col min="4" max="4" width="10.42578125" style="3" bestFit="1" customWidth="1"/>
    <col min="5" max="5" width="9.140625" style="3"/>
    <col min="6" max="6" width="41.42578125" style="3" bestFit="1" customWidth="1"/>
    <col min="7" max="7" width="16.28515625" style="3" customWidth="1"/>
    <col min="8" max="8" width="34.85546875" style="3" bestFit="1" customWidth="1"/>
    <col min="9" max="9" width="16.28515625" style="3" customWidth="1"/>
    <col min="10" max="10" width="10.28515625" style="3" bestFit="1" customWidth="1"/>
    <col min="11" max="16384" width="9.140625" style="3"/>
  </cols>
  <sheetData>
    <row r="1" spans="1:10" x14ac:dyDescent="0.25">
      <c r="A1" s="5" t="s">
        <v>189</v>
      </c>
      <c r="B1" s="5" t="s">
        <v>190</v>
      </c>
      <c r="C1" s="5" t="s">
        <v>191</v>
      </c>
      <c r="D1" s="5" t="s">
        <v>192</v>
      </c>
      <c r="E1" s="4" t="s">
        <v>0</v>
      </c>
      <c r="F1" s="4" t="s">
        <v>9</v>
      </c>
      <c r="G1" s="4" t="s">
        <v>527</v>
      </c>
      <c r="H1" s="3" t="s">
        <v>6</v>
      </c>
      <c r="I1" s="3" t="s">
        <v>7</v>
      </c>
      <c r="J1" s="4" t="s">
        <v>4</v>
      </c>
    </row>
    <row r="2" spans="1:10" x14ac:dyDescent="0.25">
      <c r="A2" s="4"/>
      <c r="B2" s="3" t="s">
        <v>193</v>
      </c>
      <c r="C2" s="4">
        <v>6</v>
      </c>
      <c r="D2" s="3" t="s">
        <v>193</v>
      </c>
      <c r="E2" s="2" t="s">
        <v>573</v>
      </c>
      <c r="F2" s="3" t="s">
        <v>607</v>
      </c>
      <c r="G2" s="9" t="s">
        <v>579</v>
      </c>
      <c r="H2" s="3" t="s">
        <v>603</v>
      </c>
      <c r="I2" s="3" t="s">
        <v>526</v>
      </c>
      <c r="J2" s="4" t="s">
        <v>5</v>
      </c>
    </row>
    <row r="3" spans="1:10" x14ac:dyDescent="0.25">
      <c r="A3" s="4" t="s">
        <v>446</v>
      </c>
      <c r="C3" s="4">
        <v>6</v>
      </c>
      <c r="D3" s="3" t="s">
        <v>193</v>
      </c>
      <c r="E3" s="2" t="s">
        <v>574</v>
      </c>
      <c r="F3" s="3" t="s">
        <v>608</v>
      </c>
      <c r="G3" s="9" t="s">
        <v>579</v>
      </c>
      <c r="H3" s="3" t="s">
        <v>604</v>
      </c>
      <c r="I3" s="3" t="s">
        <v>526</v>
      </c>
      <c r="J3" s="4" t="s">
        <v>5</v>
      </c>
    </row>
    <row r="4" spans="1:10" x14ac:dyDescent="0.25">
      <c r="A4" s="4" t="s">
        <v>446</v>
      </c>
      <c r="B4" s="3" t="s">
        <v>193</v>
      </c>
      <c r="C4" s="4"/>
      <c r="D4" s="3" t="s">
        <v>193</v>
      </c>
      <c r="E4" s="2" t="s">
        <v>575</v>
      </c>
      <c r="F4" s="3" t="s">
        <v>609</v>
      </c>
      <c r="G4" s="9" t="s">
        <v>579</v>
      </c>
      <c r="H4" s="3" t="s">
        <v>605</v>
      </c>
      <c r="I4" s="3" t="s">
        <v>526</v>
      </c>
      <c r="J4" s="4" t="s">
        <v>5</v>
      </c>
    </row>
    <row r="5" spans="1:10" x14ac:dyDescent="0.25">
      <c r="A5" s="4" t="s">
        <v>446</v>
      </c>
      <c r="B5" s="3" t="s">
        <v>193</v>
      </c>
      <c r="C5" s="4">
        <v>6</v>
      </c>
      <c r="E5" s="2" t="s">
        <v>576</v>
      </c>
      <c r="F5" s="3" t="s">
        <v>610</v>
      </c>
      <c r="G5" s="9" t="s">
        <v>579</v>
      </c>
      <c r="H5" s="3" t="s">
        <v>606</v>
      </c>
      <c r="I5" s="3" t="s">
        <v>526</v>
      </c>
      <c r="J5" s="4" t="s">
        <v>5</v>
      </c>
    </row>
    <row r="6" spans="1:10" x14ac:dyDescent="0.25">
      <c r="A6" s="4" t="s">
        <v>446</v>
      </c>
      <c r="B6" s="3" t="s">
        <v>193</v>
      </c>
      <c r="C6" s="4">
        <v>6</v>
      </c>
      <c r="D6" s="3" t="s">
        <v>193</v>
      </c>
      <c r="E6" s="2" t="s">
        <v>572</v>
      </c>
      <c r="F6" s="3" t="s">
        <v>611</v>
      </c>
      <c r="G6" s="9" t="s">
        <v>579</v>
      </c>
      <c r="H6" s="3" t="s">
        <v>447</v>
      </c>
      <c r="I6" s="3" t="s">
        <v>8</v>
      </c>
      <c r="J6" s="4" t="s">
        <v>5</v>
      </c>
    </row>
    <row r="7" spans="1:10" x14ac:dyDescent="0.25">
      <c r="A7" s="5"/>
    </row>
    <row r="9" spans="1:10" x14ac:dyDescent="0.25">
      <c r="A9" s="4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G1" sqref="G1"/>
    </sheetView>
  </sheetViews>
  <sheetFormatPr defaultRowHeight="15" x14ac:dyDescent="0.25"/>
  <cols>
    <col min="1" max="1" width="19.140625" bestFit="1" customWidth="1"/>
    <col min="2" max="2" width="14.42578125" bestFit="1" customWidth="1"/>
    <col min="4" max="4" width="10.42578125" bestFit="1" customWidth="1"/>
    <col min="6" max="6" width="41.42578125" bestFit="1" customWidth="1"/>
    <col min="7" max="7" width="16.28515625" style="3" customWidth="1"/>
    <col min="8" max="8" width="34.85546875" style="3" bestFit="1" customWidth="1"/>
    <col min="9" max="9" width="16.28515625" style="3" customWidth="1"/>
    <col min="10" max="10" width="10.28515625" bestFit="1" customWidth="1"/>
  </cols>
  <sheetData>
    <row r="1" spans="1:10" x14ac:dyDescent="0.25">
      <c r="A1" s="5" t="s">
        <v>189</v>
      </c>
      <c r="B1" s="5" t="s">
        <v>190</v>
      </c>
      <c r="C1" s="5" t="s">
        <v>191</v>
      </c>
      <c r="D1" s="5" t="s">
        <v>192</v>
      </c>
      <c r="E1" s="4" t="s">
        <v>0</v>
      </c>
      <c r="F1" s="4" t="s">
        <v>9</v>
      </c>
      <c r="G1" s="4" t="s">
        <v>527</v>
      </c>
      <c r="H1" s="3" t="s">
        <v>6</v>
      </c>
      <c r="I1" s="3" t="s">
        <v>7</v>
      </c>
      <c r="J1" s="4" t="s">
        <v>4</v>
      </c>
    </row>
    <row r="2" spans="1:10" s="3" customFormat="1" x14ac:dyDescent="0.25">
      <c r="A2" s="4" t="s">
        <v>446</v>
      </c>
      <c r="B2" s="3" t="s">
        <v>193</v>
      </c>
      <c r="C2" s="4">
        <v>6</v>
      </c>
      <c r="D2" s="3" t="s">
        <v>193</v>
      </c>
      <c r="E2" s="2" t="s">
        <v>572</v>
      </c>
      <c r="F2" s="3" t="s">
        <v>611</v>
      </c>
      <c r="G2" s="9" t="s">
        <v>579</v>
      </c>
      <c r="H2" s="3" t="s">
        <v>447</v>
      </c>
      <c r="I2" s="3" t="s">
        <v>8</v>
      </c>
      <c r="J2" s="4" t="s">
        <v>5</v>
      </c>
    </row>
    <row r="3" spans="1:10" x14ac:dyDescent="0.25">
      <c r="A3" s="5"/>
    </row>
    <row r="5" spans="1:10" x14ac:dyDescent="0.25">
      <c r="A5" s="4"/>
      <c r="B5" s="3"/>
      <c r="C5" s="3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opLeftCell="A2" workbookViewId="0">
      <selection activeCell="S9" sqref="S9"/>
    </sheetView>
  </sheetViews>
  <sheetFormatPr defaultRowHeight="15" x14ac:dyDescent="0.25"/>
  <cols>
    <col min="1" max="1" width="20.28515625" style="3" bestFit="1" customWidth="1"/>
  </cols>
  <sheetData>
    <row r="1" spans="1:2" x14ac:dyDescent="0.25">
      <c r="A1" s="3" t="s">
        <v>445</v>
      </c>
      <c r="B1" t="s">
        <v>0</v>
      </c>
    </row>
    <row r="2" spans="1:2" x14ac:dyDescent="0.25">
      <c r="A2" s="3" t="s">
        <v>413</v>
      </c>
      <c r="B2" s="4" t="s">
        <v>0</v>
      </c>
    </row>
    <row r="3" spans="1:2" x14ac:dyDescent="0.25">
      <c r="A3" s="3" t="s">
        <v>445</v>
      </c>
      <c r="B3" s="2" t="s">
        <v>572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5" x14ac:dyDescent="0.25"/>
  <cols>
    <col min="1" max="1" width="11.5703125" bestFit="1" customWidth="1"/>
  </cols>
  <sheetData>
    <row r="1" spans="1:2" x14ac:dyDescent="0.25">
      <c r="A1" t="s">
        <v>21</v>
      </c>
      <c r="B1" t="s">
        <v>0</v>
      </c>
    </row>
    <row r="2" spans="1:2" x14ac:dyDescent="0.25">
      <c r="A2" t="s">
        <v>21</v>
      </c>
      <c r="B2" s="2" t="s">
        <v>572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opLeftCell="G1" workbookViewId="0">
      <selection activeCell="W1" sqref="W1"/>
    </sheetView>
  </sheetViews>
  <sheetFormatPr defaultRowHeight="15" x14ac:dyDescent="0.25"/>
  <cols>
    <col min="1" max="1" width="17.85546875" bestFit="1" customWidth="1"/>
    <col min="2" max="2" width="19.42578125" bestFit="1" customWidth="1"/>
    <col min="3" max="3" width="13.5703125" bestFit="1" customWidth="1"/>
    <col min="4" max="4" width="20.140625" bestFit="1" customWidth="1"/>
    <col min="5" max="5" width="17.42578125" bestFit="1" customWidth="1"/>
    <col min="6" max="6" width="36" bestFit="1" customWidth="1"/>
    <col min="7" max="7" width="11.42578125" bestFit="1" customWidth="1"/>
  </cols>
  <sheetData>
    <row r="1" spans="1:31" x14ac:dyDescent="0.25">
      <c r="A1" s="5" t="s">
        <v>85</v>
      </c>
      <c r="B1" s="5" t="s">
        <v>86</v>
      </c>
      <c r="C1" s="5" t="s">
        <v>87</v>
      </c>
      <c r="D1" s="3" t="s">
        <v>109</v>
      </c>
      <c r="E1" s="1" t="s">
        <v>88</v>
      </c>
      <c r="F1" s="5" t="s">
        <v>89</v>
      </c>
      <c r="G1" s="3" t="s">
        <v>90</v>
      </c>
      <c r="H1" s="3" t="s">
        <v>91</v>
      </c>
      <c r="I1" s="1" t="s">
        <v>92</v>
      </c>
      <c r="J1" s="1" t="s">
        <v>93</v>
      </c>
      <c r="K1" s="5" t="s">
        <v>94</v>
      </c>
      <c r="L1" s="5" t="s">
        <v>95</v>
      </c>
      <c r="M1" s="5" t="s">
        <v>24</v>
      </c>
      <c r="N1" s="5" t="s">
        <v>96</v>
      </c>
      <c r="O1" s="5" t="s">
        <v>97</v>
      </c>
      <c r="P1" s="5" t="s">
        <v>98</v>
      </c>
      <c r="Q1" s="5" t="s">
        <v>99</v>
      </c>
      <c r="R1" s="5" t="s">
        <v>100</v>
      </c>
      <c r="S1" s="5" t="s">
        <v>101</v>
      </c>
      <c r="T1" s="5" t="s">
        <v>102</v>
      </c>
      <c r="U1" s="5" t="s">
        <v>103</v>
      </c>
      <c r="V1" s="5" t="s">
        <v>104</v>
      </c>
      <c r="W1" s="5" t="s">
        <v>105</v>
      </c>
      <c r="X1" s="5" t="s">
        <v>106</v>
      </c>
      <c r="Y1" s="4" t="s">
        <v>0</v>
      </c>
      <c r="Z1" s="4" t="s">
        <v>9</v>
      </c>
      <c r="AA1" s="4" t="s">
        <v>527</v>
      </c>
      <c r="AB1" s="3" t="s">
        <v>6</v>
      </c>
      <c r="AC1" s="3" t="s">
        <v>7</v>
      </c>
      <c r="AD1" s="4" t="s">
        <v>4</v>
      </c>
      <c r="AE1" s="4" t="s">
        <v>84</v>
      </c>
    </row>
    <row r="2" spans="1:31" x14ac:dyDescent="0.25">
      <c r="A2" s="3" t="s">
        <v>21</v>
      </c>
      <c r="B2" s="3" t="s">
        <v>442</v>
      </c>
      <c r="C2" s="3" t="s">
        <v>108</v>
      </c>
      <c r="D2" s="4">
        <v>1234</v>
      </c>
      <c r="E2" s="4" t="s">
        <v>784</v>
      </c>
      <c r="F2" s="3" t="s">
        <v>787</v>
      </c>
      <c r="G2" s="3" t="s">
        <v>785</v>
      </c>
      <c r="H2" s="3" t="s">
        <v>785</v>
      </c>
      <c r="I2" s="4" t="s">
        <v>443</v>
      </c>
      <c r="J2" s="4" t="s">
        <v>444</v>
      </c>
      <c r="K2" s="3" t="s">
        <v>112</v>
      </c>
      <c r="L2" s="4" t="s">
        <v>113</v>
      </c>
      <c r="M2" s="4" t="s">
        <v>65</v>
      </c>
      <c r="N2" s="4">
        <v>1000000008</v>
      </c>
      <c r="O2" s="4">
        <v>1000000001</v>
      </c>
      <c r="P2" s="3"/>
      <c r="Q2" s="3"/>
      <c r="R2" s="3"/>
      <c r="S2" s="3" t="s">
        <v>23</v>
      </c>
      <c r="T2" s="3" t="s">
        <v>118</v>
      </c>
      <c r="U2" s="3"/>
      <c r="V2" s="3" t="s">
        <v>23</v>
      </c>
      <c r="W2" s="3" t="s">
        <v>119</v>
      </c>
      <c r="X2" s="4" t="s">
        <v>120</v>
      </c>
      <c r="Y2" s="2" t="s">
        <v>3</v>
      </c>
      <c r="Z2" s="4" t="s">
        <v>542</v>
      </c>
      <c r="AA2" s="9" t="s">
        <v>579</v>
      </c>
      <c r="AB2" s="3" t="s">
        <v>285</v>
      </c>
      <c r="AC2" s="3" t="s">
        <v>8</v>
      </c>
      <c r="AD2" s="4" t="s">
        <v>5</v>
      </c>
      <c r="AE2" s="4" t="s">
        <v>84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 x14ac:dyDescent="0.25"/>
  <cols>
    <col min="1" max="1" width="15.42578125" bestFit="1" customWidth="1"/>
    <col min="2" max="2" width="10" bestFit="1" customWidth="1"/>
    <col min="3" max="3" width="18" bestFit="1" customWidth="1"/>
    <col min="4" max="4" width="10.42578125" bestFit="1" customWidth="1"/>
    <col min="5" max="5" width="23" bestFit="1" customWidth="1"/>
    <col min="6" max="6" width="28.28515625" bestFit="1" customWidth="1"/>
    <col min="7" max="7" width="25.85546875" bestFit="1" customWidth="1"/>
    <col min="8" max="8" width="27.85546875" bestFit="1" customWidth="1"/>
    <col min="9" max="9" width="25.28515625" bestFit="1" customWidth="1"/>
    <col min="10" max="11" width="14.140625" bestFit="1" customWidth="1"/>
    <col min="12" max="12" width="9.42578125" bestFit="1" customWidth="1"/>
    <col min="13" max="13" width="22.42578125" bestFit="1" customWidth="1"/>
    <col min="15" max="15" width="14.140625" bestFit="1" customWidth="1"/>
    <col min="16" max="16" width="11.7109375" bestFit="1" customWidth="1"/>
    <col min="17" max="17" width="12.5703125" bestFit="1" customWidth="1"/>
    <col min="18" max="18" width="23.85546875" bestFit="1" customWidth="1"/>
    <col min="19" max="19" width="20.5703125" bestFit="1" customWidth="1"/>
    <col min="20" max="20" width="16.140625" bestFit="1" customWidth="1"/>
    <col min="21" max="21" width="13.140625" bestFit="1" customWidth="1"/>
    <col min="22" max="22" width="20.85546875" bestFit="1" customWidth="1"/>
    <col min="23" max="23" width="15.5703125" bestFit="1" customWidth="1"/>
    <col min="24" max="24" width="19.140625" bestFit="1" customWidth="1"/>
    <col min="25" max="25" width="12.5703125" bestFit="1" customWidth="1"/>
  </cols>
  <sheetData>
    <row r="1" spans="1:31" x14ac:dyDescent="0.25">
      <c r="A1" s="1" t="s">
        <v>121</v>
      </c>
      <c r="B1" s="1" t="s">
        <v>122</v>
      </c>
      <c r="C1" s="1" t="s">
        <v>123</v>
      </c>
      <c r="D1" s="4" t="s">
        <v>140</v>
      </c>
      <c r="E1" s="4" t="s">
        <v>141</v>
      </c>
      <c r="F1" s="4" t="s">
        <v>124</v>
      </c>
      <c r="G1" s="1" t="s">
        <v>125</v>
      </c>
      <c r="H1" s="1" t="s">
        <v>126</v>
      </c>
      <c r="I1" s="1" t="s">
        <v>127</v>
      </c>
      <c r="J1" s="4" t="s">
        <v>146</v>
      </c>
      <c r="K1" s="1" t="s">
        <v>128</v>
      </c>
      <c r="L1" s="1" t="s">
        <v>129</v>
      </c>
      <c r="M1" s="1" t="s">
        <v>148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4" t="s">
        <v>150</v>
      </c>
      <c r="Y1" s="4" t="s">
        <v>152</v>
      </c>
      <c r="Z1" s="4" t="s">
        <v>0</v>
      </c>
      <c r="AA1" s="4" t="s">
        <v>9</v>
      </c>
      <c r="AB1" s="4" t="s">
        <v>527</v>
      </c>
      <c r="AC1" s="4" t="s">
        <v>6</v>
      </c>
      <c r="AD1" s="4" t="s">
        <v>7</v>
      </c>
      <c r="AE1" s="4" t="s">
        <v>4</v>
      </c>
    </row>
    <row r="2" spans="1:31" x14ac:dyDescent="0.25">
      <c r="A2" s="4" t="s">
        <v>23</v>
      </c>
      <c r="B2" s="4" t="s">
        <v>23</v>
      </c>
      <c r="C2" s="4">
        <v>1</v>
      </c>
      <c r="D2" s="4" t="s">
        <v>270</v>
      </c>
      <c r="E2" s="8" t="s">
        <v>52</v>
      </c>
      <c r="F2" s="2" t="s">
        <v>142</v>
      </c>
      <c r="G2" s="2" t="s">
        <v>143</v>
      </c>
      <c r="H2" s="2" t="s">
        <v>144</v>
      </c>
      <c r="I2" s="2" t="s">
        <v>145</v>
      </c>
      <c r="J2" s="2" t="s">
        <v>118</v>
      </c>
      <c r="K2" s="4" t="s">
        <v>147</v>
      </c>
      <c r="L2" s="4" t="s">
        <v>118</v>
      </c>
      <c r="M2" s="4" t="s">
        <v>23</v>
      </c>
      <c r="N2" s="4" t="s">
        <v>786</v>
      </c>
      <c r="O2" s="4" t="s">
        <v>786</v>
      </c>
      <c r="P2" s="4" t="s">
        <v>786</v>
      </c>
      <c r="Q2" s="4" t="s">
        <v>786</v>
      </c>
      <c r="R2" s="4" t="s">
        <v>786</v>
      </c>
      <c r="S2" s="4" t="s">
        <v>786</v>
      </c>
      <c r="T2" s="4" t="s">
        <v>786</v>
      </c>
      <c r="U2" s="4" t="s">
        <v>786</v>
      </c>
      <c r="V2" s="4" t="s">
        <v>786</v>
      </c>
      <c r="W2" s="4"/>
      <c r="X2" s="4" t="s">
        <v>151</v>
      </c>
      <c r="Y2" s="4" t="s">
        <v>151</v>
      </c>
      <c r="Z2" s="2" t="s">
        <v>572</v>
      </c>
      <c r="AA2" s="4" t="s">
        <v>153</v>
      </c>
      <c r="AB2" s="2" t="s">
        <v>579</v>
      </c>
      <c r="AC2" s="4" t="s">
        <v>285</v>
      </c>
      <c r="AD2" s="4" t="s">
        <v>8</v>
      </c>
      <c r="AE2" s="4" t="s">
        <v>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workbookViewId="0"/>
  </sheetViews>
  <sheetFormatPr defaultRowHeight="15" x14ac:dyDescent="0.25"/>
  <cols>
    <col min="1" max="1" width="11.5703125" bestFit="1" customWidth="1"/>
  </cols>
  <sheetData>
    <row r="1" spans="1:22" x14ac:dyDescent="0.25">
      <c r="A1" s="5" t="s">
        <v>71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161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3" t="s">
        <v>43</v>
      </c>
      <c r="O1" s="5" t="s">
        <v>44</v>
      </c>
      <c r="P1" s="5" t="s">
        <v>45</v>
      </c>
      <c r="Q1" s="5" t="s">
        <v>162</v>
      </c>
      <c r="R1" s="5" t="s">
        <v>163</v>
      </c>
      <c r="S1" s="5" t="s">
        <v>164</v>
      </c>
      <c r="T1" s="4" t="s">
        <v>0</v>
      </c>
      <c r="U1" s="4" t="s">
        <v>9</v>
      </c>
      <c r="V1" s="4" t="s">
        <v>4</v>
      </c>
    </row>
    <row r="2" spans="1:22" x14ac:dyDescent="0.25">
      <c r="A2" s="3" t="s">
        <v>21</v>
      </c>
      <c r="B2" s="3" t="s">
        <v>48</v>
      </c>
      <c r="C2" s="3" t="s">
        <v>165</v>
      </c>
      <c r="D2" s="4">
        <v>11</v>
      </c>
      <c r="E2" s="3" t="s">
        <v>754</v>
      </c>
      <c r="F2" s="3" t="s">
        <v>51</v>
      </c>
      <c r="G2" s="3" t="s">
        <v>254</v>
      </c>
      <c r="H2" s="4" t="s">
        <v>167</v>
      </c>
      <c r="I2" s="4" t="s">
        <v>167</v>
      </c>
      <c r="J2" s="12" t="str">
        <f ca="1">CONCATENATE(RIGHT(TEXT(NOW(),"YYMMDDhhmmss"),11))</f>
        <v>60624113402</v>
      </c>
      <c r="K2" s="12" t="str">
        <f ca="1">CONCATENATE(RIGHT(TEXT(NOW(),"YYMMDDhhmmss"),11))</f>
        <v>60624113402</v>
      </c>
      <c r="L2" s="4" t="s">
        <v>168</v>
      </c>
      <c r="M2" s="4" t="s">
        <v>52</v>
      </c>
      <c r="N2" s="4" t="s">
        <v>52</v>
      </c>
      <c r="O2" s="4" t="s">
        <v>171</v>
      </c>
      <c r="P2" s="2" t="s">
        <v>172</v>
      </c>
      <c r="Q2" s="4" t="s">
        <v>173</v>
      </c>
      <c r="R2" s="4" t="s">
        <v>174</v>
      </c>
      <c r="S2" s="4" t="s">
        <v>113</v>
      </c>
      <c r="T2" s="2" t="s">
        <v>572</v>
      </c>
      <c r="U2" s="4" t="s">
        <v>175</v>
      </c>
      <c r="V2" s="4" t="s">
        <v>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7" sqref="B7"/>
    </sheetView>
  </sheetViews>
  <sheetFormatPr defaultRowHeight="15" x14ac:dyDescent="0.25"/>
  <cols>
    <col min="2" max="2" width="24" bestFit="1" customWidth="1"/>
    <col min="3" max="3" width="19.28515625" bestFit="1" customWidth="1"/>
  </cols>
  <sheetData>
    <row r="1" spans="1:4" x14ac:dyDescent="0.25">
      <c r="A1" s="3" t="s">
        <v>0</v>
      </c>
      <c r="B1" s="3" t="s">
        <v>9</v>
      </c>
      <c r="C1" s="3" t="s">
        <v>6</v>
      </c>
      <c r="D1" s="3" t="s">
        <v>7</v>
      </c>
    </row>
    <row r="2" spans="1:4" x14ac:dyDescent="0.25">
      <c r="A2" s="2" t="s">
        <v>572</v>
      </c>
      <c r="B2" s="3" t="s">
        <v>286</v>
      </c>
      <c r="C2" s="3" t="s">
        <v>285</v>
      </c>
      <c r="D2" s="3" t="s">
        <v>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workbookViewId="0">
      <selection sqref="A1:V2"/>
    </sheetView>
  </sheetViews>
  <sheetFormatPr defaultRowHeight="15" x14ac:dyDescent="0.25"/>
  <sheetData>
    <row r="1" spans="1:22" x14ac:dyDescent="0.25">
      <c r="A1" s="5" t="s">
        <v>71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161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3" t="s">
        <v>43</v>
      </c>
      <c r="O1" s="5" t="s">
        <v>44</v>
      </c>
      <c r="P1" s="5" t="s">
        <v>45</v>
      </c>
      <c r="Q1" s="5" t="s">
        <v>162</v>
      </c>
      <c r="R1" s="5" t="s">
        <v>163</v>
      </c>
      <c r="S1" s="5" t="s">
        <v>164</v>
      </c>
      <c r="T1" s="4" t="s">
        <v>0</v>
      </c>
      <c r="U1" s="4" t="s">
        <v>9</v>
      </c>
      <c r="V1" s="4" t="s">
        <v>4</v>
      </c>
    </row>
    <row r="2" spans="1:22" x14ac:dyDescent="0.25">
      <c r="A2" s="3" t="s">
        <v>21</v>
      </c>
      <c r="B2" s="3" t="s">
        <v>48</v>
      </c>
      <c r="C2" s="3" t="s">
        <v>165</v>
      </c>
      <c r="D2" s="4">
        <v>11</v>
      </c>
      <c r="E2" s="3" t="s">
        <v>754</v>
      </c>
      <c r="F2" s="3" t="s">
        <v>169</v>
      </c>
      <c r="G2" s="3" t="s">
        <v>254</v>
      </c>
      <c r="H2" s="4" t="s">
        <v>167</v>
      </c>
      <c r="I2" s="4" t="s">
        <v>167</v>
      </c>
      <c r="J2" s="12" t="str">
        <f ca="1">CONCATENATE(RIGHT(TEXT(NOW(),"YYMMDDhhmmss"),11))</f>
        <v>60624113402</v>
      </c>
      <c r="K2" s="12" t="str">
        <f ca="1">CONCATENATE(RIGHT(TEXT(NOW(),"YYMMDDhhmmss"),11))</f>
        <v>60624113402</v>
      </c>
      <c r="L2" s="4" t="s">
        <v>168</v>
      </c>
      <c r="M2" s="4" t="s">
        <v>52</v>
      </c>
      <c r="N2" s="4" t="s">
        <v>52</v>
      </c>
      <c r="O2" s="4" t="s">
        <v>171</v>
      </c>
      <c r="P2" s="2" t="s">
        <v>172</v>
      </c>
      <c r="Q2" s="4" t="s">
        <v>173</v>
      </c>
      <c r="R2" s="4" t="s">
        <v>174</v>
      </c>
      <c r="S2" s="4" t="s">
        <v>113</v>
      </c>
      <c r="T2" s="2" t="s">
        <v>572</v>
      </c>
      <c r="U2" s="3" t="s">
        <v>170</v>
      </c>
      <c r="V2" s="4" t="s">
        <v>5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24" sqref="D24"/>
    </sheetView>
  </sheetViews>
  <sheetFormatPr defaultRowHeight="15" x14ac:dyDescent="0.25"/>
  <cols>
    <col min="2" max="2" width="32.42578125" bestFit="1" customWidth="1"/>
    <col min="3" max="3" width="19.28515625" bestFit="1" customWidth="1"/>
  </cols>
  <sheetData>
    <row r="1" spans="1:4" x14ac:dyDescent="0.25">
      <c r="A1" s="3" t="s">
        <v>0</v>
      </c>
      <c r="B1" s="3" t="s">
        <v>9</v>
      </c>
      <c r="C1" s="3" t="s">
        <v>6</v>
      </c>
      <c r="D1" s="3" t="s">
        <v>7</v>
      </c>
    </row>
    <row r="2" spans="1:4" x14ac:dyDescent="0.25">
      <c r="A2" s="2" t="s">
        <v>572</v>
      </c>
      <c r="B2" s="3" t="s">
        <v>287</v>
      </c>
      <c r="C2" s="3" t="s">
        <v>285</v>
      </c>
      <c r="D2" s="3" t="s">
        <v>8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workbookViewId="0">
      <selection sqref="A1:Y4"/>
    </sheetView>
  </sheetViews>
  <sheetFormatPr defaultRowHeight="15" x14ac:dyDescent="0.25"/>
  <cols>
    <col min="10" max="10" width="47.85546875" bestFit="1" customWidth="1"/>
    <col min="11" max="11" width="16.28515625" bestFit="1" customWidth="1"/>
    <col min="12" max="12" width="19.28515625" bestFit="1" customWidth="1"/>
  </cols>
  <sheetData>
    <row r="1" spans="1:25" x14ac:dyDescent="0.25">
      <c r="A1" s="5" t="s">
        <v>71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161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3" t="s">
        <v>43</v>
      </c>
      <c r="O1" s="5" t="s">
        <v>44</v>
      </c>
      <c r="P1" s="5" t="s">
        <v>45</v>
      </c>
      <c r="Q1" s="5" t="s">
        <v>162</v>
      </c>
      <c r="R1" s="5" t="s">
        <v>163</v>
      </c>
      <c r="S1" s="5" t="s">
        <v>164</v>
      </c>
      <c r="T1" s="4" t="s">
        <v>0</v>
      </c>
      <c r="U1" s="4" t="s">
        <v>9</v>
      </c>
      <c r="V1" s="4" t="s">
        <v>527</v>
      </c>
      <c r="W1" s="3" t="s">
        <v>6</v>
      </c>
      <c r="X1" s="3" t="s">
        <v>7</v>
      </c>
      <c r="Y1" s="4" t="s">
        <v>4</v>
      </c>
    </row>
    <row r="2" spans="1:25" x14ac:dyDescent="0.25">
      <c r="A2" s="3"/>
      <c r="B2" s="3" t="s">
        <v>48</v>
      </c>
      <c r="C2" s="3" t="s">
        <v>165</v>
      </c>
      <c r="D2" s="4" t="s">
        <v>441</v>
      </c>
      <c r="E2" s="3" t="s">
        <v>754</v>
      </c>
      <c r="F2" s="3" t="s">
        <v>177</v>
      </c>
      <c r="G2" s="3" t="s">
        <v>254</v>
      </c>
      <c r="H2" s="4" t="s">
        <v>167</v>
      </c>
      <c r="I2" s="4" t="s">
        <v>167</v>
      </c>
      <c r="J2" s="12" t="str">
        <f t="shared" ref="J2:K4" ca="1" si="0">CONCATENATE(RIGHT(TEXT(NOW(),"YYMMDDhhmmss"),11))</f>
        <v>60624113402</v>
      </c>
      <c r="K2" s="12" t="str">
        <f t="shared" ca="1" si="0"/>
        <v>60624113402</v>
      </c>
      <c r="L2" s="4" t="s">
        <v>168</v>
      </c>
      <c r="M2" s="8" t="s">
        <v>52</v>
      </c>
      <c r="N2" s="4" t="s">
        <v>52</v>
      </c>
      <c r="O2" s="4" t="s">
        <v>171</v>
      </c>
      <c r="P2" s="2" t="s">
        <v>172</v>
      </c>
      <c r="Q2" s="4" t="s">
        <v>173</v>
      </c>
      <c r="R2" s="4" t="s">
        <v>174</v>
      </c>
      <c r="S2" s="4" t="s">
        <v>113</v>
      </c>
      <c r="T2" s="2" t="s">
        <v>573</v>
      </c>
      <c r="U2" s="3" t="s">
        <v>548</v>
      </c>
      <c r="V2" s="4" t="s">
        <v>528</v>
      </c>
      <c r="W2" s="2" t="s">
        <v>579</v>
      </c>
      <c r="X2" s="4" t="s">
        <v>526</v>
      </c>
      <c r="Y2" s="4" t="s">
        <v>5</v>
      </c>
    </row>
    <row r="3" spans="1:25" x14ac:dyDescent="0.25">
      <c r="A3" s="3" t="s">
        <v>21</v>
      </c>
      <c r="B3" s="3"/>
      <c r="C3" s="3" t="s">
        <v>165</v>
      </c>
      <c r="D3" s="4" t="s">
        <v>441</v>
      </c>
      <c r="E3" s="3" t="s">
        <v>754</v>
      </c>
      <c r="F3" s="3" t="s">
        <v>177</v>
      </c>
      <c r="G3" s="3" t="s">
        <v>254</v>
      </c>
      <c r="H3" s="4" t="s">
        <v>167</v>
      </c>
      <c r="I3" s="4" t="s">
        <v>167</v>
      </c>
      <c r="J3" s="12" t="str">
        <f t="shared" ca="1" si="0"/>
        <v>60624113402</v>
      </c>
      <c r="K3" s="12" t="str">
        <f t="shared" ca="1" si="0"/>
        <v>60624113402</v>
      </c>
      <c r="L3" s="4" t="s">
        <v>168</v>
      </c>
      <c r="M3" s="8" t="s">
        <v>52</v>
      </c>
      <c r="N3" s="4" t="s">
        <v>52</v>
      </c>
      <c r="O3" s="4" t="s">
        <v>171</v>
      </c>
      <c r="P3" s="2" t="s">
        <v>172</v>
      </c>
      <c r="Q3" s="4" t="s">
        <v>173</v>
      </c>
      <c r="R3" s="4" t="s">
        <v>174</v>
      </c>
      <c r="S3" s="4" t="s">
        <v>113</v>
      </c>
      <c r="T3" s="2" t="s">
        <v>574</v>
      </c>
      <c r="U3" s="3" t="s">
        <v>549</v>
      </c>
      <c r="V3" s="4" t="s">
        <v>528</v>
      </c>
      <c r="W3" s="2" t="s">
        <v>579</v>
      </c>
      <c r="X3" s="4" t="s">
        <v>526</v>
      </c>
      <c r="Y3" s="4" t="s">
        <v>5</v>
      </c>
    </row>
    <row r="4" spans="1:25" x14ac:dyDescent="0.25">
      <c r="A4" s="3" t="s">
        <v>21</v>
      </c>
      <c r="B4" s="3" t="s">
        <v>48</v>
      </c>
      <c r="C4" s="3" t="s">
        <v>165</v>
      </c>
      <c r="D4" s="4" t="s">
        <v>441</v>
      </c>
      <c r="E4" s="3" t="s">
        <v>754</v>
      </c>
      <c r="F4" s="3" t="s">
        <v>177</v>
      </c>
      <c r="G4" s="3" t="s">
        <v>254</v>
      </c>
      <c r="H4" s="4" t="s">
        <v>167</v>
      </c>
      <c r="I4" s="4" t="s">
        <v>167</v>
      </c>
      <c r="J4" s="12" t="str">
        <f t="shared" ca="1" si="0"/>
        <v>60624113402</v>
      </c>
      <c r="K4" s="12" t="str">
        <f t="shared" ca="1" si="0"/>
        <v>60624113402</v>
      </c>
      <c r="L4" s="4" t="s">
        <v>168</v>
      </c>
      <c r="M4" s="8" t="s">
        <v>52</v>
      </c>
      <c r="N4" s="4" t="s">
        <v>52</v>
      </c>
      <c r="O4" s="4" t="s">
        <v>171</v>
      </c>
      <c r="P4" s="2" t="s">
        <v>172</v>
      </c>
      <c r="Q4" s="4" t="s">
        <v>173</v>
      </c>
      <c r="R4" s="4" t="s">
        <v>174</v>
      </c>
      <c r="S4" s="4" t="s">
        <v>113</v>
      </c>
      <c r="T4" s="2" t="s">
        <v>572</v>
      </c>
      <c r="U4" s="3" t="s">
        <v>550</v>
      </c>
      <c r="V4" s="2" t="s">
        <v>579</v>
      </c>
      <c r="W4" s="4" t="s">
        <v>285</v>
      </c>
      <c r="X4" s="4" t="s">
        <v>8</v>
      </c>
      <c r="Y4" s="4" t="s">
        <v>5</v>
      </c>
    </row>
  </sheetData>
  <hyperlinks>
    <hyperlink ref="M2" r:id="rId1"/>
    <hyperlink ref="M3" r:id="rId2"/>
    <hyperlink ref="M4" r:id="rId3"/>
  </hyperlink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D4" sqref="D4"/>
    </sheetView>
  </sheetViews>
  <sheetFormatPr defaultRowHeight="15" x14ac:dyDescent="0.25"/>
  <cols>
    <col min="2" max="2" width="20.28515625" bestFit="1" customWidth="1"/>
    <col min="4" max="4" width="11" bestFit="1" customWidth="1"/>
    <col min="8" max="8" width="40.7109375" bestFit="1" customWidth="1"/>
    <col min="10" max="10" width="63" bestFit="1" customWidth="1"/>
  </cols>
  <sheetData>
    <row r="1" spans="1:12" x14ac:dyDescent="0.25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x14ac:dyDescent="0.25">
      <c r="A2" s="3"/>
      <c r="B2" s="3" t="str">
        <f ca="1">CONCATENATE("5",TEXT(NOW(),"YYYY"),"-",LEFT(TEXT(NOW(),"DDhhmmss"),9),"",RIGHT(TEXT(NOW(),"ss"),7))</f>
        <v>52026-2411340202</v>
      </c>
      <c r="C2" s="4" t="s">
        <v>64</v>
      </c>
      <c r="D2" s="12" t="str">
        <f ca="1">TEXT((NOW()+3652),"YYYY-MM-DD")</f>
        <v>2036-06-23</v>
      </c>
      <c r="E2" s="3" t="s">
        <v>65</v>
      </c>
      <c r="F2" s="4">
        <v>1212</v>
      </c>
      <c r="G2" s="2" t="s">
        <v>573</v>
      </c>
      <c r="H2" s="3" t="s">
        <v>555</v>
      </c>
      <c r="I2" s="2" t="s">
        <v>579</v>
      </c>
      <c r="J2" s="3" t="s">
        <v>551</v>
      </c>
      <c r="K2" s="3" t="s">
        <v>526</v>
      </c>
      <c r="L2" s="4" t="s">
        <v>5</v>
      </c>
    </row>
    <row r="3" spans="1:12" x14ac:dyDescent="0.25">
      <c r="A3" s="3" t="s">
        <v>62</v>
      </c>
      <c r="B3" s="3" t="str">
        <f ca="1">CONCATENATE("5",TEXT(NOW(),"YYYY"),"-",LEFT(TEXT(NOW(),"DDhhmmss"),9),"",RIGHT(TEXT(NOW(),"ss"),7))</f>
        <v>52026-2411340202</v>
      </c>
      <c r="C3" s="4" t="s">
        <v>226</v>
      </c>
      <c r="D3" s="12" t="str">
        <f ca="1">TEXT((NOW()+3652),"YYYY-MM-DD")</f>
        <v>2036-06-23</v>
      </c>
      <c r="E3" s="3" t="s">
        <v>65</v>
      </c>
      <c r="F3" s="4">
        <v>1212</v>
      </c>
      <c r="G3" s="2" t="s">
        <v>574</v>
      </c>
      <c r="H3" s="3" t="s">
        <v>556</v>
      </c>
      <c r="I3" s="2" t="s">
        <v>579</v>
      </c>
      <c r="J3" s="3" t="s">
        <v>553</v>
      </c>
      <c r="K3" s="3" t="s">
        <v>526</v>
      </c>
      <c r="L3" s="4" t="s">
        <v>5</v>
      </c>
    </row>
    <row r="4" spans="1:12" x14ac:dyDescent="0.25">
      <c r="A4" s="3" t="s">
        <v>62</v>
      </c>
      <c r="B4" s="3" t="str">
        <f ca="1">CONCATENATE("5",TEXT(NOW(),"YYYY"),"-",LEFT(TEXT(NOW(),"DDhhmmss"),9),"",RIGHT(TEXT(NOW(),"ss"),7))</f>
        <v>52026-2411340202</v>
      </c>
      <c r="C4" s="4" t="s">
        <v>64</v>
      </c>
      <c r="D4" s="12" t="str">
        <f ca="1">TEXT((NOW()+3652),"YYYY-MM-DD")</f>
        <v>2036-06-23</v>
      </c>
      <c r="E4" s="3"/>
      <c r="F4" s="4">
        <v>1212</v>
      </c>
      <c r="G4" s="2" t="s">
        <v>575</v>
      </c>
      <c r="H4" s="3" t="s">
        <v>557</v>
      </c>
      <c r="I4" s="2" t="s">
        <v>579</v>
      </c>
      <c r="J4" s="3" t="s">
        <v>559</v>
      </c>
      <c r="K4" s="3" t="s">
        <v>526</v>
      </c>
      <c r="L4" s="4" t="s">
        <v>5</v>
      </c>
    </row>
    <row r="5" spans="1:12" x14ac:dyDescent="0.25">
      <c r="A5" s="3" t="s">
        <v>62</v>
      </c>
      <c r="B5" s="3" t="str">
        <f ca="1">CONCATENATE("5",TEXT(NOW(),"YYYY"),"-",LEFT(TEXT(NOW(),"DDhhmmss"),9),"",RIGHT(TEXT(NOW(),"ss"),7))</f>
        <v>52026-2411340202</v>
      </c>
      <c r="C5" s="4" t="s">
        <v>64</v>
      </c>
      <c r="D5" s="4" t="s">
        <v>64</v>
      </c>
      <c r="E5" s="3" t="s">
        <v>65</v>
      </c>
      <c r="F5" s="4">
        <v>1212</v>
      </c>
      <c r="G5" s="2" t="s">
        <v>576</v>
      </c>
      <c r="H5" s="3" t="s">
        <v>560</v>
      </c>
      <c r="I5" s="2" t="s">
        <v>579</v>
      </c>
      <c r="J5" s="3" t="s">
        <v>554</v>
      </c>
      <c r="K5" s="3" t="s">
        <v>526</v>
      </c>
      <c r="L5" s="4" t="s">
        <v>5</v>
      </c>
    </row>
    <row r="6" spans="1:12" x14ac:dyDescent="0.25">
      <c r="A6" s="3" t="s">
        <v>62</v>
      </c>
      <c r="B6" s="3" t="str">
        <f ca="1">LEFT(CONCATENATE("2",TEXT(NOW(),"YYYY"),"-",LEFT(TEXT(NOW(),"DDhhmmss"),7),"-",RIGHT(TEXT(NOW(),"ss"),1)),13)</f>
        <v>22026-2411340</v>
      </c>
      <c r="C6" s="4" t="s">
        <v>64</v>
      </c>
      <c r="D6" s="12" t="str">
        <f ca="1">TEXT((NOW()+3652),"YYYY-MM-DD")</f>
        <v>2036-06-23</v>
      </c>
      <c r="E6" s="3" t="s">
        <v>65</v>
      </c>
      <c r="F6" s="4">
        <v>1212</v>
      </c>
      <c r="G6" s="2" t="s">
        <v>577</v>
      </c>
      <c r="H6" s="3" t="s">
        <v>561</v>
      </c>
      <c r="I6" s="2" t="s">
        <v>579</v>
      </c>
      <c r="J6" s="3" t="s">
        <v>552</v>
      </c>
      <c r="K6" s="3" t="s">
        <v>526</v>
      </c>
      <c r="L6" s="4" t="s">
        <v>5</v>
      </c>
    </row>
    <row r="7" spans="1:12" x14ac:dyDescent="0.25">
      <c r="A7" s="3" t="s">
        <v>260</v>
      </c>
      <c r="B7" s="4" t="s">
        <v>788</v>
      </c>
      <c r="C7" s="4" t="s">
        <v>113</v>
      </c>
      <c r="D7" s="12" t="str">
        <f ca="1">TEXT((NOW()+3652),"YYYY-MM-DD")</f>
        <v>2036-06-23</v>
      </c>
      <c r="E7" s="3" t="s">
        <v>65</v>
      </c>
      <c r="F7" s="4">
        <v>1212</v>
      </c>
      <c r="G7" s="2" t="s">
        <v>572</v>
      </c>
      <c r="H7" s="3" t="s">
        <v>558</v>
      </c>
      <c r="I7" s="2" t="s">
        <v>579</v>
      </c>
      <c r="J7" s="3" t="s">
        <v>447</v>
      </c>
      <c r="K7" s="3" t="s">
        <v>8</v>
      </c>
      <c r="L7" s="4" t="s">
        <v>5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sqref="A1:I4"/>
    </sheetView>
  </sheetViews>
  <sheetFormatPr defaultRowHeight="15" x14ac:dyDescent="0.25"/>
  <sheetData>
    <row r="1" spans="1:9" x14ac:dyDescent="0.25">
      <c r="A1" s="5" t="s">
        <v>178</v>
      </c>
      <c r="B1" s="5" t="s">
        <v>179</v>
      </c>
      <c r="C1" s="3" t="s">
        <v>180</v>
      </c>
      <c r="D1" s="4" t="s">
        <v>0</v>
      </c>
      <c r="E1" s="4" t="s">
        <v>9</v>
      </c>
      <c r="F1" s="4" t="s">
        <v>527</v>
      </c>
      <c r="G1" s="3" t="s">
        <v>6</v>
      </c>
      <c r="H1" s="3" t="s">
        <v>7</v>
      </c>
      <c r="I1" s="4" t="s">
        <v>4</v>
      </c>
    </row>
    <row r="2" spans="1:9" x14ac:dyDescent="0.25">
      <c r="A2" s="3"/>
      <c r="B2" s="4" t="s">
        <v>790</v>
      </c>
      <c r="C2" s="3" t="s">
        <v>21</v>
      </c>
      <c r="D2" s="2" t="s">
        <v>573</v>
      </c>
      <c r="E2" s="3" t="s">
        <v>629</v>
      </c>
      <c r="F2" s="2" t="s">
        <v>579</v>
      </c>
      <c r="G2" s="3" t="s">
        <v>660</v>
      </c>
      <c r="H2" s="3" t="s">
        <v>526</v>
      </c>
      <c r="I2" s="4" t="s">
        <v>5</v>
      </c>
    </row>
    <row r="3" spans="1:9" x14ac:dyDescent="0.25">
      <c r="A3" s="4" t="s">
        <v>789</v>
      </c>
      <c r="B3" s="3"/>
      <c r="C3" s="3" t="s">
        <v>21</v>
      </c>
      <c r="D3" s="2" t="s">
        <v>574</v>
      </c>
      <c r="E3" s="3" t="s">
        <v>630</v>
      </c>
      <c r="F3" s="2" t="s">
        <v>579</v>
      </c>
      <c r="G3" s="3" t="s">
        <v>661</v>
      </c>
      <c r="H3" s="3" t="s">
        <v>526</v>
      </c>
      <c r="I3" s="4" t="s">
        <v>5</v>
      </c>
    </row>
    <row r="4" spans="1:9" x14ac:dyDescent="0.25">
      <c r="A4" s="4" t="s">
        <v>789</v>
      </c>
      <c r="B4" s="4" t="s">
        <v>790</v>
      </c>
      <c r="C4" s="3" t="s">
        <v>21</v>
      </c>
      <c r="D4" s="2" t="s">
        <v>572</v>
      </c>
      <c r="E4" s="3" t="s">
        <v>631</v>
      </c>
      <c r="F4" s="2" t="s">
        <v>579</v>
      </c>
      <c r="G4" s="3" t="s">
        <v>447</v>
      </c>
      <c r="H4" s="3" t="s">
        <v>8</v>
      </c>
      <c r="I4" s="4" t="s">
        <v>5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activeCell="D20" sqref="D20"/>
    </sheetView>
  </sheetViews>
  <sheetFormatPr defaultRowHeight="15" x14ac:dyDescent="0.25"/>
  <sheetData>
    <row r="1" spans="1:12" x14ac:dyDescent="0.25">
      <c r="A1" s="3" t="s">
        <v>187</v>
      </c>
      <c r="B1" s="5" t="s">
        <v>181</v>
      </c>
      <c r="C1" s="5" t="s">
        <v>182</v>
      </c>
      <c r="D1" s="5" t="s">
        <v>184</v>
      </c>
      <c r="E1" s="5" t="s">
        <v>185</v>
      </c>
      <c r="F1" s="5" t="s">
        <v>186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</row>
    <row r="2" spans="1:12" x14ac:dyDescent="0.25">
      <c r="A2" s="3"/>
      <c r="B2" s="4" t="s">
        <v>791</v>
      </c>
      <c r="C2" s="4">
        <v>121212</v>
      </c>
      <c r="D2" s="12" t="str">
        <f ca="1">CONCATENATE(RIGHT(TEXT(NOW(),"YYMMDDhhmmss"),11))</f>
        <v>60624113402</v>
      </c>
      <c r="E2" s="12" t="str">
        <f ca="1">CONCATENATE(RIGHT(TEXT(NOW(),"YYMMDDhhmmss"),11))</f>
        <v>60624113402</v>
      </c>
      <c r="F2" s="3" t="s">
        <v>52</v>
      </c>
      <c r="G2" s="2" t="s">
        <v>573</v>
      </c>
      <c r="H2" s="3" t="s">
        <v>598</v>
      </c>
      <c r="I2" s="9" t="s">
        <v>579</v>
      </c>
      <c r="J2" s="3" t="s">
        <v>595</v>
      </c>
      <c r="K2" s="3" t="s">
        <v>526</v>
      </c>
      <c r="L2" s="4" t="s">
        <v>5</v>
      </c>
    </row>
    <row r="3" spans="1:12" x14ac:dyDescent="0.25">
      <c r="A3" s="3" t="s">
        <v>21</v>
      </c>
      <c r="B3" s="3"/>
      <c r="C3" s="4">
        <v>121212</v>
      </c>
      <c r="D3" s="12" t="str">
        <f ca="1">CONCATENATE(RIGHT(TEXT(NOW(),"YYMMDDhhmmss"),11))</f>
        <v>60624113402</v>
      </c>
      <c r="E3" s="12" t="str">
        <f ca="1">CONCATENATE(RIGHT(TEXT(NOW(),"YYMMDDhhmmss"),11))</f>
        <v>60624113402</v>
      </c>
      <c r="F3" s="3" t="s">
        <v>52</v>
      </c>
      <c r="G3" s="2" t="s">
        <v>574</v>
      </c>
      <c r="H3" s="3" t="s">
        <v>599</v>
      </c>
      <c r="I3" s="9" t="s">
        <v>579</v>
      </c>
      <c r="J3" s="3" t="s">
        <v>662</v>
      </c>
      <c r="K3" s="3" t="s">
        <v>526</v>
      </c>
      <c r="L3" s="4" t="s">
        <v>5</v>
      </c>
    </row>
    <row r="4" spans="1:12" x14ac:dyDescent="0.25">
      <c r="A4" s="3" t="s">
        <v>21</v>
      </c>
      <c r="B4" s="4" t="s">
        <v>791</v>
      </c>
      <c r="C4" s="4">
        <v>121212</v>
      </c>
      <c r="D4" s="4"/>
      <c r="E4" s="12" t="str">
        <f ca="1">CONCATENATE(RIGHT(TEXT(NOW(),"YYMMDDhhmmss"),11))</f>
        <v>60624113402</v>
      </c>
      <c r="F4" s="3" t="s">
        <v>52</v>
      </c>
      <c r="G4" s="2" t="s">
        <v>575</v>
      </c>
      <c r="H4" s="3" t="s">
        <v>600</v>
      </c>
      <c r="I4" s="9" t="s">
        <v>579</v>
      </c>
      <c r="J4" s="3" t="s">
        <v>596</v>
      </c>
      <c r="K4" s="3" t="s">
        <v>526</v>
      </c>
      <c r="L4" s="4" t="s">
        <v>5</v>
      </c>
    </row>
    <row r="5" spans="1:12" x14ac:dyDescent="0.25">
      <c r="A5" s="3" t="s">
        <v>21</v>
      </c>
      <c r="B5" s="4" t="s">
        <v>791</v>
      </c>
      <c r="C5" s="4">
        <v>121212</v>
      </c>
      <c r="D5" s="12" t="str">
        <f ca="1">CONCATENATE(RIGHT(TEXT(NOW(),"YYMMDDhhmmss"),11))</f>
        <v>60624113402</v>
      </c>
      <c r="E5" s="12"/>
      <c r="F5" s="3" t="s">
        <v>52</v>
      </c>
      <c r="G5" s="2" t="s">
        <v>576</v>
      </c>
      <c r="H5" s="3" t="s">
        <v>601</v>
      </c>
      <c r="I5" s="9" t="s">
        <v>579</v>
      </c>
      <c r="J5" s="3" t="s">
        <v>597</v>
      </c>
      <c r="K5" s="3" t="s">
        <v>526</v>
      </c>
      <c r="L5" s="4" t="s">
        <v>5</v>
      </c>
    </row>
    <row r="6" spans="1:12" x14ac:dyDescent="0.25">
      <c r="A6" s="3" t="s">
        <v>21</v>
      </c>
      <c r="B6" s="4" t="s">
        <v>791</v>
      </c>
      <c r="C6" s="4">
        <v>121212</v>
      </c>
      <c r="D6" s="12" t="str">
        <f ca="1">CONCATENATE(RIGHT(TEXT(NOW(),"YYMMDDhhmmss"),11))</f>
        <v>60624113402</v>
      </c>
      <c r="E6" s="12" t="str">
        <f ca="1">CONCATENATE(RIGHT(TEXT(NOW(),"YYMMDDhhmmss"),11))</f>
        <v>60624113402</v>
      </c>
      <c r="F6" s="3" t="s">
        <v>52</v>
      </c>
      <c r="G6" s="2" t="s">
        <v>572</v>
      </c>
      <c r="H6" s="3" t="s">
        <v>602</v>
      </c>
      <c r="I6" s="9" t="s">
        <v>579</v>
      </c>
      <c r="J6" s="3" t="s">
        <v>447</v>
      </c>
      <c r="K6" s="3" t="s">
        <v>8</v>
      </c>
      <c r="L6" s="4" t="s">
        <v>5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E6" sqref="E6:J6"/>
    </sheetView>
  </sheetViews>
  <sheetFormatPr defaultRowHeight="15" x14ac:dyDescent="0.25"/>
  <cols>
    <col min="6" max="6" width="40.7109375" bestFit="1" customWidth="1"/>
    <col min="7" max="7" width="16.28515625" bestFit="1" customWidth="1"/>
    <col min="8" max="8" width="34.85546875" bestFit="1" customWidth="1"/>
  </cols>
  <sheetData>
    <row r="1" spans="1:10" x14ac:dyDescent="0.25">
      <c r="A1" s="5" t="s">
        <v>189</v>
      </c>
      <c r="B1" s="5" t="s">
        <v>190</v>
      </c>
      <c r="C1" s="5" t="s">
        <v>191</v>
      </c>
      <c r="D1" s="5" t="s">
        <v>192</v>
      </c>
      <c r="E1" s="4" t="s">
        <v>0</v>
      </c>
      <c r="F1" s="4" t="s">
        <v>9</v>
      </c>
      <c r="G1" s="4" t="s">
        <v>527</v>
      </c>
      <c r="H1" s="3" t="s">
        <v>6</v>
      </c>
      <c r="I1" s="3" t="s">
        <v>7</v>
      </c>
      <c r="J1" s="4" t="s">
        <v>4</v>
      </c>
    </row>
    <row r="2" spans="1:10" x14ac:dyDescent="0.25">
      <c r="A2" s="4"/>
      <c r="B2" s="3" t="s">
        <v>193</v>
      </c>
      <c r="C2" s="4">
        <v>6</v>
      </c>
      <c r="D2" s="3" t="s">
        <v>193</v>
      </c>
      <c r="E2" s="2" t="s">
        <v>573</v>
      </c>
      <c r="F2" s="3" t="s">
        <v>607</v>
      </c>
      <c r="G2" s="9" t="s">
        <v>579</v>
      </c>
      <c r="H2" s="3" t="s">
        <v>603</v>
      </c>
      <c r="I2" s="3" t="s">
        <v>526</v>
      </c>
      <c r="J2" s="4" t="s">
        <v>5</v>
      </c>
    </row>
    <row r="3" spans="1:10" x14ac:dyDescent="0.25">
      <c r="A3" s="4" t="s">
        <v>446</v>
      </c>
      <c r="B3" s="3"/>
      <c r="C3" s="4">
        <v>6</v>
      </c>
      <c r="D3" s="3" t="s">
        <v>193</v>
      </c>
      <c r="E3" s="2" t="s">
        <v>574</v>
      </c>
      <c r="F3" s="3" t="s">
        <v>608</v>
      </c>
      <c r="G3" s="9" t="s">
        <v>579</v>
      </c>
      <c r="H3" s="3" t="s">
        <v>604</v>
      </c>
      <c r="I3" s="3" t="s">
        <v>526</v>
      </c>
      <c r="J3" s="4" t="s">
        <v>5</v>
      </c>
    </row>
    <row r="4" spans="1:10" x14ac:dyDescent="0.25">
      <c r="A4" s="4" t="s">
        <v>446</v>
      </c>
      <c r="B4" s="3" t="s">
        <v>193</v>
      </c>
      <c r="C4" s="4"/>
      <c r="D4" s="3" t="s">
        <v>193</v>
      </c>
      <c r="E4" s="2" t="s">
        <v>575</v>
      </c>
      <c r="F4" s="3" t="s">
        <v>609</v>
      </c>
      <c r="G4" s="9" t="s">
        <v>579</v>
      </c>
      <c r="H4" s="3" t="s">
        <v>605</v>
      </c>
      <c r="I4" s="3" t="s">
        <v>526</v>
      </c>
      <c r="J4" s="4" t="s">
        <v>5</v>
      </c>
    </row>
    <row r="5" spans="1:10" x14ac:dyDescent="0.25">
      <c r="A5" s="4" t="s">
        <v>446</v>
      </c>
      <c r="B5" s="3" t="s">
        <v>193</v>
      </c>
      <c r="C5" s="4">
        <v>6</v>
      </c>
      <c r="D5" s="3"/>
      <c r="E5" s="2" t="s">
        <v>576</v>
      </c>
      <c r="F5" s="3" t="s">
        <v>610</v>
      </c>
      <c r="G5" s="9" t="s">
        <v>579</v>
      </c>
      <c r="H5" s="3" t="s">
        <v>606</v>
      </c>
      <c r="I5" s="3" t="s">
        <v>526</v>
      </c>
      <c r="J5" s="4" t="s">
        <v>5</v>
      </c>
    </row>
    <row r="6" spans="1:10" x14ac:dyDescent="0.25">
      <c r="A6" s="4" t="s">
        <v>446</v>
      </c>
      <c r="B6" s="3" t="s">
        <v>193</v>
      </c>
      <c r="C6" s="4">
        <v>6</v>
      </c>
      <c r="D6" s="3" t="s">
        <v>193</v>
      </c>
      <c r="E6" s="2" t="s">
        <v>572</v>
      </c>
      <c r="F6" s="3" t="s">
        <v>611</v>
      </c>
      <c r="G6" s="9" t="s">
        <v>579</v>
      </c>
      <c r="H6" s="3" t="s">
        <v>447</v>
      </c>
      <c r="I6" s="3" t="s">
        <v>8</v>
      </c>
      <c r="J6" s="4" t="s">
        <v>5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5" x14ac:dyDescent="0.25"/>
  <cols>
    <col min="1" max="1" width="20.28515625" bestFit="1" customWidth="1"/>
  </cols>
  <sheetData>
    <row r="1" spans="1:2" x14ac:dyDescent="0.25">
      <c r="A1" s="3" t="s">
        <v>445</v>
      </c>
      <c r="B1" s="3" t="s">
        <v>0</v>
      </c>
    </row>
    <row r="2" spans="1:2" x14ac:dyDescent="0.25">
      <c r="A2" s="3" t="s">
        <v>445</v>
      </c>
      <c r="B2" s="2" t="s">
        <v>572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E2" sqref="E2"/>
    </sheetView>
  </sheetViews>
  <sheetFormatPr defaultRowHeight="15" x14ac:dyDescent="0.25"/>
  <cols>
    <col min="1" max="1" width="13.5703125" bestFit="1" customWidth="1"/>
    <col min="2" max="2" width="10.5703125" customWidth="1"/>
    <col min="3" max="3" width="35.140625" bestFit="1" customWidth="1"/>
    <col min="4" max="4" width="16.28515625" bestFit="1" customWidth="1"/>
    <col min="5" max="5" width="25.140625" bestFit="1" customWidth="1"/>
  </cols>
  <sheetData>
    <row r="1" spans="1:7" x14ac:dyDescent="0.25">
      <c r="A1" s="3" t="s">
        <v>87</v>
      </c>
      <c r="B1" s="4" t="s">
        <v>0</v>
      </c>
      <c r="C1" s="4" t="s">
        <v>9</v>
      </c>
      <c r="D1" s="4" t="s">
        <v>527</v>
      </c>
      <c r="E1" s="3" t="s">
        <v>6</v>
      </c>
      <c r="F1" s="3" t="s">
        <v>7</v>
      </c>
      <c r="G1" s="4" t="s">
        <v>4</v>
      </c>
    </row>
    <row r="2" spans="1:7" x14ac:dyDescent="0.25">
      <c r="A2" t="s">
        <v>108</v>
      </c>
      <c r="B2" s="2" t="s">
        <v>3</v>
      </c>
      <c r="C2" s="3" t="s">
        <v>794</v>
      </c>
      <c r="D2" s="9" t="s">
        <v>579</v>
      </c>
      <c r="E2" s="3" t="s">
        <v>278</v>
      </c>
      <c r="F2" s="3" t="s">
        <v>8</v>
      </c>
      <c r="G2" s="4" t="s">
        <v>5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D2"/>
    </sheetView>
  </sheetViews>
  <sheetFormatPr defaultRowHeight="15" x14ac:dyDescent="0.25"/>
  <cols>
    <col min="1" max="1" width="5.7109375" bestFit="1" customWidth="1"/>
    <col min="2" max="2" width="32.42578125" bestFit="1" customWidth="1"/>
    <col min="3" max="3" width="19.85546875" bestFit="1" customWidth="1"/>
    <col min="4" max="4" width="10.5703125" bestFit="1" customWidth="1"/>
  </cols>
  <sheetData>
    <row r="1" spans="1:4" x14ac:dyDescent="0.25">
      <c r="A1" s="3" t="s">
        <v>0</v>
      </c>
      <c r="B1" s="3" t="s">
        <v>9</v>
      </c>
      <c r="C1" s="3" t="s">
        <v>6</v>
      </c>
      <c r="D1" s="3" t="s">
        <v>7</v>
      </c>
    </row>
    <row r="2" spans="1:4" x14ac:dyDescent="0.25">
      <c r="A2" s="2" t="s">
        <v>3</v>
      </c>
      <c r="B2" s="3" t="s">
        <v>792</v>
      </c>
      <c r="C2" s="3" t="s">
        <v>278</v>
      </c>
      <c r="D2" s="3" t="s">
        <v>8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2" sqref="C2"/>
    </sheetView>
  </sheetViews>
  <sheetFormatPr defaultRowHeight="15" x14ac:dyDescent="0.25"/>
  <cols>
    <col min="1" max="1" width="15.42578125" style="3" bestFit="1" customWidth="1"/>
    <col min="3" max="3" width="26.85546875" bestFit="1" customWidth="1"/>
    <col min="4" max="4" width="19.85546875" bestFit="1" customWidth="1"/>
  </cols>
  <sheetData>
    <row r="1" spans="1:5" x14ac:dyDescent="0.25">
      <c r="A1" s="4" t="s">
        <v>121</v>
      </c>
      <c r="B1" s="3" t="s">
        <v>0</v>
      </c>
      <c r="C1" s="3" t="s">
        <v>9</v>
      </c>
      <c r="D1" s="3" t="s">
        <v>6</v>
      </c>
      <c r="E1" s="3" t="s">
        <v>7</v>
      </c>
    </row>
    <row r="2" spans="1:5" x14ac:dyDescent="0.25">
      <c r="A2" s="4" t="s">
        <v>23</v>
      </c>
      <c r="B2" s="2" t="s">
        <v>572</v>
      </c>
      <c r="C2" s="3" t="s">
        <v>795</v>
      </c>
      <c r="D2" s="3" t="s">
        <v>278</v>
      </c>
      <c r="E2" s="3" t="s">
        <v>8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5" x14ac:dyDescent="0.25"/>
  <cols>
    <col min="2" max="2" width="26.7109375" bestFit="1" customWidth="1"/>
    <col min="3" max="3" width="19.85546875" bestFit="1" customWidth="1"/>
  </cols>
  <sheetData>
    <row r="1" spans="1:4" x14ac:dyDescent="0.25">
      <c r="A1" s="3" t="s">
        <v>0</v>
      </c>
      <c r="B1" s="3" t="s">
        <v>9</v>
      </c>
      <c r="C1" s="3" t="s">
        <v>6</v>
      </c>
      <c r="D1" s="3" t="s">
        <v>7</v>
      </c>
    </row>
    <row r="2" spans="1:4" x14ac:dyDescent="0.25">
      <c r="A2" s="2" t="s">
        <v>3</v>
      </c>
      <c r="B2" s="3" t="s">
        <v>792</v>
      </c>
      <c r="C2" s="3" t="s">
        <v>278</v>
      </c>
      <c r="D2" s="3" t="s">
        <v>8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A2"/>
    </sheetView>
  </sheetViews>
  <sheetFormatPr defaultRowHeight="15" x14ac:dyDescent="0.25"/>
  <cols>
    <col min="1" max="1" width="9.140625" style="3"/>
    <col min="3" max="3" width="31.42578125" bestFit="1" customWidth="1"/>
    <col min="4" max="4" width="19.85546875" bestFit="1" customWidth="1"/>
    <col min="5" max="5" width="10.5703125" bestFit="1" customWidth="1"/>
  </cols>
  <sheetData>
    <row r="1" spans="1:5" x14ac:dyDescent="0.25">
      <c r="A1" s="4" t="s">
        <v>36</v>
      </c>
      <c r="B1" s="3" t="s">
        <v>0</v>
      </c>
      <c r="C1" s="3" t="s">
        <v>9</v>
      </c>
      <c r="D1" s="3" t="s">
        <v>6</v>
      </c>
      <c r="E1" s="3" t="s">
        <v>7</v>
      </c>
    </row>
    <row r="2" spans="1:5" x14ac:dyDescent="0.25">
      <c r="A2" s="4" t="s">
        <v>169</v>
      </c>
      <c r="B2" s="2" t="s">
        <v>572</v>
      </c>
      <c r="C2" s="3" t="s">
        <v>793</v>
      </c>
      <c r="D2" s="3" t="s">
        <v>278</v>
      </c>
      <c r="E2" s="3" t="s">
        <v>8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2"/>
    </sheetView>
  </sheetViews>
  <sheetFormatPr defaultRowHeight="15" x14ac:dyDescent="0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1" sqref="B1:E2"/>
    </sheetView>
  </sheetViews>
  <sheetFormatPr defaultRowHeight="15" x14ac:dyDescent="0.25"/>
  <cols>
    <col min="1" max="1" width="15" bestFit="1" customWidth="1"/>
    <col min="3" max="3" width="31.42578125" bestFit="1" customWidth="1"/>
    <col min="4" max="4" width="25.140625" bestFit="1" customWidth="1"/>
  </cols>
  <sheetData>
    <row r="1" spans="1:5" x14ac:dyDescent="0.25">
      <c r="A1" s="4" t="s">
        <v>56</v>
      </c>
      <c r="B1" s="3" t="s">
        <v>0</v>
      </c>
      <c r="C1" s="3" t="s">
        <v>9</v>
      </c>
      <c r="D1" s="3" t="s">
        <v>6</v>
      </c>
      <c r="E1" s="3" t="s">
        <v>7</v>
      </c>
    </row>
    <row r="2" spans="1:5" x14ac:dyDescent="0.25">
      <c r="A2" s="4" t="s">
        <v>260</v>
      </c>
      <c r="B2" s="2" t="s">
        <v>572</v>
      </c>
      <c r="C2" s="3" t="s">
        <v>796</v>
      </c>
      <c r="D2" s="3" t="s">
        <v>447</v>
      </c>
      <c r="E2" s="3" t="s">
        <v>8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A2"/>
    </sheetView>
  </sheetViews>
  <sheetFormatPr defaultRowHeight="15" x14ac:dyDescent="0.25"/>
  <cols>
    <col min="2" max="2" width="26.7109375" bestFit="1" customWidth="1"/>
    <col min="3" max="3" width="19.85546875" bestFit="1" customWidth="1"/>
  </cols>
  <sheetData>
    <row r="1" spans="1:4" x14ac:dyDescent="0.25">
      <c r="A1" s="3" t="s">
        <v>0</v>
      </c>
      <c r="B1" s="3" t="s">
        <v>9</v>
      </c>
      <c r="C1" s="3" t="s">
        <v>6</v>
      </c>
      <c r="D1" s="3" t="s">
        <v>7</v>
      </c>
    </row>
    <row r="2" spans="1:4" x14ac:dyDescent="0.25">
      <c r="A2" s="2" t="s">
        <v>3</v>
      </c>
      <c r="B2" s="3" t="s">
        <v>792</v>
      </c>
      <c r="C2" s="3" t="s">
        <v>278</v>
      </c>
      <c r="D2" s="3" t="s">
        <v>8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I15" sqref="I15"/>
    </sheetView>
  </sheetViews>
  <sheetFormatPr defaultRowHeight="15" x14ac:dyDescent="0.25"/>
  <cols>
    <col min="1" max="1" width="20.28515625" style="3" bestFit="1" customWidth="1"/>
    <col min="2" max="16384" width="9.140625" style="3"/>
  </cols>
  <sheetData>
    <row r="1" spans="1:2" x14ac:dyDescent="0.25">
      <c r="A1" s="3" t="s">
        <v>445</v>
      </c>
      <c r="B1" s="3" t="s">
        <v>0</v>
      </c>
    </row>
    <row r="2" spans="1:2" x14ac:dyDescent="0.25">
      <c r="A2" s="4" t="s">
        <v>445</v>
      </c>
      <c r="B2" s="2" t="s">
        <v>572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I7" sqref="I7"/>
    </sheetView>
  </sheetViews>
  <sheetFormatPr defaultRowHeight="15" x14ac:dyDescent="0.25"/>
  <cols>
    <col min="1" max="1" width="20.28515625" bestFit="1" customWidth="1"/>
  </cols>
  <sheetData>
    <row r="1" spans="1:2" x14ac:dyDescent="0.25">
      <c r="A1" s="3" t="s">
        <v>445</v>
      </c>
      <c r="B1" s="3" t="s">
        <v>0</v>
      </c>
    </row>
    <row r="2" spans="1:2" x14ac:dyDescent="0.25">
      <c r="A2" s="4" t="s">
        <v>445</v>
      </c>
      <c r="B2" s="2" t="s">
        <v>572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1" sqref="C1:F2"/>
    </sheetView>
  </sheetViews>
  <sheetFormatPr defaultRowHeight="15" x14ac:dyDescent="0.25"/>
  <cols>
    <col min="1" max="1" width="15.7109375" bestFit="1" customWidth="1"/>
    <col min="2" max="2" width="73.5703125" bestFit="1" customWidth="1"/>
    <col min="4" max="4" width="28.42578125" bestFit="1" customWidth="1"/>
    <col min="5" max="5" width="25.140625" bestFit="1" customWidth="1"/>
  </cols>
  <sheetData>
    <row r="1" spans="1:6" x14ac:dyDescent="0.25">
      <c r="A1" s="4" t="s">
        <v>797</v>
      </c>
      <c r="B1" s="4" t="s">
        <v>428</v>
      </c>
      <c r="C1" s="3" t="s">
        <v>0</v>
      </c>
      <c r="D1" s="3" t="s">
        <v>9</v>
      </c>
      <c r="E1" s="3" t="s">
        <v>6</v>
      </c>
      <c r="F1" s="3" t="s">
        <v>7</v>
      </c>
    </row>
    <row r="2" spans="1:6" x14ac:dyDescent="0.25">
      <c r="A2" s="4" t="s">
        <v>798</v>
      </c>
      <c r="B2" t="s">
        <v>799</v>
      </c>
      <c r="C2" s="2" t="s">
        <v>3</v>
      </c>
      <c r="D2" s="3" t="s">
        <v>800</v>
      </c>
      <c r="E2" s="3"/>
      <c r="F2" s="3" t="s">
        <v>8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2" sqref="A2"/>
    </sheetView>
  </sheetViews>
  <sheetFormatPr defaultRowHeight="15" x14ac:dyDescent="0.25"/>
  <cols>
    <col min="1" max="1" width="11" bestFit="1" customWidth="1"/>
    <col min="4" max="4" width="25" bestFit="1" customWidth="1"/>
    <col min="5" max="5" width="19.28515625" bestFit="1" customWidth="1"/>
  </cols>
  <sheetData>
    <row r="1" spans="1:6" x14ac:dyDescent="0.25">
      <c r="A1" s="4" t="s">
        <v>801</v>
      </c>
      <c r="B1" s="4" t="s">
        <v>802</v>
      </c>
      <c r="C1" s="3" t="s">
        <v>0</v>
      </c>
      <c r="D1" s="3" t="s">
        <v>9</v>
      </c>
      <c r="E1" s="3" t="s">
        <v>6</v>
      </c>
      <c r="F1" s="3" t="s">
        <v>7</v>
      </c>
    </row>
    <row r="2" spans="1:6" x14ac:dyDescent="0.25">
      <c r="A2" s="4">
        <v>1000000009</v>
      </c>
      <c r="B2" s="4">
        <v>9</v>
      </c>
      <c r="C2" s="2" t="s">
        <v>573</v>
      </c>
      <c r="D2" s="3" t="s">
        <v>803</v>
      </c>
      <c r="E2" s="3"/>
      <c r="F2" s="3" t="s">
        <v>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10" sqref="E10"/>
    </sheetView>
  </sheetViews>
  <sheetFormatPr defaultRowHeight="15" x14ac:dyDescent="0.25"/>
  <cols>
    <col min="1" max="1" width="13.140625" bestFit="1" customWidth="1"/>
    <col min="2" max="2" width="18.7109375" bestFit="1" customWidth="1"/>
    <col min="4" max="4" width="26.5703125" bestFit="1" customWidth="1"/>
    <col min="5" max="5" width="19.28515625" bestFit="1" customWidth="1"/>
  </cols>
  <sheetData>
    <row r="1" spans="1:6" x14ac:dyDescent="0.25">
      <c r="A1" s="4" t="s">
        <v>403</v>
      </c>
      <c r="B1" s="4" t="s">
        <v>12</v>
      </c>
      <c r="C1" s="3" t="s">
        <v>0</v>
      </c>
      <c r="D1" s="3" t="s">
        <v>9</v>
      </c>
      <c r="E1" s="3" t="s">
        <v>6</v>
      </c>
      <c r="F1" s="3" t="s">
        <v>7</v>
      </c>
    </row>
    <row r="2" spans="1:6" x14ac:dyDescent="0.25">
      <c r="A2" s="12" t="str">
        <f ca="1">TEXT((NOW()),"YYYY-MM-DD")</f>
        <v>2026-06-24</v>
      </c>
      <c r="B2" t="s">
        <v>804</v>
      </c>
      <c r="C2" s="2" t="s">
        <v>3</v>
      </c>
      <c r="D2" s="3" t="s">
        <v>805</v>
      </c>
      <c r="E2" s="3"/>
      <c r="F2" s="3" t="s">
        <v>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"/>
  <sheetViews>
    <sheetView topLeftCell="L1" workbookViewId="0">
      <selection activeCell="F17" sqref="F17"/>
    </sheetView>
  </sheetViews>
  <sheetFormatPr defaultRowHeight="15" x14ac:dyDescent="0.25"/>
  <cols>
    <col min="1" max="1" width="15.42578125" style="3" bestFit="1" customWidth="1"/>
    <col min="2" max="2" width="23.42578125" style="3" bestFit="1" customWidth="1"/>
    <col min="3" max="3" width="12.42578125" style="3" bestFit="1" customWidth="1"/>
    <col min="4" max="4" width="12.42578125" style="3" customWidth="1"/>
    <col min="5" max="5" width="9.140625" style="3"/>
    <col min="6" max="6" width="48.5703125" style="3" bestFit="1" customWidth="1"/>
    <col min="7" max="7" width="11.85546875" style="3" bestFit="1" customWidth="1"/>
    <col min="8" max="8" width="17.7109375" style="3" bestFit="1" customWidth="1"/>
    <col min="9" max="9" width="9.42578125" style="3" bestFit="1" customWidth="1"/>
    <col min="10" max="10" width="26.140625" style="3" bestFit="1" customWidth="1"/>
    <col min="11" max="11" width="16.42578125" style="3" bestFit="1" customWidth="1"/>
    <col min="12" max="12" width="17.85546875" style="3" bestFit="1" customWidth="1"/>
    <col min="13" max="13" width="17.7109375" style="3" bestFit="1" customWidth="1"/>
    <col min="14" max="14" width="19.28515625" style="3" bestFit="1" customWidth="1"/>
    <col min="15" max="15" width="14.28515625" style="3" bestFit="1" customWidth="1"/>
    <col min="16" max="16" width="24.85546875" style="3" bestFit="1" customWidth="1"/>
    <col min="17" max="17" width="12.7109375" style="3" bestFit="1" customWidth="1"/>
    <col min="18" max="18" width="11.85546875" style="3" bestFit="1" customWidth="1"/>
    <col min="19" max="19" width="13.85546875" style="3" bestFit="1" customWidth="1"/>
    <col min="20" max="20" width="15.42578125" style="3" bestFit="1" customWidth="1"/>
    <col min="21" max="21" width="14.5703125" style="3" bestFit="1" customWidth="1"/>
    <col min="22" max="23" width="9.140625" style="3"/>
    <col min="24" max="24" width="20" style="3" bestFit="1" customWidth="1"/>
    <col min="25" max="25" width="26.42578125" style="3" bestFit="1" customWidth="1"/>
    <col min="26" max="26" width="24.28515625" style="3" bestFit="1" customWidth="1"/>
    <col min="27" max="27" width="24.28515625" style="3" customWidth="1"/>
    <col min="28" max="28" width="18.42578125" style="3" bestFit="1" customWidth="1"/>
    <col min="29" max="29" width="9.28515625" style="3" customWidth="1"/>
    <col min="30" max="30" width="40.5703125" style="3" bestFit="1" customWidth="1"/>
    <col min="31" max="31" width="17.140625" style="3" customWidth="1"/>
    <col min="32" max="32" width="52.28515625" style="3" bestFit="1" customWidth="1"/>
    <col min="33" max="33" width="10.85546875" style="3" customWidth="1"/>
    <col min="34" max="16384" width="9.140625" style="3"/>
  </cols>
  <sheetData>
    <row r="1" spans="1:35" x14ac:dyDescent="0.25">
      <c r="A1" s="3" t="s">
        <v>27</v>
      </c>
      <c r="B1" s="3" t="s">
        <v>187</v>
      </c>
      <c r="C1" s="3" t="s">
        <v>194</v>
      </c>
      <c r="D1" s="3" t="s">
        <v>65</v>
      </c>
      <c r="E1" s="3" t="s">
        <v>195</v>
      </c>
      <c r="F1" s="3" t="s">
        <v>196</v>
      </c>
      <c r="G1" s="3" t="s">
        <v>197</v>
      </c>
      <c r="H1" s="3" t="s">
        <v>198</v>
      </c>
      <c r="I1" s="3" t="s">
        <v>199</v>
      </c>
      <c r="J1" s="3" t="s">
        <v>200</v>
      </c>
      <c r="K1" s="3" t="s">
        <v>201</v>
      </c>
      <c r="L1" s="3" t="s">
        <v>202</v>
      </c>
      <c r="M1" s="3" t="s">
        <v>92</v>
      </c>
      <c r="N1" s="3" t="s">
        <v>93</v>
      </c>
      <c r="O1" s="3" t="s">
        <v>203</v>
      </c>
      <c r="P1" s="3" t="s">
        <v>204</v>
      </c>
      <c r="Q1" s="3" t="s">
        <v>102</v>
      </c>
      <c r="R1" s="3" t="s">
        <v>16</v>
      </c>
      <c r="S1" s="3" t="s">
        <v>205</v>
      </c>
      <c r="T1" s="3" t="s">
        <v>206</v>
      </c>
      <c r="U1" s="3" t="s">
        <v>207</v>
      </c>
      <c r="V1" s="3" t="s">
        <v>208</v>
      </c>
      <c r="W1" s="3" t="s">
        <v>209</v>
      </c>
      <c r="X1" s="3" t="s">
        <v>210</v>
      </c>
      <c r="Y1" s="4" t="s">
        <v>211</v>
      </c>
      <c r="Z1" s="3" t="s">
        <v>212</v>
      </c>
      <c r="AA1" s="3" t="s">
        <v>267</v>
      </c>
      <c r="AB1" s="3" t="s">
        <v>213</v>
      </c>
      <c r="AC1" s="4" t="s">
        <v>0</v>
      </c>
      <c r="AD1" s="4" t="s">
        <v>9</v>
      </c>
      <c r="AE1" s="4" t="s">
        <v>527</v>
      </c>
      <c r="AF1" s="3" t="s">
        <v>6</v>
      </c>
      <c r="AG1" s="3" t="s">
        <v>7</v>
      </c>
      <c r="AH1" s="4" t="s">
        <v>4</v>
      </c>
      <c r="AI1" s="4" t="s">
        <v>84</v>
      </c>
    </row>
    <row r="2" spans="1:35" x14ac:dyDescent="0.25">
      <c r="A2" s="12" t="str">
        <f ca="1">RIGHT(TEXT(NOW(),"DDHHMMs"),7)</f>
        <v>2411342</v>
      </c>
      <c r="B2" s="3" t="s">
        <v>414</v>
      </c>
      <c r="C2" s="4" t="s">
        <v>214</v>
      </c>
      <c r="D2" s="4" t="s">
        <v>23</v>
      </c>
      <c r="E2" s="3" t="s">
        <v>215</v>
      </c>
      <c r="F2" s="4" t="s">
        <v>898</v>
      </c>
      <c r="G2" s="3" t="s">
        <v>224</v>
      </c>
      <c r="H2" s="4" t="s">
        <v>216</v>
      </c>
      <c r="I2" s="3" t="s">
        <v>217</v>
      </c>
      <c r="J2" s="3" t="s">
        <v>218</v>
      </c>
      <c r="K2" s="4" t="s">
        <v>216</v>
      </c>
      <c r="L2" s="4" t="s">
        <v>219</v>
      </c>
      <c r="M2" s="4" t="s">
        <v>220</v>
      </c>
      <c r="N2" s="4" t="s">
        <v>221</v>
      </c>
      <c r="O2" s="4" t="s">
        <v>222</v>
      </c>
      <c r="P2" s="3" t="s">
        <v>223</v>
      </c>
      <c r="Q2" s="3" t="s">
        <v>23</v>
      </c>
      <c r="R2" s="3" t="s">
        <v>224</v>
      </c>
      <c r="S2" s="4">
        <v>12</v>
      </c>
      <c r="T2" s="4">
        <v>123</v>
      </c>
      <c r="U2" s="4">
        <v>1234</v>
      </c>
      <c r="V2" s="4">
        <v>1234</v>
      </c>
      <c r="W2" s="3" t="s">
        <v>225</v>
      </c>
      <c r="X2" s="3" t="s">
        <v>23</v>
      </c>
      <c r="Y2" s="4"/>
      <c r="Z2" s="4" t="s">
        <v>226</v>
      </c>
      <c r="AA2" s="4"/>
      <c r="AB2" s="3" t="s">
        <v>227</v>
      </c>
      <c r="AC2" s="2" t="s">
        <v>3</v>
      </c>
      <c r="AD2" s="4" t="s">
        <v>571</v>
      </c>
      <c r="AE2" s="2" t="s">
        <v>579</v>
      </c>
      <c r="AF2" s="3" t="s">
        <v>285</v>
      </c>
      <c r="AG2" s="3" t="s">
        <v>8</v>
      </c>
      <c r="AH2" s="4" t="s">
        <v>5</v>
      </c>
      <c r="AI2" s="3" t="s">
        <v>84</v>
      </c>
    </row>
    <row r="3" spans="1:35" x14ac:dyDescent="0.25">
      <c r="A3" s="6"/>
    </row>
    <row r="4" spans="1:35" x14ac:dyDescent="0.25">
      <c r="A4" s="6"/>
    </row>
    <row r="5" spans="1:35" x14ac:dyDescent="0.25">
      <c r="A5" s="6"/>
    </row>
    <row r="6" spans="1:35" x14ac:dyDescent="0.25">
      <c r="A6" s="6"/>
    </row>
    <row r="7" spans="1:35" x14ac:dyDescent="0.25">
      <c r="A7" s="6"/>
    </row>
    <row r="8" spans="1:35" x14ac:dyDescent="0.25">
      <c r="A8" s="6"/>
    </row>
    <row r="9" spans="1:35" x14ac:dyDescent="0.25">
      <c r="A9" s="6"/>
    </row>
    <row r="10" spans="1:35" x14ac:dyDescent="0.25">
      <c r="A10" s="6"/>
    </row>
    <row r="11" spans="1:35" x14ac:dyDescent="0.25">
      <c r="A11" s="6"/>
    </row>
    <row r="12" spans="1:35" x14ac:dyDescent="0.25">
      <c r="A12" s="6"/>
    </row>
    <row r="13" spans="1:35" x14ac:dyDescent="0.25">
      <c r="A13" s="6"/>
    </row>
    <row r="14" spans="1:35" x14ac:dyDescent="0.25">
      <c r="A14" s="6"/>
    </row>
    <row r="15" spans="1:35" x14ac:dyDescent="0.25">
      <c r="A15" s="6"/>
    </row>
    <row r="16" spans="1:35" x14ac:dyDescent="0.25">
      <c r="A16" s="6"/>
    </row>
    <row r="17" spans="1:1" x14ac:dyDescent="0.25">
      <c r="A17" s="6"/>
    </row>
    <row r="18" spans="1:1" x14ac:dyDescent="0.25">
      <c r="A18" s="6"/>
    </row>
    <row r="19" spans="1:1" x14ac:dyDescent="0.25">
      <c r="A19" s="6"/>
    </row>
    <row r="20" spans="1:1" x14ac:dyDescent="0.25">
      <c r="A20" s="6"/>
    </row>
    <row r="21" spans="1:1" x14ac:dyDescent="0.25">
      <c r="A21" s="6"/>
    </row>
    <row r="22" spans="1:1" x14ac:dyDescent="0.25">
      <c r="A22" s="10"/>
    </row>
  </sheetData>
  <pageMargins left="0.7" right="0.7" top="0.75" bottom="0.75" header="0.3" footer="0.3"/>
  <pageSetup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topLeftCell="M1" workbookViewId="0">
      <selection activeCell="S27" sqref="S27"/>
    </sheetView>
  </sheetViews>
  <sheetFormatPr defaultRowHeight="15" x14ac:dyDescent="0.25"/>
  <cols>
    <col min="1" max="1" width="16.85546875" style="3" bestFit="1" customWidth="1"/>
    <col min="2" max="2" width="9.5703125" style="3" customWidth="1"/>
    <col min="3" max="3" width="16" style="3" customWidth="1"/>
    <col min="4" max="4" width="23.140625" style="3" bestFit="1" customWidth="1"/>
    <col min="5" max="5" width="18.42578125" style="3" bestFit="1" customWidth="1"/>
    <col min="6" max="6" width="9.140625" style="3"/>
    <col min="7" max="7" width="20.7109375" style="3" bestFit="1" customWidth="1"/>
    <col min="8" max="8" width="11.5703125" style="3" bestFit="1" customWidth="1"/>
    <col min="9" max="9" width="17.42578125" style="3" bestFit="1" customWidth="1"/>
    <col min="10" max="10" width="24.28515625" style="3" bestFit="1" customWidth="1"/>
    <col min="11" max="11" width="27.42578125" style="3" bestFit="1" customWidth="1"/>
    <col min="12" max="12" width="9.140625" style="3"/>
    <col min="13" max="13" width="15.42578125" style="3" bestFit="1" customWidth="1"/>
    <col min="14" max="14" width="17.5703125" style="3" bestFit="1" customWidth="1"/>
    <col min="15" max="15" width="14.5703125" style="3" bestFit="1" customWidth="1"/>
    <col min="16" max="16" width="10.7109375" style="3" bestFit="1" customWidth="1"/>
    <col min="17" max="18" width="9.140625" style="3"/>
    <col min="19" max="19" width="36.7109375" style="3" bestFit="1" customWidth="1"/>
    <col min="20" max="20" width="16.28515625" style="3" bestFit="1" customWidth="1"/>
    <col min="21" max="21" width="19.28515625" style="3" bestFit="1" customWidth="1"/>
    <col min="22" max="22" width="14.28515625" style="3" customWidth="1"/>
    <col min="23" max="16384" width="9.140625" style="3"/>
  </cols>
  <sheetData>
    <row r="1" spans="1:23" x14ac:dyDescent="0.25">
      <c r="A1" s="4" t="s">
        <v>229</v>
      </c>
      <c r="B1" s="4" t="s">
        <v>230</v>
      </c>
      <c r="C1" s="4" t="s">
        <v>231</v>
      </c>
      <c r="D1" s="4" t="s">
        <v>232</v>
      </c>
      <c r="E1" s="4" t="s">
        <v>233</v>
      </c>
      <c r="F1" s="4" t="s">
        <v>234</v>
      </c>
      <c r="G1" s="4" t="s">
        <v>235</v>
      </c>
      <c r="H1" s="4" t="s">
        <v>236</v>
      </c>
      <c r="I1" s="4" t="s">
        <v>237</v>
      </c>
      <c r="J1" s="4" t="s">
        <v>238</v>
      </c>
      <c r="K1" s="4" t="s">
        <v>249</v>
      </c>
      <c r="L1" s="4" t="s">
        <v>239</v>
      </c>
      <c r="M1" s="4" t="s">
        <v>240</v>
      </c>
      <c r="N1" s="4" t="s">
        <v>241</v>
      </c>
      <c r="O1" s="4" t="s">
        <v>242</v>
      </c>
      <c r="P1" s="4" t="s">
        <v>243</v>
      </c>
      <c r="Q1" s="4" t="s">
        <v>244</v>
      </c>
      <c r="R1" s="4" t="s">
        <v>0</v>
      </c>
      <c r="S1" s="4" t="s">
        <v>9</v>
      </c>
      <c r="T1" s="4" t="s">
        <v>527</v>
      </c>
      <c r="U1" s="3" t="s">
        <v>6</v>
      </c>
      <c r="V1" s="3" t="s">
        <v>7</v>
      </c>
      <c r="W1" s="4" t="s">
        <v>4</v>
      </c>
    </row>
    <row r="2" spans="1:23" x14ac:dyDescent="0.25">
      <c r="A2" s="4" t="s">
        <v>245</v>
      </c>
      <c r="B2" s="4">
        <v>3</v>
      </c>
      <c r="C2" s="4">
        <v>2</v>
      </c>
      <c r="D2" s="4">
        <v>3</v>
      </c>
      <c r="E2" s="4"/>
      <c r="F2" s="4" t="s">
        <v>23</v>
      </c>
      <c r="G2" s="4" t="s">
        <v>23</v>
      </c>
      <c r="H2" s="4" t="s">
        <v>246</v>
      </c>
      <c r="I2" s="4">
        <v>4</v>
      </c>
      <c r="J2" s="4">
        <v>1111</v>
      </c>
      <c r="K2" s="4">
        <v>111</v>
      </c>
      <c r="L2" s="4" t="s">
        <v>23</v>
      </c>
      <c r="M2" s="4" t="s">
        <v>107</v>
      </c>
      <c r="N2" s="4" t="s">
        <v>247</v>
      </c>
      <c r="O2" s="4" t="s">
        <v>23</v>
      </c>
      <c r="P2" s="4">
        <v>2</v>
      </c>
      <c r="Q2" s="4">
        <v>3</v>
      </c>
      <c r="R2" s="2" t="s">
        <v>573</v>
      </c>
      <c r="S2" s="4" t="s">
        <v>624</v>
      </c>
      <c r="T2" s="4" t="s">
        <v>528</v>
      </c>
      <c r="U2" s="2" t="s">
        <v>579</v>
      </c>
      <c r="V2" s="4" t="s">
        <v>526</v>
      </c>
      <c r="W2" s="4" t="s">
        <v>5</v>
      </c>
    </row>
    <row r="3" spans="1:23" x14ac:dyDescent="0.25">
      <c r="A3" s="4" t="s">
        <v>245</v>
      </c>
      <c r="B3" s="4">
        <v>3</v>
      </c>
      <c r="C3" s="4">
        <v>2</v>
      </c>
      <c r="D3" s="4">
        <v>3</v>
      </c>
      <c r="E3" s="4" t="s">
        <v>246</v>
      </c>
      <c r="F3" s="4" t="s">
        <v>23</v>
      </c>
      <c r="G3" s="4" t="s">
        <v>23</v>
      </c>
      <c r="H3" s="4" t="s">
        <v>246</v>
      </c>
      <c r="I3" s="4">
        <v>4</v>
      </c>
      <c r="J3" s="4">
        <v>1111</v>
      </c>
      <c r="K3" s="4">
        <v>111</v>
      </c>
      <c r="L3" s="4" t="s">
        <v>23</v>
      </c>
      <c r="M3" s="4"/>
      <c r="N3" s="4" t="s">
        <v>247</v>
      </c>
      <c r="O3" s="4" t="s">
        <v>23</v>
      </c>
      <c r="P3" s="4">
        <v>2</v>
      </c>
      <c r="Q3" s="4">
        <v>3</v>
      </c>
      <c r="R3" s="2" t="s">
        <v>574</v>
      </c>
      <c r="S3" s="4" t="s">
        <v>625</v>
      </c>
      <c r="T3" s="4" t="s">
        <v>528</v>
      </c>
      <c r="U3" s="2" t="s">
        <v>579</v>
      </c>
      <c r="V3" s="4" t="s">
        <v>526</v>
      </c>
      <c r="W3" s="4" t="s">
        <v>5</v>
      </c>
    </row>
    <row r="4" spans="1:23" x14ac:dyDescent="0.25">
      <c r="A4" s="4" t="s">
        <v>245</v>
      </c>
      <c r="B4" s="4">
        <v>3</v>
      </c>
      <c r="C4" s="4">
        <v>2</v>
      </c>
      <c r="D4" s="4">
        <v>3</v>
      </c>
      <c r="E4" s="4" t="s">
        <v>246</v>
      </c>
      <c r="F4" s="4" t="s">
        <v>23</v>
      </c>
      <c r="G4" s="4" t="s">
        <v>23</v>
      </c>
      <c r="H4" s="4" t="s">
        <v>246</v>
      </c>
      <c r="I4" s="4">
        <v>4</v>
      </c>
      <c r="J4" s="4">
        <v>1111</v>
      </c>
      <c r="K4" s="4">
        <v>111</v>
      </c>
      <c r="L4" s="4" t="s">
        <v>23</v>
      </c>
      <c r="M4" s="4" t="s">
        <v>107</v>
      </c>
      <c r="N4" s="4"/>
      <c r="O4" s="4" t="s">
        <v>23</v>
      </c>
      <c r="P4" s="4">
        <v>2</v>
      </c>
      <c r="Q4" s="4">
        <v>3</v>
      </c>
      <c r="R4" s="2" t="s">
        <v>575</v>
      </c>
      <c r="S4" s="4" t="s">
        <v>626</v>
      </c>
      <c r="T4" s="4" t="s">
        <v>528</v>
      </c>
      <c r="U4" s="2" t="s">
        <v>579</v>
      </c>
      <c r="V4" s="4" t="s">
        <v>526</v>
      </c>
      <c r="W4" s="4" t="s">
        <v>5</v>
      </c>
    </row>
    <row r="5" spans="1:23" x14ac:dyDescent="0.25">
      <c r="A5" s="4" t="s">
        <v>245</v>
      </c>
      <c r="B5" s="4">
        <v>3</v>
      </c>
      <c r="C5" s="4">
        <v>2</v>
      </c>
      <c r="D5" s="4">
        <v>3</v>
      </c>
      <c r="E5" s="4" t="s">
        <v>246</v>
      </c>
      <c r="F5" s="4" t="s">
        <v>23</v>
      </c>
      <c r="G5" s="4" t="s">
        <v>23</v>
      </c>
      <c r="H5" s="4" t="s">
        <v>246</v>
      </c>
      <c r="I5" s="4">
        <v>4</v>
      </c>
      <c r="J5" s="4">
        <v>1111</v>
      </c>
      <c r="K5" s="4">
        <v>111</v>
      </c>
      <c r="L5" s="4" t="s">
        <v>23</v>
      </c>
      <c r="M5" s="4" t="s">
        <v>107</v>
      </c>
      <c r="N5" s="4" t="s">
        <v>247</v>
      </c>
      <c r="O5" s="4" t="s">
        <v>23</v>
      </c>
      <c r="P5" s="4">
        <v>2</v>
      </c>
      <c r="Q5" s="4">
        <v>3</v>
      </c>
      <c r="R5" s="2" t="s">
        <v>572</v>
      </c>
      <c r="S5" s="4" t="s">
        <v>248</v>
      </c>
      <c r="T5" s="2" t="s">
        <v>579</v>
      </c>
      <c r="U5" s="4" t="s">
        <v>285</v>
      </c>
      <c r="V5" s="4" t="s">
        <v>8</v>
      </c>
      <c r="W5" s="4" t="s">
        <v>5</v>
      </c>
    </row>
  </sheetData>
  <pageMargins left="0.7" right="0.7" top="0.75" bottom="0.75" header="0.3" footer="0.3"/>
  <pageSetup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selection activeCell="E12" sqref="E12"/>
    </sheetView>
  </sheetViews>
  <sheetFormatPr defaultRowHeight="15" x14ac:dyDescent="0.25"/>
  <cols>
    <col min="1" max="1" width="16.85546875" style="3" bestFit="1" customWidth="1"/>
    <col min="2" max="2" width="9.5703125" style="3" customWidth="1"/>
    <col min="3" max="3" width="16" style="3" customWidth="1"/>
    <col min="4" max="4" width="23.140625" style="3" bestFit="1" customWidth="1"/>
    <col min="5" max="5" width="18.42578125" style="3" bestFit="1" customWidth="1"/>
    <col min="6" max="6" width="9.140625" style="3"/>
    <col min="7" max="7" width="20.7109375" style="3" bestFit="1" customWidth="1"/>
    <col min="8" max="8" width="11.5703125" style="3" bestFit="1" customWidth="1"/>
    <col min="9" max="9" width="17.42578125" style="3" bestFit="1" customWidth="1"/>
    <col min="10" max="10" width="24.28515625" style="3" bestFit="1" customWidth="1"/>
    <col min="11" max="11" width="27.42578125" style="3" bestFit="1" customWidth="1"/>
    <col min="12" max="12" width="9.140625" style="3"/>
    <col min="13" max="13" width="15.42578125" style="3" bestFit="1" customWidth="1"/>
    <col min="14" max="14" width="17.5703125" style="3" bestFit="1" customWidth="1"/>
    <col min="15" max="15" width="14.5703125" style="3" bestFit="1" customWidth="1"/>
    <col min="16" max="16" width="10.7109375" style="3" bestFit="1" customWidth="1"/>
    <col min="17" max="18" width="9.140625" style="3"/>
    <col min="19" max="19" width="36.7109375" style="3" bestFit="1" customWidth="1"/>
    <col min="20" max="20" width="16.28515625" style="3" bestFit="1" customWidth="1"/>
    <col min="21" max="21" width="19.28515625" style="3" bestFit="1" customWidth="1"/>
    <col min="22" max="22" width="14.28515625" style="3" customWidth="1"/>
    <col min="23" max="16384" width="9.140625" style="3"/>
  </cols>
  <sheetData>
    <row r="1" spans="1:23" x14ac:dyDescent="0.25">
      <c r="A1" s="4" t="s">
        <v>229</v>
      </c>
      <c r="B1" s="4" t="s">
        <v>230</v>
      </c>
      <c r="C1" s="4" t="s">
        <v>231</v>
      </c>
      <c r="D1" s="4" t="s">
        <v>232</v>
      </c>
      <c r="E1" s="4" t="s">
        <v>233</v>
      </c>
      <c r="F1" s="4" t="s">
        <v>234</v>
      </c>
      <c r="G1" s="4" t="s">
        <v>235</v>
      </c>
      <c r="H1" s="4" t="s">
        <v>236</v>
      </c>
      <c r="I1" s="4" t="s">
        <v>237</v>
      </c>
      <c r="J1" s="4" t="s">
        <v>238</v>
      </c>
      <c r="K1" s="4" t="s">
        <v>249</v>
      </c>
      <c r="L1" s="4" t="s">
        <v>239</v>
      </c>
      <c r="M1" s="4" t="s">
        <v>240</v>
      </c>
      <c r="N1" s="4" t="s">
        <v>241</v>
      </c>
      <c r="O1" s="4" t="s">
        <v>242</v>
      </c>
      <c r="P1" s="4" t="s">
        <v>243</v>
      </c>
      <c r="Q1" s="4" t="s">
        <v>244</v>
      </c>
      <c r="R1" s="4" t="s">
        <v>0</v>
      </c>
      <c r="S1" s="4" t="s">
        <v>9</v>
      </c>
      <c r="T1" s="4" t="s">
        <v>527</v>
      </c>
      <c r="U1" s="3" t="s">
        <v>6</v>
      </c>
      <c r="V1" s="3" t="s">
        <v>7</v>
      </c>
      <c r="W1" s="4" t="s">
        <v>4</v>
      </c>
    </row>
    <row r="2" spans="1:23" x14ac:dyDescent="0.25">
      <c r="A2" s="4" t="s">
        <v>245</v>
      </c>
      <c r="B2" s="4">
        <v>3</v>
      </c>
      <c r="C2" s="4">
        <v>2</v>
      </c>
      <c r="D2" s="4">
        <v>3</v>
      </c>
      <c r="E2" s="4" t="s">
        <v>246</v>
      </c>
      <c r="F2" s="4" t="s">
        <v>23</v>
      </c>
      <c r="G2" s="4" t="s">
        <v>23</v>
      </c>
      <c r="H2" s="4" t="s">
        <v>246</v>
      </c>
      <c r="I2" s="4">
        <v>4</v>
      </c>
      <c r="J2" s="4">
        <v>1111</v>
      </c>
      <c r="K2" s="4">
        <v>111</v>
      </c>
      <c r="L2" s="4" t="s">
        <v>23</v>
      </c>
      <c r="M2" s="4" t="s">
        <v>107</v>
      </c>
      <c r="N2" s="4" t="s">
        <v>247</v>
      </c>
      <c r="O2" s="4" t="s">
        <v>23</v>
      </c>
      <c r="P2" s="4">
        <v>2</v>
      </c>
      <c r="Q2" s="4">
        <v>3</v>
      </c>
      <c r="R2" s="2" t="s">
        <v>572</v>
      </c>
      <c r="S2" s="4" t="s">
        <v>248</v>
      </c>
      <c r="T2" s="2" t="s">
        <v>579</v>
      </c>
      <c r="U2" s="4" t="s">
        <v>285</v>
      </c>
      <c r="V2" s="4" t="s">
        <v>8</v>
      </c>
      <c r="W2" s="4" t="s">
        <v>5</v>
      </c>
    </row>
  </sheetData>
  <pageMargins left="0.7" right="0.7" top="0.75" bottom="0.75" header="0.3" footer="0.3"/>
  <pageSetup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21" sqref="D21"/>
    </sheetView>
  </sheetViews>
  <sheetFormatPr defaultRowHeight="15" x14ac:dyDescent="0.25"/>
  <cols>
    <col min="1" max="1" width="18" style="3" bestFit="1" customWidth="1"/>
    <col min="2" max="2" width="27.140625" style="3" bestFit="1" customWidth="1"/>
    <col min="3" max="3" width="9.140625" style="3"/>
    <col min="4" max="4" width="31.140625" style="3" bestFit="1" customWidth="1"/>
    <col min="5" max="16384" width="9.140625" style="3"/>
  </cols>
  <sheetData>
    <row r="1" spans="1:5" x14ac:dyDescent="0.25">
      <c r="A1" s="3" t="s">
        <v>250</v>
      </c>
      <c r="B1" s="3" t="s">
        <v>251</v>
      </c>
      <c r="C1" s="4" t="s">
        <v>0</v>
      </c>
      <c r="D1" s="4" t="s">
        <v>9</v>
      </c>
      <c r="E1" s="4" t="s">
        <v>4</v>
      </c>
    </row>
    <row r="2" spans="1:5" x14ac:dyDescent="0.25">
      <c r="A2" s="4" t="s">
        <v>245</v>
      </c>
      <c r="B2" s="4" t="s">
        <v>245</v>
      </c>
      <c r="C2" s="2" t="s">
        <v>572</v>
      </c>
      <c r="D2" s="4" t="s">
        <v>439</v>
      </c>
      <c r="E2" s="4" t="s">
        <v>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H16" sqref="H16"/>
    </sheetView>
  </sheetViews>
  <sheetFormatPr defaultRowHeight="15" x14ac:dyDescent="0.25"/>
  <cols>
    <col min="1" max="1" width="17" style="3" bestFit="1" customWidth="1"/>
    <col min="2" max="5" width="9.140625" style="3"/>
    <col min="6" max="7" width="10.140625" style="3" customWidth="1"/>
    <col min="8" max="11" width="12" style="3" bestFit="1" customWidth="1"/>
    <col min="12" max="15" width="9.140625" style="3"/>
    <col min="16" max="16" width="11.42578125" style="3" bestFit="1" customWidth="1"/>
    <col min="17" max="16384" width="9.140625" style="3"/>
  </cols>
  <sheetData>
    <row r="1" spans="1:19" x14ac:dyDescent="0.25">
      <c r="A1" s="1" t="s">
        <v>31</v>
      </c>
      <c r="B1" s="1" t="s">
        <v>32</v>
      </c>
      <c r="C1" s="1" t="s">
        <v>33</v>
      </c>
      <c r="D1" s="3" t="s">
        <v>34</v>
      </c>
      <c r="E1" s="1" t="s">
        <v>35</v>
      </c>
      <c r="F1" s="1" t="s">
        <v>36</v>
      </c>
      <c r="G1" s="3" t="s">
        <v>161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4" t="s">
        <v>0</v>
      </c>
      <c r="R1" s="4" t="s">
        <v>9</v>
      </c>
      <c r="S1" s="4" t="s">
        <v>4</v>
      </c>
    </row>
    <row r="2" spans="1:19" x14ac:dyDescent="0.25">
      <c r="A2" s="4" t="s">
        <v>253</v>
      </c>
      <c r="B2" s="4" t="s">
        <v>254</v>
      </c>
      <c r="C2" s="4" t="s">
        <v>49</v>
      </c>
      <c r="D2" s="4">
        <v>1234</v>
      </c>
      <c r="E2" s="4" t="s">
        <v>50</v>
      </c>
      <c r="F2" s="4" t="s">
        <v>51</v>
      </c>
      <c r="G2" s="4" t="s">
        <v>255</v>
      </c>
      <c r="H2" s="4" t="s">
        <v>54</v>
      </c>
      <c r="I2" s="4" t="s">
        <v>54</v>
      </c>
      <c r="J2" s="13" t="str">
        <f ca="1">CONCATENATE(RIGHT(TEXT(NOW(),"YYMMDDhhmmss"),11))</f>
        <v>60624113402</v>
      </c>
      <c r="K2" s="13" t="str">
        <f ca="1">CONCATENATE(RIGHT(TEXT(NOW(),"YYMMDDhhmmss"),11))</f>
        <v>60624113402</v>
      </c>
      <c r="L2" s="4">
        <v>1234</v>
      </c>
      <c r="M2" s="4" t="s">
        <v>52</v>
      </c>
      <c r="N2" s="4" t="s">
        <v>52</v>
      </c>
      <c r="O2" s="4">
        <v>111</v>
      </c>
      <c r="P2" s="4">
        <v>1234</v>
      </c>
      <c r="Q2" s="2" t="s">
        <v>572</v>
      </c>
      <c r="R2" s="4" t="s">
        <v>252</v>
      </c>
      <c r="S2" s="4" t="s">
        <v>5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workbookViewId="0">
      <selection activeCell="F13" sqref="F13"/>
    </sheetView>
  </sheetViews>
  <sheetFormatPr defaultRowHeight="15" x14ac:dyDescent="0.25"/>
  <cols>
    <col min="1" max="1" width="15.42578125" style="3" bestFit="1" customWidth="1"/>
    <col min="2" max="2" width="23.42578125" style="3" bestFit="1" customWidth="1"/>
    <col min="3" max="3" width="12.42578125" style="3" bestFit="1" customWidth="1"/>
    <col min="4" max="4" width="12.42578125" style="3" customWidth="1"/>
    <col min="5" max="5" width="9.140625" style="3"/>
    <col min="6" max="6" width="48.5703125" style="3" bestFit="1" customWidth="1"/>
    <col min="7" max="7" width="11.85546875" style="3" bestFit="1" customWidth="1"/>
    <col min="8" max="8" width="17.7109375" style="3" bestFit="1" customWidth="1"/>
    <col min="9" max="9" width="9.42578125" style="3" bestFit="1" customWidth="1"/>
    <col min="10" max="10" width="26.140625" style="3" bestFit="1" customWidth="1"/>
    <col min="11" max="11" width="16.42578125" style="3" bestFit="1" customWidth="1"/>
    <col min="12" max="12" width="17.85546875" style="3" bestFit="1" customWidth="1"/>
    <col min="13" max="13" width="17.7109375" style="3" bestFit="1" customWidth="1"/>
    <col min="14" max="14" width="19.28515625" style="3" bestFit="1" customWidth="1"/>
    <col min="15" max="15" width="14.28515625" style="3" bestFit="1" customWidth="1"/>
    <col min="16" max="16" width="24.85546875" style="3" bestFit="1" customWidth="1"/>
    <col min="17" max="17" width="12.7109375" style="3" bestFit="1" customWidth="1"/>
    <col min="18" max="18" width="11.85546875" style="3" bestFit="1" customWidth="1"/>
    <col min="19" max="19" width="13.85546875" style="3" bestFit="1" customWidth="1"/>
    <col min="20" max="20" width="15.42578125" style="3" bestFit="1" customWidth="1"/>
    <col min="21" max="21" width="14.5703125" style="3" bestFit="1" customWidth="1"/>
    <col min="22" max="23" width="9.140625" style="3"/>
    <col min="24" max="24" width="20" style="3" bestFit="1" customWidth="1"/>
    <col min="25" max="25" width="26.42578125" style="3" bestFit="1" customWidth="1"/>
    <col min="26" max="26" width="24.28515625" style="3" bestFit="1" customWidth="1"/>
    <col min="27" max="27" width="24.28515625" style="3" customWidth="1"/>
    <col min="28" max="28" width="18.42578125" style="3" bestFit="1" customWidth="1"/>
    <col min="29" max="29" width="22.42578125" style="3" bestFit="1" customWidth="1"/>
    <col min="30" max="30" width="9.28515625" style="3" customWidth="1"/>
    <col min="31" max="31" width="40.5703125" style="3" bestFit="1" customWidth="1"/>
    <col min="32" max="32" width="17.140625" style="3" customWidth="1"/>
    <col min="33" max="33" width="52.28515625" style="3" bestFit="1" customWidth="1"/>
    <col min="34" max="34" width="10.85546875" style="3" customWidth="1"/>
    <col min="35" max="16384" width="9.140625" style="3"/>
  </cols>
  <sheetData>
    <row r="1" spans="1:36" x14ac:dyDescent="0.25">
      <c r="A1" s="3" t="s">
        <v>27</v>
      </c>
      <c r="B1" s="3" t="s">
        <v>187</v>
      </c>
      <c r="C1" s="3" t="s">
        <v>194</v>
      </c>
      <c r="D1" s="3" t="s">
        <v>65</v>
      </c>
      <c r="E1" s="3" t="s">
        <v>195</v>
      </c>
      <c r="F1" s="3" t="s">
        <v>196</v>
      </c>
      <c r="G1" s="3" t="s">
        <v>197</v>
      </c>
      <c r="H1" s="3" t="s">
        <v>198</v>
      </c>
      <c r="I1" s="3" t="s">
        <v>199</v>
      </c>
      <c r="J1" s="3" t="s">
        <v>200</v>
      </c>
      <c r="K1" s="3" t="s">
        <v>201</v>
      </c>
      <c r="L1" s="3" t="s">
        <v>202</v>
      </c>
      <c r="M1" s="3" t="s">
        <v>92</v>
      </c>
      <c r="N1" s="3" t="s">
        <v>93</v>
      </c>
      <c r="O1" s="3" t="s">
        <v>203</v>
      </c>
      <c r="P1" s="3" t="s">
        <v>204</v>
      </c>
      <c r="Q1" s="3" t="s">
        <v>102</v>
      </c>
      <c r="R1" s="3" t="s">
        <v>16</v>
      </c>
      <c r="S1" s="3" t="s">
        <v>205</v>
      </c>
      <c r="T1" s="3" t="s">
        <v>206</v>
      </c>
      <c r="U1" s="3" t="s">
        <v>207</v>
      </c>
      <c r="V1" s="3" t="s">
        <v>208</v>
      </c>
      <c r="W1" s="3" t="s">
        <v>209</v>
      </c>
      <c r="X1" s="3" t="s">
        <v>210</v>
      </c>
      <c r="Y1" s="4" t="s">
        <v>211</v>
      </c>
      <c r="Z1" s="3" t="s">
        <v>212</v>
      </c>
      <c r="AA1" s="3" t="s">
        <v>267</v>
      </c>
      <c r="AB1" s="3" t="s">
        <v>213</v>
      </c>
      <c r="AC1" s="3" t="s">
        <v>104</v>
      </c>
      <c r="AD1" s="4" t="s">
        <v>0</v>
      </c>
      <c r="AE1" s="4" t="s">
        <v>9</v>
      </c>
      <c r="AF1" s="4" t="s">
        <v>527</v>
      </c>
      <c r="AG1" s="3" t="s">
        <v>6</v>
      </c>
      <c r="AH1" s="3" t="s">
        <v>7</v>
      </c>
      <c r="AI1" s="4" t="s">
        <v>4</v>
      </c>
      <c r="AJ1" s="4" t="s">
        <v>84</v>
      </c>
    </row>
    <row r="2" spans="1:36" x14ac:dyDescent="0.25">
      <c r="A2" s="12" t="str">
        <f ca="1">RIGHT(TEXT(NOW(),"DDHHMMs"),7)</f>
        <v>2411342</v>
      </c>
      <c r="B2" s="3" t="s">
        <v>414</v>
      </c>
      <c r="C2" s="4" t="s">
        <v>214</v>
      </c>
      <c r="D2" s="4" t="s">
        <v>23</v>
      </c>
      <c r="E2" s="3" t="s">
        <v>215</v>
      </c>
      <c r="F2" s="4" t="s">
        <v>898</v>
      </c>
      <c r="G2" s="3" t="s">
        <v>224</v>
      </c>
      <c r="H2" s="4" t="s">
        <v>216</v>
      </c>
      <c r="I2" s="3" t="s">
        <v>217</v>
      </c>
      <c r="J2" s="3" t="s">
        <v>218</v>
      </c>
      <c r="K2" s="4" t="s">
        <v>216</v>
      </c>
      <c r="L2" s="4" t="s">
        <v>219</v>
      </c>
      <c r="M2" s="4" t="s">
        <v>220</v>
      </c>
      <c r="N2" s="4" t="s">
        <v>221</v>
      </c>
      <c r="O2" s="4" t="s">
        <v>222</v>
      </c>
      <c r="P2" s="3" t="s">
        <v>223</v>
      </c>
      <c r="Q2" s="3" t="s">
        <v>23</v>
      </c>
      <c r="R2" s="3" t="s">
        <v>224</v>
      </c>
      <c r="S2" s="4">
        <v>12</v>
      </c>
      <c r="T2" s="4">
        <v>123</v>
      </c>
      <c r="U2" s="4">
        <v>1234</v>
      </c>
      <c r="V2" s="4">
        <v>1234</v>
      </c>
      <c r="W2" s="3" t="s">
        <v>225</v>
      </c>
      <c r="X2" s="3" t="s">
        <v>23</v>
      </c>
      <c r="Y2" s="4"/>
      <c r="Z2" s="4" t="s">
        <v>226</v>
      </c>
      <c r="AA2" s="4"/>
      <c r="AB2" s="3" t="s">
        <v>227</v>
      </c>
      <c r="AC2" s="3" t="s">
        <v>23</v>
      </c>
      <c r="AD2" s="2" t="s">
        <v>3</v>
      </c>
      <c r="AE2" s="4" t="s">
        <v>571</v>
      </c>
      <c r="AF2" s="2" t="s">
        <v>579</v>
      </c>
      <c r="AG2" s="3" t="s">
        <v>285</v>
      </c>
      <c r="AH2" s="3" t="s">
        <v>8</v>
      </c>
      <c r="AI2" s="4" t="s">
        <v>5</v>
      </c>
      <c r="AJ2" s="3" t="s">
        <v>84</v>
      </c>
    </row>
    <row r="3" spans="1:36" x14ac:dyDescent="0.25">
      <c r="A3" s="6"/>
    </row>
    <row r="4" spans="1:36" x14ac:dyDescent="0.25">
      <c r="A4" s="6"/>
    </row>
    <row r="5" spans="1:36" x14ac:dyDescent="0.25">
      <c r="A5" s="6"/>
    </row>
    <row r="6" spans="1:36" x14ac:dyDescent="0.25">
      <c r="A6" s="6"/>
    </row>
    <row r="7" spans="1:36" x14ac:dyDescent="0.25">
      <c r="A7" s="6"/>
    </row>
    <row r="8" spans="1:36" x14ac:dyDescent="0.25">
      <c r="A8" s="6"/>
    </row>
    <row r="9" spans="1:36" x14ac:dyDescent="0.25">
      <c r="A9" s="6"/>
    </row>
    <row r="10" spans="1:36" x14ac:dyDescent="0.25">
      <c r="A10" s="6"/>
    </row>
    <row r="11" spans="1:36" x14ac:dyDescent="0.25">
      <c r="A11" s="6"/>
    </row>
    <row r="12" spans="1:36" x14ac:dyDescent="0.25">
      <c r="A12" s="6"/>
    </row>
    <row r="13" spans="1:36" x14ac:dyDescent="0.25">
      <c r="A13" s="6"/>
    </row>
    <row r="14" spans="1:36" x14ac:dyDescent="0.25">
      <c r="A14" s="6"/>
    </row>
    <row r="15" spans="1:36" x14ac:dyDescent="0.25">
      <c r="A15" s="6"/>
    </row>
    <row r="16" spans="1:36" x14ac:dyDescent="0.25">
      <c r="A16" s="6"/>
    </row>
    <row r="17" spans="1:1" x14ac:dyDescent="0.25">
      <c r="A17" s="6"/>
    </row>
    <row r="18" spans="1:1" x14ac:dyDescent="0.25">
      <c r="A18" s="6"/>
    </row>
    <row r="19" spans="1:1" x14ac:dyDescent="0.25">
      <c r="A19" s="6"/>
    </row>
    <row r="20" spans="1:1" x14ac:dyDescent="0.25">
      <c r="A20" s="6"/>
    </row>
    <row r="21" spans="1:1" x14ac:dyDescent="0.25">
      <c r="A21" s="6"/>
    </row>
    <row r="22" spans="1:1" x14ac:dyDescent="0.25">
      <c r="A22" s="10"/>
    </row>
  </sheetData>
  <pageMargins left="0.7" right="0.7" top="0.75" bottom="0.75" header="0.3" footer="0.3"/>
  <pageSetup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workbookViewId="0">
      <selection activeCell="B7" sqref="B7"/>
    </sheetView>
  </sheetViews>
  <sheetFormatPr defaultRowHeight="15" x14ac:dyDescent="0.25"/>
  <cols>
    <col min="1" max="1" width="15.42578125" bestFit="1" customWidth="1"/>
    <col min="2" max="2" width="23.42578125" bestFit="1" customWidth="1"/>
    <col min="3" max="3" width="12.42578125" bestFit="1" customWidth="1"/>
    <col min="4" max="4" width="12.42578125" style="3" customWidth="1"/>
    <col min="5" max="5" width="12.5703125" bestFit="1" customWidth="1"/>
    <col min="6" max="6" width="48.5703125" bestFit="1" customWidth="1"/>
    <col min="7" max="7" width="22.140625" bestFit="1" customWidth="1"/>
    <col min="8" max="8" width="17.7109375" bestFit="1" customWidth="1"/>
    <col min="9" max="9" width="9.42578125" bestFit="1" customWidth="1"/>
    <col min="10" max="10" width="26.140625" bestFit="1" customWidth="1"/>
    <col min="11" max="11" width="16.42578125" bestFit="1" customWidth="1"/>
    <col min="12" max="12" width="17.85546875" bestFit="1" customWidth="1"/>
    <col min="13" max="13" width="17.7109375" bestFit="1" customWidth="1"/>
    <col min="14" max="14" width="19.28515625" bestFit="1" customWidth="1"/>
    <col min="15" max="15" width="14.28515625" bestFit="1" customWidth="1"/>
    <col min="16" max="16" width="24.85546875" bestFit="1" customWidth="1"/>
    <col min="17" max="17" width="12.7109375" bestFit="1" customWidth="1"/>
    <col min="18" max="18" width="11.85546875" bestFit="1" customWidth="1"/>
    <col min="19" max="19" width="13.85546875" bestFit="1" customWidth="1"/>
    <col min="20" max="20" width="15.42578125" bestFit="1" customWidth="1"/>
    <col min="21" max="21" width="14.5703125" bestFit="1" customWidth="1"/>
    <col min="24" max="24" width="20" bestFit="1" customWidth="1"/>
    <col min="25" max="25" width="26.42578125" bestFit="1" customWidth="1"/>
    <col min="26" max="26" width="24.28515625" bestFit="1" customWidth="1"/>
    <col min="27" max="27" width="24.28515625" style="3" customWidth="1"/>
    <col min="28" max="28" width="18.42578125" bestFit="1" customWidth="1"/>
    <col min="29" max="29" width="22.42578125" bestFit="1" customWidth="1"/>
    <col min="30" max="30" width="9.28515625" customWidth="1"/>
    <col min="31" max="31" width="40.5703125" bestFit="1" customWidth="1"/>
    <col min="32" max="32" width="17.140625" style="3" customWidth="1"/>
    <col min="33" max="33" width="52.28515625" style="3" bestFit="1" customWidth="1"/>
    <col min="34" max="34" width="10.85546875" style="3" customWidth="1"/>
  </cols>
  <sheetData>
    <row r="1" spans="1:36" x14ac:dyDescent="0.25">
      <c r="A1" s="3" t="s">
        <v>27</v>
      </c>
      <c r="B1" s="3" t="s">
        <v>187</v>
      </c>
      <c r="C1" s="3" t="s">
        <v>194</v>
      </c>
      <c r="D1" s="3" t="s">
        <v>65</v>
      </c>
      <c r="E1" s="3" t="s">
        <v>195</v>
      </c>
      <c r="F1" s="3" t="s">
        <v>196</v>
      </c>
      <c r="G1" s="3" t="s">
        <v>197</v>
      </c>
      <c r="H1" s="3" t="s">
        <v>198</v>
      </c>
      <c r="I1" s="3" t="s">
        <v>199</v>
      </c>
      <c r="J1" s="3" t="s">
        <v>200</v>
      </c>
      <c r="K1" s="3" t="s">
        <v>201</v>
      </c>
      <c r="L1" s="3" t="s">
        <v>202</v>
      </c>
      <c r="M1" s="3" t="s">
        <v>92</v>
      </c>
      <c r="N1" s="3" t="s">
        <v>93</v>
      </c>
      <c r="O1" s="3" t="s">
        <v>203</v>
      </c>
      <c r="P1" s="3" t="s">
        <v>204</v>
      </c>
      <c r="Q1" s="3" t="s">
        <v>102</v>
      </c>
      <c r="R1" s="3" t="s">
        <v>16</v>
      </c>
      <c r="S1" s="3" t="s">
        <v>205</v>
      </c>
      <c r="T1" s="3" t="s">
        <v>206</v>
      </c>
      <c r="U1" s="3" t="s">
        <v>207</v>
      </c>
      <c r="V1" s="3" t="s">
        <v>208</v>
      </c>
      <c r="W1" s="3" t="s">
        <v>209</v>
      </c>
      <c r="X1" s="3" t="s">
        <v>210</v>
      </c>
      <c r="Y1" s="4" t="s">
        <v>211</v>
      </c>
      <c r="Z1" s="3" t="s">
        <v>212</v>
      </c>
      <c r="AA1" s="3" t="s">
        <v>267</v>
      </c>
      <c r="AB1" s="3" t="s">
        <v>213</v>
      </c>
      <c r="AC1" s="3" t="s">
        <v>104</v>
      </c>
      <c r="AD1" s="4" t="s">
        <v>0</v>
      </c>
      <c r="AE1" s="4" t="s">
        <v>9</v>
      </c>
      <c r="AF1" s="4" t="s">
        <v>527</v>
      </c>
      <c r="AG1" s="3" t="s">
        <v>6</v>
      </c>
      <c r="AH1" s="3" t="s">
        <v>7</v>
      </c>
      <c r="AI1" s="4" t="s">
        <v>4</v>
      </c>
      <c r="AJ1" s="4" t="s">
        <v>84</v>
      </c>
    </row>
    <row r="2" spans="1:36" s="3" customFormat="1" x14ac:dyDescent="0.25">
      <c r="A2" s="12" t="str">
        <f ca="1">RIGHT(TEXT(NOW(),"DDHHMMs"),8)</f>
        <v>2411342</v>
      </c>
      <c r="B2" s="3" t="s">
        <v>414</v>
      </c>
      <c r="C2" s="4" t="s">
        <v>214</v>
      </c>
      <c r="D2" s="4" t="s">
        <v>23</v>
      </c>
      <c r="E2" s="3" t="s">
        <v>910</v>
      </c>
      <c r="F2" s="4" t="s">
        <v>911</v>
      </c>
      <c r="G2" s="3" t="s">
        <v>912</v>
      </c>
      <c r="H2" s="4" t="s">
        <v>216</v>
      </c>
      <c r="I2" s="3" t="s">
        <v>913</v>
      </c>
      <c r="J2" s="3" t="s">
        <v>218</v>
      </c>
      <c r="K2" s="4" t="s">
        <v>216</v>
      </c>
      <c r="L2" s="4" t="s">
        <v>219</v>
      </c>
      <c r="M2" s="4" t="s">
        <v>220</v>
      </c>
      <c r="N2" s="4" t="s">
        <v>221</v>
      </c>
      <c r="O2" s="4" t="s">
        <v>222</v>
      </c>
      <c r="P2" s="3" t="s">
        <v>223</v>
      </c>
      <c r="Q2" s="3" t="s">
        <v>23</v>
      </c>
      <c r="R2" s="3" t="s">
        <v>224</v>
      </c>
      <c r="S2" s="4">
        <v>12</v>
      </c>
      <c r="T2" s="4">
        <v>123</v>
      </c>
      <c r="U2" s="4">
        <v>1234</v>
      </c>
      <c r="V2" s="4">
        <v>1234</v>
      </c>
      <c r="W2" s="3" t="s">
        <v>225</v>
      </c>
      <c r="X2" s="3" t="s">
        <v>23</v>
      </c>
      <c r="Y2" s="4"/>
      <c r="Z2" s="4" t="s">
        <v>226</v>
      </c>
      <c r="AA2" s="4"/>
      <c r="AB2" s="3" t="s">
        <v>227</v>
      </c>
      <c r="AC2" s="3" t="s">
        <v>23</v>
      </c>
      <c r="AD2" s="2" t="s">
        <v>3</v>
      </c>
      <c r="AE2" s="4" t="s">
        <v>571</v>
      </c>
      <c r="AF2" s="2" t="s">
        <v>579</v>
      </c>
      <c r="AG2" s="3" t="s">
        <v>285</v>
      </c>
      <c r="AH2" s="3" t="s">
        <v>8</v>
      </c>
      <c r="AI2" s="4" t="s">
        <v>5</v>
      </c>
      <c r="AJ2" s="3" t="s">
        <v>84</v>
      </c>
    </row>
    <row r="3" spans="1:36" x14ac:dyDescent="0.25">
      <c r="A3" s="6"/>
    </row>
    <row r="4" spans="1:36" x14ac:dyDescent="0.25">
      <c r="A4" s="6"/>
    </row>
    <row r="5" spans="1:36" x14ac:dyDescent="0.25">
      <c r="A5" s="6"/>
    </row>
    <row r="6" spans="1:36" x14ac:dyDescent="0.25">
      <c r="A6" s="6"/>
    </row>
    <row r="7" spans="1:36" x14ac:dyDescent="0.25">
      <c r="A7" s="6"/>
    </row>
    <row r="8" spans="1:36" x14ac:dyDescent="0.25">
      <c r="A8" s="6"/>
    </row>
    <row r="9" spans="1:36" x14ac:dyDescent="0.25">
      <c r="A9" s="6"/>
    </row>
    <row r="10" spans="1:36" x14ac:dyDescent="0.25">
      <c r="A10" s="6"/>
    </row>
    <row r="11" spans="1:36" x14ac:dyDescent="0.25">
      <c r="A11" s="6"/>
    </row>
    <row r="12" spans="1:36" x14ac:dyDescent="0.25">
      <c r="A12" s="6"/>
    </row>
    <row r="13" spans="1:36" x14ac:dyDescent="0.25">
      <c r="A13" s="6"/>
    </row>
    <row r="14" spans="1:36" x14ac:dyDescent="0.25">
      <c r="A14" s="6"/>
    </row>
    <row r="15" spans="1:36" x14ac:dyDescent="0.25">
      <c r="A15" s="6"/>
    </row>
    <row r="16" spans="1:36" x14ac:dyDescent="0.25">
      <c r="A16" s="6"/>
    </row>
    <row r="17" spans="1:1" x14ac:dyDescent="0.25">
      <c r="A17" s="6"/>
    </row>
    <row r="18" spans="1:1" x14ac:dyDescent="0.25">
      <c r="A18" s="6"/>
    </row>
    <row r="19" spans="1:1" x14ac:dyDescent="0.25">
      <c r="A19" s="6"/>
    </row>
    <row r="20" spans="1:1" x14ac:dyDescent="0.25">
      <c r="A20" s="6"/>
    </row>
    <row r="21" spans="1:1" x14ac:dyDescent="0.25">
      <c r="A21" s="6"/>
    </row>
    <row r="22" spans="1:1" x14ac:dyDescent="0.25">
      <c r="A22" s="10"/>
    </row>
  </sheetData>
  <pageMargins left="0.7" right="0.7" top="0.75" bottom="0.75" header="0.3" footer="0.3"/>
  <pageSetup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3"/>
  <sheetViews>
    <sheetView workbookViewId="0">
      <selection activeCell="L25" sqref="L25"/>
    </sheetView>
  </sheetViews>
  <sheetFormatPr defaultRowHeight="15" x14ac:dyDescent="0.25"/>
  <sheetData>
    <row r="1" spans="1:36" x14ac:dyDescent="0.25">
      <c r="A1" s="3" t="s">
        <v>27</v>
      </c>
      <c r="B1" s="3" t="s">
        <v>187</v>
      </c>
      <c r="C1" s="3" t="s">
        <v>194</v>
      </c>
      <c r="D1" s="3" t="s">
        <v>65</v>
      </c>
      <c r="E1" s="3" t="s">
        <v>195</v>
      </c>
      <c r="F1" s="3" t="s">
        <v>196</v>
      </c>
      <c r="G1" s="3" t="s">
        <v>197</v>
      </c>
      <c r="H1" s="3" t="s">
        <v>198</v>
      </c>
      <c r="I1" s="3" t="s">
        <v>199</v>
      </c>
      <c r="J1" s="3" t="s">
        <v>200</v>
      </c>
      <c r="K1" s="3" t="s">
        <v>201</v>
      </c>
      <c r="L1" s="3" t="s">
        <v>202</v>
      </c>
      <c r="M1" s="3" t="s">
        <v>92</v>
      </c>
      <c r="N1" s="3" t="s">
        <v>93</v>
      </c>
      <c r="O1" s="3" t="s">
        <v>203</v>
      </c>
      <c r="P1" s="3" t="s">
        <v>204</v>
      </c>
      <c r="Q1" s="3" t="s">
        <v>102</v>
      </c>
      <c r="R1" s="3" t="s">
        <v>16</v>
      </c>
      <c r="S1" s="3" t="s">
        <v>205</v>
      </c>
      <c r="T1" s="3" t="s">
        <v>206</v>
      </c>
      <c r="U1" s="3" t="s">
        <v>207</v>
      </c>
      <c r="V1" s="3" t="s">
        <v>208</v>
      </c>
      <c r="W1" s="3" t="s">
        <v>209</v>
      </c>
      <c r="X1" s="3" t="s">
        <v>210</v>
      </c>
      <c r="Y1" s="4" t="s">
        <v>211</v>
      </c>
      <c r="Z1" s="3" t="s">
        <v>212</v>
      </c>
      <c r="AA1" s="3" t="s">
        <v>267</v>
      </c>
      <c r="AB1" s="3" t="s">
        <v>213</v>
      </c>
      <c r="AC1" s="3" t="s">
        <v>104</v>
      </c>
      <c r="AD1" s="4" t="s">
        <v>0</v>
      </c>
      <c r="AE1" s="4" t="s">
        <v>9</v>
      </c>
      <c r="AF1" s="4" t="s">
        <v>527</v>
      </c>
      <c r="AG1" s="3" t="s">
        <v>6</v>
      </c>
      <c r="AH1" s="3" t="s">
        <v>7</v>
      </c>
      <c r="AI1" s="4" t="s">
        <v>4</v>
      </c>
      <c r="AJ1" s="4" t="s">
        <v>84</v>
      </c>
    </row>
    <row r="2" spans="1:36" x14ac:dyDescent="0.25">
      <c r="A2" s="12"/>
      <c r="B2" s="3" t="s">
        <v>414</v>
      </c>
      <c r="C2" s="4" t="s">
        <v>214</v>
      </c>
      <c r="D2" s="4" t="s">
        <v>23</v>
      </c>
      <c r="E2" s="3" t="s">
        <v>215</v>
      </c>
      <c r="F2" s="4" t="s">
        <v>228</v>
      </c>
      <c r="G2" s="3" t="s">
        <v>224</v>
      </c>
      <c r="H2" s="4" t="s">
        <v>216</v>
      </c>
      <c r="I2" s="3" t="s">
        <v>217</v>
      </c>
      <c r="J2" s="3" t="s">
        <v>218</v>
      </c>
      <c r="K2" s="4" t="s">
        <v>216</v>
      </c>
      <c r="L2" s="4" t="s">
        <v>219</v>
      </c>
      <c r="M2" s="4" t="s">
        <v>220</v>
      </c>
      <c r="N2" s="4" t="s">
        <v>221</v>
      </c>
      <c r="O2" s="4" t="s">
        <v>222</v>
      </c>
      <c r="P2" s="3" t="s">
        <v>223</v>
      </c>
      <c r="Q2" s="3" t="s">
        <v>23</v>
      </c>
      <c r="R2" s="3" t="s">
        <v>224</v>
      </c>
      <c r="S2" s="4">
        <v>12</v>
      </c>
      <c r="T2" s="4">
        <v>123</v>
      </c>
      <c r="U2" s="4">
        <v>1234</v>
      </c>
      <c r="V2" s="4">
        <v>1234</v>
      </c>
      <c r="W2" s="3" t="s">
        <v>225</v>
      </c>
      <c r="X2" s="3" t="s">
        <v>23</v>
      </c>
      <c r="Y2" s="4"/>
      <c r="Z2" s="4" t="s">
        <v>226</v>
      </c>
      <c r="AA2" s="4"/>
      <c r="AB2" s="3" t="s">
        <v>227</v>
      </c>
      <c r="AC2" s="3" t="s">
        <v>23</v>
      </c>
      <c r="AD2" s="2" t="s">
        <v>543</v>
      </c>
      <c r="AE2" s="4" t="s">
        <v>562</v>
      </c>
      <c r="AF2" s="4" t="s">
        <v>528</v>
      </c>
      <c r="AG2" s="9"/>
      <c r="AH2" s="3" t="s">
        <v>526</v>
      </c>
      <c r="AI2" s="4" t="s">
        <v>5</v>
      </c>
      <c r="AJ2" s="3" t="s">
        <v>84</v>
      </c>
    </row>
    <row r="3" spans="1:36" x14ac:dyDescent="0.25">
      <c r="A3" s="12" t="str">
        <f ca="1">RIGHT(TEXT(NOW(),"DDHHMMs"),7)</f>
        <v>2411342</v>
      </c>
      <c r="B3" s="3"/>
      <c r="C3" s="4" t="s">
        <v>214</v>
      </c>
      <c r="D3" s="4" t="s">
        <v>23</v>
      </c>
      <c r="E3" s="3" t="s">
        <v>215</v>
      </c>
      <c r="F3" s="4" t="s">
        <v>228</v>
      </c>
      <c r="G3" s="3" t="s">
        <v>224</v>
      </c>
      <c r="H3" s="4" t="s">
        <v>216</v>
      </c>
      <c r="I3" s="3" t="s">
        <v>217</v>
      </c>
      <c r="J3" s="3" t="s">
        <v>218</v>
      </c>
      <c r="K3" s="4" t="s">
        <v>216</v>
      </c>
      <c r="L3" s="4" t="s">
        <v>219</v>
      </c>
      <c r="M3" s="4" t="s">
        <v>220</v>
      </c>
      <c r="N3" s="4" t="s">
        <v>221</v>
      </c>
      <c r="O3" s="4" t="s">
        <v>222</v>
      </c>
      <c r="P3" s="3" t="s">
        <v>223</v>
      </c>
      <c r="Q3" s="3" t="s">
        <v>23</v>
      </c>
      <c r="R3" s="3" t="s">
        <v>224</v>
      </c>
      <c r="S3" s="4">
        <v>12</v>
      </c>
      <c r="T3" s="4">
        <v>123</v>
      </c>
      <c r="U3" s="4">
        <v>1234</v>
      </c>
      <c r="V3" s="4">
        <v>1234</v>
      </c>
      <c r="W3" s="3" t="s">
        <v>225</v>
      </c>
      <c r="X3" s="3" t="s">
        <v>23</v>
      </c>
      <c r="Y3" s="4"/>
      <c r="Z3" s="4" t="s">
        <v>226</v>
      </c>
      <c r="AA3" s="4"/>
      <c r="AB3" s="3" t="s">
        <v>227</v>
      </c>
      <c r="AC3" s="3" t="s">
        <v>23</v>
      </c>
      <c r="AD3" s="2" t="s">
        <v>410</v>
      </c>
      <c r="AE3" s="4" t="s">
        <v>563</v>
      </c>
      <c r="AF3" s="4" t="s">
        <v>528</v>
      </c>
      <c r="AG3" s="9"/>
      <c r="AH3" s="3" t="s">
        <v>526</v>
      </c>
      <c r="AI3" s="4" t="s">
        <v>5</v>
      </c>
      <c r="AJ3" s="3" t="s">
        <v>84</v>
      </c>
    </row>
    <row r="4" spans="1:36" x14ac:dyDescent="0.25">
      <c r="A4" s="12" t="str">
        <f ca="1">RIGHT(TEXT(NOW(),"DDHHMMs"),7)</f>
        <v>2411342</v>
      </c>
      <c r="B4" s="3" t="s">
        <v>414</v>
      </c>
      <c r="C4" s="4" t="s">
        <v>214</v>
      </c>
      <c r="D4" s="4"/>
      <c r="E4" s="3" t="s">
        <v>215</v>
      </c>
      <c r="F4" s="4" t="s">
        <v>228</v>
      </c>
      <c r="G4" s="3" t="s">
        <v>224</v>
      </c>
      <c r="H4" s="4" t="s">
        <v>216</v>
      </c>
      <c r="I4" s="3" t="s">
        <v>217</v>
      </c>
      <c r="J4" s="3" t="s">
        <v>218</v>
      </c>
      <c r="K4" s="4" t="s">
        <v>216</v>
      </c>
      <c r="L4" s="4" t="s">
        <v>219</v>
      </c>
      <c r="M4" s="4" t="s">
        <v>220</v>
      </c>
      <c r="N4" s="4" t="s">
        <v>221</v>
      </c>
      <c r="O4" s="4" t="s">
        <v>222</v>
      </c>
      <c r="P4" s="3" t="s">
        <v>223</v>
      </c>
      <c r="Q4" s="3" t="s">
        <v>23</v>
      </c>
      <c r="R4" s="3" t="s">
        <v>224</v>
      </c>
      <c r="S4" s="4">
        <v>12</v>
      </c>
      <c r="T4" s="4">
        <v>123</v>
      </c>
      <c r="U4" s="4">
        <v>1234</v>
      </c>
      <c r="V4" s="4">
        <v>1234</v>
      </c>
      <c r="W4" s="3" t="s">
        <v>225</v>
      </c>
      <c r="X4" s="3" t="s">
        <v>23</v>
      </c>
      <c r="Y4" s="4"/>
      <c r="Z4" s="4" t="s">
        <v>226</v>
      </c>
      <c r="AA4" s="4"/>
      <c r="AB4" s="3" t="s">
        <v>227</v>
      </c>
      <c r="AC4" s="3" t="s">
        <v>23</v>
      </c>
      <c r="AD4" s="2" t="s">
        <v>544</v>
      </c>
      <c r="AE4" s="4" t="s">
        <v>564</v>
      </c>
      <c r="AF4" s="4" t="s">
        <v>528</v>
      </c>
      <c r="AG4" s="9"/>
      <c r="AH4" s="3" t="s">
        <v>526</v>
      </c>
      <c r="AI4" s="4" t="s">
        <v>5</v>
      </c>
      <c r="AJ4" s="3" t="s">
        <v>84</v>
      </c>
    </row>
    <row r="5" spans="1:36" x14ac:dyDescent="0.25">
      <c r="A5" s="12" t="str">
        <f t="shared" ref="A5:A13" ca="1" si="0">RIGHT(TEXT(NOW(),"DDHHMMs"),7)</f>
        <v>2411342</v>
      </c>
      <c r="B5" s="3" t="s">
        <v>414</v>
      </c>
      <c r="C5" s="4" t="s">
        <v>214</v>
      </c>
      <c r="D5" s="4" t="s">
        <v>23</v>
      </c>
      <c r="E5" s="3"/>
      <c r="F5" s="4" t="s">
        <v>228</v>
      </c>
      <c r="G5" s="3" t="s">
        <v>224</v>
      </c>
      <c r="H5" s="4" t="s">
        <v>216</v>
      </c>
      <c r="I5" s="3" t="s">
        <v>217</v>
      </c>
      <c r="J5" s="3" t="s">
        <v>218</v>
      </c>
      <c r="K5" s="4" t="s">
        <v>216</v>
      </c>
      <c r="L5" s="4" t="s">
        <v>219</v>
      </c>
      <c r="M5" s="4" t="s">
        <v>220</v>
      </c>
      <c r="N5" s="4" t="s">
        <v>221</v>
      </c>
      <c r="O5" s="4" t="s">
        <v>222</v>
      </c>
      <c r="P5" s="3" t="s">
        <v>223</v>
      </c>
      <c r="Q5" s="3" t="s">
        <v>23</v>
      </c>
      <c r="R5" s="3" t="s">
        <v>224</v>
      </c>
      <c r="S5" s="4">
        <v>12</v>
      </c>
      <c r="T5" s="4">
        <v>123</v>
      </c>
      <c r="U5" s="4">
        <v>1234</v>
      </c>
      <c r="V5" s="4">
        <v>1234</v>
      </c>
      <c r="W5" s="3" t="s">
        <v>225</v>
      </c>
      <c r="X5" s="3" t="s">
        <v>23</v>
      </c>
      <c r="Y5" s="4"/>
      <c r="Z5" s="4" t="s">
        <v>226</v>
      </c>
      <c r="AA5" s="4"/>
      <c r="AB5" s="3" t="s">
        <v>227</v>
      </c>
      <c r="AC5" s="3" t="s">
        <v>23</v>
      </c>
      <c r="AD5" s="2" t="s">
        <v>545</v>
      </c>
      <c r="AE5" s="4" t="s">
        <v>565</v>
      </c>
      <c r="AF5" s="4" t="s">
        <v>528</v>
      </c>
      <c r="AG5" s="9"/>
      <c r="AH5" s="3" t="s">
        <v>526</v>
      </c>
      <c r="AI5" s="4" t="s">
        <v>5</v>
      </c>
      <c r="AJ5" s="3" t="s">
        <v>84</v>
      </c>
    </row>
    <row r="6" spans="1:36" x14ac:dyDescent="0.25">
      <c r="A6" s="12" t="str">
        <f t="shared" ca="1" si="0"/>
        <v>2411342</v>
      </c>
      <c r="B6" s="3" t="s">
        <v>414</v>
      </c>
      <c r="C6" s="4" t="s">
        <v>214</v>
      </c>
      <c r="D6" s="4" t="s">
        <v>23</v>
      </c>
      <c r="E6" s="3" t="s">
        <v>215</v>
      </c>
      <c r="F6" s="4"/>
      <c r="G6" s="3" t="s">
        <v>224</v>
      </c>
      <c r="H6" s="4" t="s">
        <v>216</v>
      </c>
      <c r="I6" s="3" t="s">
        <v>217</v>
      </c>
      <c r="J6" s="3" t="s">
        <v>218</v>
      </c>
      <c r="K6" s="4" t="s">
        <v>216</v>
      </c>
      <c r="L6" s="4" t="s">
        <v>219</v>
      </c>
      <c r="M6" s="4" t="s">
        <v>220</v>
      </c>
      <c r="N6" s="4" t="s">
        <v>221</v>
      </c>
      <c r="O6" s="4" t="s">
        <v>222</v>
      </c>
      <c r="P6" s="3" t="s">
        <v>223</v>
      </c>
      <c r="Q6" s="3" t="s">
        <v>23</v>
      </c>
      <c r="R6" s="3" t="s">
        <v>224</v>
      </c>
      <c r="S6" s="4">
        <v>12</v>
      </c>
      <c r="T6" s="4">
        <v>123</v>
      </c>
      <c r="U6" s="4">
        <v>1234</v>
      </c>
      <c r="V6" s="4">
        <v>1234</v>
      </c>
      <c r="W6" s="3" t="s">
        <v>225</v>
      </c>
      <c r="X6" s="3" t="s">
        <v>23</v>
      </c>
      <c r="Y6" s="4"/>
      <c r="Z6" s="4" t="s">
        <v>226</v>
      </c>
      <c r="AA6" s="4"/>
      <c r="AB6" s="3" t="s">
        <v>227</v>
      </c>
      <c r="AC6" s="3" t="s">
        <v>23</v>
      </c>
      <c r="AD6" s="2" t="s">
        <v>546</v>
      </c>
      <c r="AE6" s="4" t="s">
        <v>566</v>
      </c>
      <c r="AF6" s="4" t="s">
        <v>528</v>
      </c>
      <c r="AG6" s="9"/>
      <c r="AH6" s="3" t="s">
        <v>526</v>
      </c>
      <c r="AI6" s="4" t="s">
        <v>5</v>
      </c>
      <c r="AJ6" s="3" t="s">
        <v>84</v>
      </c>
    </row>
    <row r="7" spans="1:36" x14ac:dyDescent="0.25">
      <c r="A7" s="12" t="str">
        <f t="shared" ca="1" si="0"/>
        <v>2411342</v>
      </c>
      <c r="B7" s="3" t="s">
        <v>414</v>
      </c>
      <c r="C7" s="4" t="s">
        <v>214</v>
      </c>
      <c r="D7" s="4" t="s">
        <v>23</v>
      </c>
      <c r="E7" s="3" t="s">
        <v>215</v>
      </c>
      <c r="F7" s="4" t="s">
        <v>228</v>
      </c>
      <c r="G7" s="3" t="s">
        <v>224</v>
      </c>
      <c r="H7" s="4" t="s">
        <v>216</v>
      </c>
      <c r="I7" s="3" t="s">
        <v>217</v>
      </c>
      <c r="J7" s="3" t="s">
        <v>218</v>
      </c>
      <c r="K7" s="4" t="s">
        <v>216</v>
      </c>
      <c r="L7" s="4" t="s">
        <v>219</v>
      </c>
      <c r="M7" s="4" t="s">
        <v>220</v>
      </c>
      <c r="N7" s="4" t="s">
        <v>221</v>
      </c>
      <c r="O7" s="4" t="s">
        <v>222</v>
      </c>
      <c r="P7" s="3"/>
      <c r="Q7" s="3" t="s">
        <v>23</v>
      </c>
      <c r="R7" s="3" t="s">
        <v>224</v>
      </c>
      <c r="S7" s="4">
        <v>12</v>
      </c>
      <c r="T7" s="4">
        <v>123</v>
      </c>
      <c r="U7" s="4">
        <v>1234</v>
      </c>
      <c r="V7" s="4">
        <v>1234</v>
      </c>
      <c r="W7" s="3" t="s">
        <v>225</v>
      </c>
      <c r="X7" s="3" t="s">
        <v>23</v>
      </c>
      <c r="Y7" s="4"/>
      <c r="Z7" s="4" t="s">
        <v>226</v>
      </c>
      <c r="AA7" s="4"/>
      <c r="AB7" s="3" t="s">
        <v>227</v>
      </c>
      <c r="AC7" s="3" t="s">
        <v>23</v>
      </c>
      <c r="AD7" s="2" t="s">
        <v>619</v>
      </c>
      <c r="AE7" s="4" t="s">
        <v>567</v>
      </c>
      <c r="AF7" s="4" t="s">
        <v>528</v>
      </c>
      <c r="AG7" s="9"/>
      <c r="AH7" s="3" t="s">
        <v>526</v>
      </c>
      <c r="AI7" s="4" t="s">
        <v>5</v>
      </c>
      <c r="AJ7" s="3" t="s">
        <v>84</v>
      </c>
    </row>
    <row r="8" spans="1:36" x14ac:dyDescent="0.25">
      <c r="A8" s="12" t="str">
        <f t="shared" ca="1" si="0"/>
        <v>2411342</v>
      </c>
      <c r="B8" s="3" t="s">
        <v>414</v>
      </c>
      <c r="C8" s="4" t="s">
        <v>214</v>
      </c>
      <c r="D8" s="4" t="s">
        <v>23</v>
      </c>
      <c r="E8" s="3" t="s">
        <v>215</v>
      </c>
      <c r="F8" s="4" t="s">
        <v>228</v>
      </c>
      <c r="G8" s="3" t="s">
        <v>224</v>
      </c>
      <c r="H8" s="4" t="s">
        <v>216</v>
      </c>
      <c r="I8" s="3" t="s">
        <v>217</v>
      </c>
      <c r="J8" s="3" t="s">
        <v>218</v>
      </c>
      <c r="K8" s="4" t="s">
        <v>216</v>
      </c>
      <c r="L8" s="4" t="s">
        <v>219</v>
      </c>
      <c r="M8" s="4" t="s">
        <v>220</v>
      </c>
      <c r="N8" s="4" t="s">
        <v>221</v>
      </c>
      <c r="O8" s="4" t="s">
        <v>222</v>
      </c>
      <c r="P8" s="3" t="s">
        <v>223</v>
      </c>
      <c r="Q8" s="3"/>
      <c r="R8" s="3" t="s">
        <v>224</v>
      </c>
      <c r="S8" s="4">
        <v>12</v>
      </c>
      <c r="T8" s="4">
        <v>123</v>
      </c>
      <c r="U8" s="4">
        <v>1234</v>
      </c>
      <c r="V8" s="4">
        <v>1234</v>
      </c>
      <c r="W8" s="3" t="s">
        <v>225</v>
      </c>
      <c r="X8" s="3" t="s">
        <v>23</v>
      </c>
      <c r="Y8" s="4"/>
      <c r="Z8" s="4" t="s">
        <v>226</v>
      </c>
      <c r="AA8" s="4"/>
      <c r="AB8" s="3" t="s">
        <v>227</v>
      </c>
      <c r="AC8" s="3" t="s">
        <v>23</v>
      </c>
      <c r="AD8" s="2" t="s">
        <v>627</v>
      </c>
      <c r="AE8" s="4" t="s">
        <v>568</v>
      </c>
      <c r="AF8" s="4" t="s">
        <v>528</v>
      </c>
      <c r="AG8" s="9"/>
      <c r="AH8" s="3" t="s">
        <v>526</v>
      </c>
      <c r="AI8" s="4" t="s">
        <v>5</v>
      </c>
      <c r="AJ8" s="3" t="s">
        <v>84</v>
      </c>
    </row>
    <row r="9" spans="1:36" x14ac:dyDescent="0.25">
      <c r="A9" s="12" t="str">
        <f t="shared" ca="1" si="0"/>
        <v>2411342</v>
      </c>
      <c r="B9" s="3" t="s">
        <v>414</v>
      </c>
      <c r="C9" s="4" t="s">
        <v>214</v>
      </c>
      <c r="D9" s="4" t="s">
        <v>23</v>
      </c>
      <c r="E9" s="3" t="s">
        <v>215</v>
      </c>
      <c r="F9" s="4" t="s">
        <v>228</v>
      </c>
      <c r="G9" s="3" t="s">
        <v>224</v>
      </c>
      <c r="H9" s="4" t="s">
        <v>216</v>
      </c>
      <c r="I9" s="3" t="s">
        <v>217</v>
      </c>
      <c r="J9" s="3" t="s">
        <v>218</v>
      </c>
      <c r="K9" s="4" t="s">
        <v>216</v>
      </c>
      <c r="L9" s="4" t="s">
        <v>219</v>
      </c>
      <c r="M9" s="4" t="s">
        <v>220</v>
      </c>
      <c r="N9" s="4" t="s">
        <v>221</v>
      </c>
      <c r="O9" s="4" t="s">
        <v>222</v>
      </c>
      <c r="P9" s="3" t="s">
        <v>223</v>
      </c>
      <c r="Q9" s="3" t="s">
        <v>23</v>
      </c>
      <c r="R9" s="3"/>
      <c r="S9" s="4">
        <v>12</v>
      </c>
      <c r="T9" s="4">
        <v>123</v>
      </c>
      <c r="U9" s="4">
        <v>1234</v>
      </c>
      <c r="V9" s="4">
        <v>1234</v>
      </c>
      <c r="W9" s="3" t="s">
        <v>225</v>
      </c>
      <c r="X9" s="3" t="s">
        <v>23</v>
      </c>
      <c r="Y9" s="4"/>
      <c r="Z9" s="4" t="s">
        <v>226</v>
      </c>
      <c r="AA9" s="4"/>
      <c r="AB9" s="3" t="s">
        <v>227</v>
      </c>
      <c r="AC9" s="3" t="s">
        <v>23</v>
      </c>
      <c r="AD9" s="2" t="s">
        <v>628</v>
      </c>
      <c r="AE9" s="4" t="s">
        <v>569</v>
      </c>
      <c r="AF9" s="4" t="s">
        <v>528</v>
      </c>
      <c r="AG9" s="9"/>
      <c r="AH9" s="3" t="s">
        <v>526</v>
      </c>
      <c r="AI9" s="4" t="s">
        <v>5</v>
      </c>
      <c r="AJ9" s="3" t="s">
        <v>84</v>
      </c>
    </row>
    <row r="10" spans="1:36" x14ac:dyDescent="0.25">
      <c r="A10" s="12" t="str">
        <f t="shared" ca="1" si="0"/>
        <v>2411342</v>
      </c>
      <c r="B10" s="3" t="s">
        <v>414</v>
      </c>
      <c r="C10" s="4" t="s">
        <v>214</v>
      </c>
      <c r="D10" s="4" t="s">
        <v>23</v>
      </c>
      <c r="E10" s="3" t="s">
        <v>215</v>
      </c>
      <c r="F10" s="4" t="s">
        <v>228</v>
      </c>
      <c r="G10" s="3" t="s">
        <v>224</v>
      </c>
      <c r="H10" s="4" t="s">
        <v>216</v>
      </c>
      <c r="I10" s="3" t="s">
        <v>217</v>
      </c>
      <c r="J10" s="3" t="s">
        <v>218</v>
      </c>
      <c r="K10" s="4" t="s">
        <v>216</v>
      </c>
      <c r="L10" s="4" t="s">
        <v>219</v>
      </c>
      <c r="M10" s="4" t="s">
        <v>220</v>
      </c>
      <c r="N10" s="4" t="s">
        <v>221</v>
      </c>
      <c r="O10" s="4" t="s">
        <v>222</v>
      </c>
      <c r="P10" s="3" t="s">
        <v>223</v>
      </c>
      <c r="Q10" s="3" t="s">
        <v>23</v>
      </c>
      <c r="R10" s="3" t="s">
        <v>224</v>
      </c>
      <c r="S10" s="4">
        <v>12</v>
      </c>
      <c r="T10" s="4">
        <v>123</v>
      </c>
      <c r="U10" s="4">
        <v>1234</v>
      </c>
      <c r="V10" s="4">
        <v>1234</v>
      </c>
      <c r="W10" s="3" t="s">
        <v>225</v>
      </c>
      <c r="X10" s="3"/>
      <c r="Y10" s="4"/>
      <c r="Z10" s="4" t="s">
        <v>226</v>
      </c>
      <c r="AA10" s="4"/>
      <c r="AB10" s="3" t="s">
        <v>227</v>
      </c>
      <c r="AC10" s="3" t="s">
        <v>23</v>
      </c>
      <c r="AD10" s="2" t="s">
        <v>335</v>
      </c>
      <c r="AE10" s="4" t="s">
        <v>570</v>
      </c>
      <c r="AF10" s="4" t="s">
        <v>528</v>
      </c>
      <c r="AG10" s="9"/>
      <c r="AH10" s="3" t="s">
        <v>526</v>
      </c>
      <c r="AI10" s="4" t="s">
        <v>5</v>
      </c>
      <c r="AJ10" s="3" t="s">
        <v>84</v>
      </c>
    </row>
    <row r="11" spans="1:36" x14ac:dyDescent="0.25">
      <c r="A11" s="12" t="str">
        <f t="shared" ca="1" si="0"/>
        <v>2411342</v>
      </c>
      <c r="B11" s="3" t="s">
        <v>414</v>
      </c>
      <c r="C11" s="4" t="s">
        <v>214</v>
      </c>
      <c r="D11" s="4" t="s">
        <v>23</v>
      </c>
      <c r="E11" s="3" t="s">
        <v>215</v>
      </c>
      <c r="F11" s="4" t="s">
        <v>228</v>
      </c>
      <c r="G11" s="3" t="s">
        <v>224</v>
      </c>
      <c r="H11" s="4" t="s">
        <v>216</v>
      </c>
      <c r="I11" s="3" t="s">
        <v>217</v>
      </c>
      <c r="J11" s="3" t="s">
        <v>218</v>
      </c>
      <c r="K11" s="4" t="s">
        <v>216</v>
      </c>
      <c r="L11" s="4" t="s">
        <v>219</v>
      </c>
      <c r="M11" s="4" t="s">
        <v>220</v>
      </c>
      <c r="N11" s="4" t="s">
        <v>221</v>
      </c>
      <c r="O11" s="4" t="s">
        <v>222</v>
      </c>
      <c r="P11" s="3" t="s">
        <v>223</v>
      </c>
      <c r="Q11" s="3" t="s">
        <v>23</v>
      </c>
      <c r="R11" s="3" t="s">
        <v>224</v>
      </c>
      <c r="S11" s="4">
        <v>12</v>
      </c>
      <c r="T11" s="4">
        <v>123</v>
      </c>
      <c r="U11" s="4">
        <v>1234</v>
      </c>
      <c r="V11" s="4">
        <v>1234</v>
      </c>
      <c r="W11" s="3" t="s">
        <v>225</v>
      </c>
      <c r="X11" s="3" t="s">
        <v>23</v>
      </c>
      <c r="Y11" s="4"/>
      <c r="Z11" s="4" t="s">
        <v>226</v>
      </c>
      <c r="AA11" s="4"/>
      <c r="AB11" s="3" t="s">
        <v>227</v>
      </c>
      <c r="AC11" s="3"/>
      <c r="AD11" s="2" t="s">
        <v>441</v>
      </c>
      <c r="AE11" s="4" t="s">
        <v>621</v>
      </c>
      <c r="AF11" s="4" t="s">
        <v>528</v>
      </c>
      <c r="AG11" s="9"/>
      <c r="AH11" s="3" t="s">
        <v>526</v>
      </c>
      <c r="AI11" s="4" t="s">
        <v>5</v>
      </c>
      <c r="AJ11" s="3" t="s">
        <v>84</v>
      </c>
    </row>
    <row r="12" spans="1:36" x14ac:dyDescent="0.25">
      <c r="A12" s="12" t="str">
        <f ca="1">RIGHT(TEXT(NOW(),"DDHHMMs"),6)</f>
        <v>411342</v>
      </c>
      <c r="B12" s="3" t="s">
        <v>414</v>
      </c>
      <c r="C12" s="4" t="s">
        <v>214</v>
      </c>
      <c r="D12" s="4" t="s">
        <v>23</v>
      </c>
      <c r="E12" s="3" t="s">
        <v>215</v>
      </c>
      <c r="F12" s="4" t="s">
        <v>228</v>
      </c>
      <c r="G12" s="3" t="s">
        <v>224</v>
      </c>
      <c r="H12" s="4" t="s">
        <v>216</v>
      </c>
      <c r="I12" s="3" t="s">
        <v>217</v>
      </c>
      <c r="J12" s="3" t="s">
        <v>218</v>
      </c>
      <c r="K12" s="4" t="s">
        <v>216</v>
      </c>
      <c r="L12" s="4" t="s">
        <v>219</v>
      </c>
      <c r="M12" s="4" t="s">
        <v>220</v>
      </c>
      <c r="N12" s="4" t="s">
        <v>221</v>
      </c>
      <c r="O12" s="4" t="s">
        <v>222</v>
      </c>
      <c r="P12" s="3" t="s">
        <v>223</v>
      </c>
      <c r="Q12" s="3" t="s">
        <v>23</v>
      </c>
      <c r="R12" s="3" t="s">
        <v>224</v>
      </c>
      <c r="S12" s="4">
        <v>12</v>
      </c>
      <c r="T12" s="4">
        <v>123</v>
      </c>
      <c r="U12" s="4">
        <v>1234</v>
      </c>
      <c r="V12" s="4">
        <v>1234</v>
      </c>
      <c r="W12" s="3" t="s">
        <v>225</v>
      </c>
      <c r="X12" s="3" t="s">
        <v>23</v>
      </c>
      <c r="Y12" s="4"/>
      <c r="Z12" s="4" t="s">
        <v>226</v>
      </c>
      <c r="AA12" s="4"/>
      <c r="AB12" s="3" t="s">
        <v>227</v>
      </c>
      <c r="AC12" s="4" t="s">
        <v>23</v>
      </c>
      <c r="AD12" s="2" t="s">
        <v>300</v>
      </c>
      <c r="AE12" s="4" t="s">
        <v>622</v>
      </c>
      <c r="AF12" s="2" t="s">
        <v>579</v>
      </c>
      <c r="AG12" s="3" t="s">
        <v>623</v>
      </c>
      <c r="AH12" s="3" t="s">
        <v>526</v>
      </c>
      <c r="AI12" s="4" t="s">
        <v>5</v>
      </c>
      <c r="AJ12" s="3" t="s">
        <v>84</v>
      </c>
    </row>
    <row r="13" spans="1:36" x14ac:dyDescent="0.25">
      <c r="A13" s="12" t="str">
        <f t="shared" ca="1" si="0"/>
        <v>2411342</v>
      </c>
      <c r="B13" s="3" t="s">
        <v>414</v>
      </c>
      <c r="C13" s="4" t="s">
        <v>214</v>
      </c>
      <c r="D13" s="4" t="s">
        <v>23</v>
      </c>
      <c r="E13" s="3" t="s">
        <v>215</v>
      </c>
      <c r="F13" s="4" t="s">
        <v>228</v>
      </c>
      <c r="G13" s="3" t="s">
        <v>224</v>
      </c>
      <c r="H13" s="4" t="s">
        <v>216</v>
      </c>
      <c r="I13" s="3" t="s">
        <v>217</v>
      </c>
      <c r="J13" s="3" t="s">
        <v>218</v>
      </c>
      <c r="K13" s="4" t="s">
        <v>216</v>
      </c>
      <c r="L13" s="4" t="s">
        <v>219</v>
      </c>
      <c r="M13" s="4" t="s">
        <v>220</v>
      </c>
      <c r="N13" s="4" t="s">
        <v>221</v>
      </c>
      <c r="O13" s="4" t="s">
        <v>222</v>
      </c>
      <c r="P13" s="3" t="s">
        <v>223</v>
      </c>
      <c r="Q13" s="3" t="s">
        <v>23</v>
      </c>
      <c r="R13" s="3" t="s">
        <v>224</v>
      </c>
      <c r="S13" s="4">
        <v>12</v>
      </c>
      <c r="T13" s="4">
        <v>123</v>
      </c>
      <c r="U13" s="4">
        <v>1234</v>
      </c>
      <c r="V13" s="4">
        <v>1234</v>
      </c>
      <c r="W13" s="3" t="s">
        <v>225</v>
      </c>
      <c r="X13" s="3" t="s">
        <v>23</v>
      </c>
      <c r="Y13" s="4"/>
      <c r="Z13" s="4" t="s">
        <v>226</v>
      </c>
      <c r="AA13" s="4"/>
      <c r="AB13" s="3" t="s">
        <v>227</v>
      </c>
      <c r="AC13" s="3" t="s">
        <v>23</v>
      </c>
      <c r="AD13" s="2" t="s">
        <v>3</v>
      </c>
      <c r="AE13" s="4" t="s">
        <v>571</v>
      </c>
      <c r="AF13" s="2" t="s">
        <v>579</v>
      </c>
      <c r="AG13" s="3" t="s">
        <v>285</v>
      </c>
      <c r="AH13" s="3" t="s">
        <v>8</v>
      </c>
      <c r="AI13" s="4" t="s">
        <v>5</v>
      </c>
      <c r="AJ13" s="3" t="s">
        <v>84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topLeftCell="M1" workbookViewId="0">
      <selection activeCell="U1" sqref="U1:V1"/>
    </sheetView>
  </sheetViews>
  <sheetFormatPr defaultRowHeight="15" x14ac:dyDescent="0.25"/>
  <cols>
    <col min="1" max="1" width="16.85546875" bestFit="1" customWidth="1"/>
    <col min="2" max="2" width="9.5703125" customWidth="1"/>
    <col min="3" max="3" width="16" customWidth="1"/>
    <col min="4" max="4" width="23.140625" bestFit="1" customWidth="1"/>
    <col min="5" max="5" width="18.42578125" bestFit="1" customWidth="1"/>
    <col min="7" max="7" width="20.7109375" bestFit="1" customWidth="1"/>
    <col min="8" max="8" width="11.5703125" bestFit="1" customWidth="1"/>
    <col min="9" max="9" width="17.42578125" bestFit="1" customWidth="1"/>
    <col min="10" max="10" width="24.28515625" bestFit="1" customWidth="1"/>
    <col min="11" max="11" width="27.42578125" bestFit="1" customWidth="1"/>
    <col min="13" max="13" width="15.42578125" bestFit="1" customWidth="1"/>
    <col min="14" max="14" width="17.5703125" bestFit="1" customWidth="1"/>
    <col min="15" max="15" width="14.5703125" bestFit="1" customWidth="1"/>
    <col min="16" max="16" width="10.7109375" bestFit="1" customWidth="1"/>
    <col min="19" max="19" width="36.7109375" bestFit="1" customWidth="1"/>
    <col min="20" max="20" width="16.28515625" style="3" bestFit="1" customWidth="1"/>
    <col min="21" max="21" width="19.28515625" style="3" bestFit="1" customWidth="1"/>
    <col min="22" max="22" width="14.28515625" style="3" customWidth="1"/>
  </cols>
  <sheetData>
    <row r="1" spans="1:23" x14ac:dyDescent="0.25">
      <c r="A1" s="4" t="s">
        <v>229</v>
      </c>
      <c r="B1" s="4" t="s">
        <v>230</v>
      </c>
      <c r="C1" s="4" t="s">
        <v>231</v>
      </c>
      <c r="D1" s="4" t="s">
        <v>232</v>
      </c>
      <c r="E1" s="4" t="s">
        <v>233</v>
      </c>
      <c r="F1" s="4" t="s">
        <v>234</v>
      </c>
      <c r="G1" s="4" t="s">
        <v>235</v>
      </c>
      <c r="H1" s="4" t="s">
        <v>236</v>
      </c>
      <c r="I1" s="4" t="s">
        <v>237</v>
      </c>
      <c r="J1" s="4" t="s">
        <v>238</v>
      </c>
      <c r="K1" s="4" t="s">
        <v>249</v>
      </c>
      <c r="L1" s="4" t="s">
        <v>239</v>
      </c>
      <c r="M1" s="4" t="s">
        <v>240</v>
      </c>
      <c r="N1" s="4" t="s">
        <v>241</v>
      </c>
      <c r="O1" s="4" t="s">
        <v>242</v>
      </c>
      <c r="P1" s="4" t="s">
        <v>243</v>
      </c>
      <c r="Q1" s="4" t="s">
        <v>244</v>
      </c>
      <c r="R1" s="4" t="s">
        <v>0</v>
      </c>
      <c r="S1" s="4" t="s">
        <v>9</v>
      </c>
      <c r="T1" s="4" t="s">
        <v>527</v>
      </c>
      <c r="U1" s="3" t="s">
        <v>6</v>
      </c>
      <c r="V1" s="3" t="s">
        <v>7</v>
      </c>
      <c r="W1" s="4" t="s">
        <v>4</v>
      </c>
    </row>
    <row r="2" spans="1:23" x14ac:dyDescent="0.25">
      <c r="A2" s="4" t="s">
        <v>245</v>
      </c>
      <c r="B2" s="4">
        <v>3</v>
      </c>
      <c r="C2" s="4">
        <v>2</v>
      </c>
      <c r="D2" s="4">
        <v>3</v>
      </c>
      <c r="E2" s="4"/>
      <c r="F2" s="4" t="s">
        <v>23</v>
      </c>
      <c r="G2" s="4" t="s">
        <v>23</v>
      </c>
      <c r="H2" s="4" t="s">
        <v>246</v>
      </c>
      <c r="I2" s="4">
        <v>4</v>
      </c>
      <c r="J2" s="4">
        <v>1111</v>
      </c>
      <c r="K2" s="4">
        <v>111</v>
      </c>
      <c r="L2" s="4" t="s">
        <v>23</v>
      </c>
      <c r="M2" s="4" t="s">
        <v>107</v>
      </c>
      <c r="N2" s="4" t="s">
        <v>247</v>
      </c>
      <c r="O2" s="4" t="s">
        <v>23</v>
      </c>
      <c r="P2" s="4">
        <v>2</v>
      </c>
      <c r="Q2" s="4">
        <v>3</v>
      </c>
      <c r="R2" s="2" t="s">
        <v>573</v>
      </c>
      <c r="S2" s="4" t="s">
        <v>624</v>
      </c>
      <c r="T2" s="4" t="s">
        <v>528</v>
      </c>
      <c r="U2" s="2" t="s">
        <v>579</v>
      </c>
      <c r="V2" s="4" t="s">
        <v>526</v>
      </c>
      <c r="W2" s="4" t="s">
        <v>5</v>
      </c>
    </row>
    <row r="3" spans="1:23" s="3" customFormat="1" x14ac:dyDescent="0.25">
      <c r="A3" s="4" t="s">
        <v>245</v>
      </c>
      <c r="B3" s="4">
        <v>3</v>
      </c>
      <c r="C3" s="4">
        <v>2</v>
      </c>
      <c r="D3" s="4">
        <v>3</v>
      </c>
      <c r="E3" s="4" t="s">
        <v>246</v>
      </c>
      <c r="F3" s="4" t="s">
        <v>23</v>
      </c>
      <c r="G3" s="4" t="s">
        <v>23</v>
      </c>
      <c r="H3" s="4" t="s">
        <v>246</v>
      </c>
      <c r="I3" s="4">
        <v>4</v>
      </c>
      <c r="J3" s="4">
        <v>1111</v>
      </c>
      <c r="K3" s="4">
        <v>111</v>
      </c>
      <c r="L3" s="4" t="s">
        <v>23</v>
      </c>
      <c r="M3" s="4"/>
      <c r="N3" s="4" t="s">
        <v>247</v>
      </c>
      <c r="O3" s="4" t="s">
        <v>23</v>
      </c>
      <c r="P3" s="4">
        <v>2</v>
      </c>
      <c r="Q3" s="4">
        <v>3</v>
      </c>
      <c r="R3" s="2" t="s">
        <v>574</v>
      </c>
      <c r="S3" s="4" t="s">
        <v>625</v>
      </c>
      <c r="T3" s="4" t="s">
        <v>528</v>
      </c>
      <c r="U3" s="2" t="s">
        <v>579</v>
      </c>
      <c r="V3" s="4" t="s">
        <v>526</v>
      </c>
      <c r="W3" s="4" t="s">
        <v>5</v>
      </c>
    </row>
    <row r="4" spans="1:23" s="3" customFormat="1" x14ac:dyDescent="0.25">
      <c r="A4" s="4" t="s">
        <v>245</v>
      </c>
      <c r="B4" s="4">
        <v>3</v>
      </c>
      <c r="C4" s="4">
        <v>2</v>
      </c>
      <c r="D4" s="4">
        <v>3</v>
      </c>
      <c r="E4" s="4" t="s">
        <v>246</v>
      </c>
      <c r="F4" s="4" t="s">
        <v>23</v>
      </c>
      <c r="G4" s="4" t="s">
        <v>23</v>
      </c>
      <c r="H4" s="4" t="s">
        <v>246</v>
      </c>
      <c r="I4" s="4">
        <v>4</v>
      </c>
      <c r="J4" s="4">
        <v>1111</v>
      </c>
      <c r="K4" s="4">
        <v>111</v>
      </c>
      <c r="L4" s="4" t="s">
        <v>23</v>
      </c>
      <c r="M4" s="4" t="s">
        <v>107</v>
      </c>
      <c r="N4" s="4"/>
      <c r="O4" s="4" t="s">
        <v>23</v>
      </c>
      <c r="P4" s="4">
        <v>2</v>
      </c>
      <c r="Q4" s="4">
        <v>3</v>
      </c>
      <c r="R4" s="2" t="s">
        <v>575</v>
      </c>
      <c r="S4" s="4" t="s">
        <v>626</v>
      </c>
      <c r="T4" s="4" t="s">
        <v>528</v>
      </c>
      <c r="U4" s="2" t="s">
        <v>579</v>
      </c>
      <c r="V4" s="4" t="s">
        <v>526</v>
      </c>
      <c r="W4" s="4" t="s">
        <v>5</v>
      </c>
    </row>
    <row r="5" spans="1:23" s="3" customFormat="1" x14ac:dyDescent="0.25">
      <c r="A5" s="4" t="s">
        <v>245</v>
      </c>
      <c r="B5" s="4">
        <v>3</v>
      </c>
      <c r="C5" s="4">
        <v>2</v>
      </c>
      <c r="D5" s="4">
        <v>3</v>
      </c>
      <c r="E5" s="4" t="s">
        <v>246</v>
      </c>
      <c r="F5" s="4" t="s">
        <v>23</v>
      </c>
      <c r="G5" s="4" t="s">
        <v>23</v>
      </c>
      <c r="H5" s="4" t="s">
        <v>246</v>
      </c>
      <c r="I5" s="4">
        <v>4</v>
      </c>
      <c r="J5" s="4">
        <v>1111</v>
      </c>
      <c r="K5" s="4">
        <v>111</v>
      </c>
      <c r="L5" s="4" t="s">
        <v>23</v>
      </c>
      <c r="M5" s="4" t="s">
        <v>107</v>
      </c>
      <c r="N5" s="4" t="s">
        <v>247</v>
      </c>
      <c r="O5" s="4" t="s">
        <v>23</v>
      </c>
      <c r="P5" s="4">
        <v>2</v>
      </c>
      <c r="Q5" s="4">
        <v>3</v>
      </c>
      <c r="R5" s="2" t="s">
        <v>572</v>
      </c>
      <c r="S5" s="4" t="s">
        <v>248</v>
      </c>
      <c r="T5" s="2" t="s">
        <v>579</v>
      </c>
      <c r="U5" s="4" t="s">
        <v>285</v>
      </c>
      <c r="V5" s="4" t="s">
        <v>8</v>
      </c>
      <c r="W5" s="4" t="s">
        <v>5</v>
      </c>
    </row>
  </sheetData>
  <pageMargins left="0.7" right="0.7" top="0.75" bottom="0.75" header="0.3" footer="0.3"/>
  <pageSetup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RowHeight="15" x14ac:dyDescent="0.25"/>
  <cols>
    <col min="2" max="2" width="34" bestFit="1" customWidth="1"/>
    <col min="3" max="3" width="19.28515625" bestFit="1" customWidth="1"/>
  </cols>
  <sheetData>
    <row r="1" spans="1:4" x14ac:dyDescent="0.25">
      <c r="A1" s="3" t="s">
        <v>0</v>
      </c>
      <c r="B1" s="3" t="s">
        <v>9</v>
      </c>
      <c r="C1" s="3" t="s">
        <v>6</v>
      </c>
      <c r="D1" s="3" t="s">
        <v>7</v>
      </c>
    </row>
    <row r="2" spans="1:4" x14ac:dyDescent="0.25">
      <c r="A2" s="2" t="s">
        <v>572</v>
      </c>
      <c r="B2" s="3" t="s">
        <v>288</v>
      </c>
      <c r="C2" s="3" t="s">
        <v>285</v>
      </c>
      <c r="D2" s="3" t="s">
        <v>8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2" sqref="C2"/>
    </sheetView>
  </sheetViews>
  <sheetFormatPr defaultRowHeight="15" x14ac:dyDescent="0.25"/>
  <cols>
    <col min="1" max="1" width="18" bestFit="1" customWidth="1"/>
    <col min="2" max="2" width="27.140625" bestFit="1" customWidth="1"/>
    <col min="4" max="4" width="31.140625" bestFit="1" customWidth="1"/>
  </cols>
  <sheetData>
    <row r="1" spans="1:5" x14ac:dyDescent="0.25">
      <c r="A1" t="s">
        <v>250</v>
      </c>
      <c r="B1" t="s">
        <v>251</v>
      </c>
      <c r="C1" s="4" t="s">
        <v>0</v>
      </c>
      <c r="D1" s="4" t="s">
        <v>9</v>
      </c>
      <c r="E1" s="4" t="s">
        <v>4</v>
      </c>
    </row>
    <row r="2" spans="1:5" x14ac:dyDescent="0.25">
      <c r="A2" s="4" t="s">
        <v>245</v>
      </c>
      <c r="B2" s="4" t="s">
        <v>245</v>
      </c>
      <c r="C2" s="2" t="s">
        <v>572</v>
      </c>
      <c r="D2" s="4" t="s">
        <v>439</v>
      </c>
      <c r="E2" s="4" t="s">
        <v>5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Q2" sqref="Q2"/>
    </sheetView>
  </sheetViews>
  <sheetFormatPr defaultRowHeight="15" x14ac:dyDescent="0.25"/>
  <cols>
    <col min="1" max="1" width="17" bestFit="1" customWidth="1"/>
    <col min="6" max="6" width="10.140625" customWidth="1"/>
    <col min="7" max="7" width="10.140625" style="3" customWidth="1"/>
    <col min="8" max="11" width="12" bestFit="1" customWidth="1"/>
    <col min="16" max="16" width="11.42578125" bestFit="1" customWidth="1"/>
  </cols>
  <sheetData>
    <row r="1" spans="1:19" x14ac:dyDescent="0.25">
      <c r="A1" s="1" t="s">
        <v>31</v>
      </c>
      <c r="B1" s="1" t="s">
        <v>32</v>
      </c>
      <c r="C1" s="1" t="s">
        <v>33</v>
      </c>
      <c r="D1" s="3" t="s">
        <v>34</v>
      </c>
      <c r="E1" s="1" t="s">
        <v>35</v>
      </c>
      <c r="F1" s="1" t="s">
        <v>36</v>
      </c>
      <c r="G1" t="s">
        <v>161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4" t="s">
        <v>0</v>
      </c>
      <c r="R1" s="4" t="s">
        <v>9</v>
      </c>
      <c r="S1" s="4" t="s">
        <v>4</v>
      </c>
    </row>
    <row r="2" spans="1:19" x14ac:dyDescent="0.25">
      <c r="A2" s="4" t="s">
        <v>253</v>
      </c>
      <c r="B2" s="4" t="s">
        <v>254</v>
      </c>
      <c r="C2" s="4" t="s">
        <v>49</v>
      </c>
      <c r="D2" s="4">
        <v>1234</v>
      </c>
      <c r="E2" s="4" t="s">
        <v>50</v>
      </c>
      <c r="F2" s="4" t="s">
        <v>51</v>
      </c>
      <c r="G2" s="4" t="s">
        <v>255</v>
      </c>
      <c r="H2" s="4" t="s">
        <v>54</v>
      </c>
      <c r="I2" s="4" t="s">
        <v>54</v>
      </c>
      <c r="J2" s="13" t="str">
        <f ca="1">CONCATENATE(RIGHT(TEXT(NOW(),"YYMMDDhhmmss"),11))</f>
        <v>60624113402</v>
      </c>
      <c r="K2" s="13" t="str">
        <f ca="1">CONCATENATE(RIGHT(TEXT(NOW(),"YYMMDDhhmmss"),11))</f>
        <v>60624113402</v>
      </c>
      <c r="L2" s="4">
        <v>1234</v>
      </c>
      <c r="M2" s="4" t="s">
        <v>52</v>
      </c>
      <c r="N2" s="4" t="s">
        <v>52</v>
      </c>
      <c r="O2" s="4">
        <v>111</v>
      </c>
      <c r="P2" s="4">
        <v>1234</v>
      </c>
      <c r="Q2" s="2" t="s">
        <v>572</v>
      </c>
      <c r="R2" s="4" t="s">
        <v>252</v>
      </c>
      <c r="S2" s="4" t="s">
        <v>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M17" sqref="M17"/>
    </sheetView>
  </sheetViews>
  <sheetFormatPr defaultRowHeight="15" x14ac:dyDescent="0.25"/>
  <cols>
    <col min="1" max="15" width="9.140625" style="3"/>
    <col min="16" max="16" width="11.42578125" style="3" bestFit="1" customWidth="1"/>
    <col min="17" max="17" width="9.140625" style="3"/>
    <col min="18" max="18" width="29.85546875" style="3" bestFit="1" customWidth="1"/>
    <col min="19" max="16384" width="9.140625" style="3"/>
  </cols>
  <sheetData>
    <row r="1" spans="1:19" x14ac:dyDescent="0.25">
      <c r="A1" s="1" t="s">
        <v>31</v>
      </c>
      <c r="B1" s="1" t="s">
        <v>32</v>
      </c>
      <c r="C1" s="1" t="s">
        <v>33</v>
      </c>
      <c r="D1" s="3" t="s">
        <v>34</v>
      </c>
      <c r="E1" s="1" t="s">
        <v>35</v>
      </c>
      <c r="F1" s="1" t="s">
        <v>36</v>
      </c>
      <c r="G1" s="3" t="s">
        <v>161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4" t="s">
        <v>0</v>
      </c>
      <c r="R1" s="4" t="s">
        <v>9</v>
      </c>
      <c r="S1" s="4" t="s">
        <v>4</v>
      </c>
    </row>
    <row r="2" spans="1:19" x14ac:dyDescent="0.25">
      <c r="A2" s="4" t="s">
        <v>257</v>
      </c>
      <c r="B2" s="4" t="s">
        <v>254</v>
      </c>
      <c r="C2" s="4" t="s">
        <v>49</v>
      </c>
      <c r="D2" s="4">
        <v>1234</v>
      </c>
      <c r="E2" s="4" t="s">
        <v>176</v>
      </c>
      <c r="F2" s="4" t="s">
        <v>169</v>
      </c>
      <c r="G2" s="4" t="s">
        <v>166</v>
      </c>
      <c r="H2" s="4" t="s">
        <v>54</v>
      </c>
      <c r="I2" s="4" t="s">
        <v>54</v>
      </c>
      <c r="J2" s="13" t="str">
        <f ca="1">CONCATENATE(RIGHT(TEXT(NOW(),"YYMMDDhhmmss"),11))</f>
        <v>60624113402</v>
      </c>
      <c r="K2" s="13" t="str">
        <f ca="1">CONCATENATE(RIGHT(TEXT(NOW(),"YYMMDDhhmmss"),11))</f>
        <v>60624113402</v>
      </c>
      <c r="L2" s="4">
        <v>1234</v>
      </c>
      <c r="M2" s="4" t="s">
        <v>52</v>
      </c>
      <c r="N2" s="4" t="s">
        <v>52</v>
      </c>
      <c r="O2" s="4">
        <v>111</v>
      </c>
      <c r="P2" s="4">
        <v>1234</v>
      </c>
      <c r="Q2" s="2" t="s">
        <v>572</v>
      </c>
      <c r="R2" s="4" t="s">
        <v>256</v>
      </c>
      <c r="S2" s="4" t="s">
        <v>5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R8" sqref="R8"/>
    </sheetView>
  </sheetViews>
  <sheetFormatPr defaultRowHeight="15" x14ac:dyDescent="0.25"/>
  <cols>
    <col min="16" max="16" width="11.42578125" bestFit="1" customWidth="1"/>
    <col min="18" max="18" width="29.85546875" bestFit="1" customWidth="1"/>
  </cols>
  <sheetData>
    <row r="1" spans="1:19" x14ac:dyDescent="0.25">
      <c r="A1" s="1" t="s">
        <v>31</v>
      </c>
      <c r="B1" s="1" t="s">
        <v>32</v>
      </c>
      <c r="C1" s="1" t="s">
        <v>33</v>
      </c>
      <c r="D1" s="3" t="s">
        <v>34</v>
      </c>
      <c r="E1" s="1" t="s">
        <v>35</v>
      </c>
      <c r="F1" s="1" t="s">
        <v>36</v>
      </c>
      <c r="G1" s="3" t="s">
        <v>161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4" t="s">
        <v>0</v>
      </c>
      <c r="R1" s="4" t="s">
        <v>9</v>
      </c>
      <c r="S1" s="4" t="s">
        <v>4</v>
      </c>
    </row>
    <row r="2" spans="1:19" x14ac:dyDescent="0.25">
      <c r="A2" s="4" t="s">
        <v>257</v>
      </c>
      <c r="B2" s="4" t="s">
        <v>254</v>
      </c>
      <c r="C2" s="4" t="s">
        <v>49</v>
      </c>
      <c r="D2" s="4">
        <v>1234</v>
      </c>
      <c r="E2" s="4" t="s">
        <v>176</v>
      </c>
      <c r="F2" s="4" t="s">
        <v>169</v>
      </c>
      <c r="G2" s="4" t="s">
        <v>166</v>
      </c>
      <c r="H2" s="4" t="s">
        <v>54</v>
      </c>
      <c r="I2" s="4" t="s">
        <v>54</v>
      </c>
      <c r="J2" s="13" t="str">
        <f ca="1">CONCATENATE(RIGHT(TEXT(NOW(),"YYMMDDhhmmss"),11))</f>
        <v>60624113402</v>
      </c>
      <c r="K2" s="13" t="str">
        <f ca="1">CONCATENATE(RIGHT(TEXT(NOW(),"YYMMDDhhmmss"),11))</f>
        <v>60624113402</v>
      </c>
      <c r="L2" s="4">
        <v>1234</v>
      </c>
      <c r="M2" s="4" t="s">
        <v>52</v>
      </c>
      <c r="N2" s="4" t="s">
        <v>52</v>
      </c>
      <c r="O2" s="4">
        <v>111</v>
      </c>
      <c r="P2" s="4">
        <v>1234</v>
      </c>
      <c r="Q2" s="2" t="s">
        <v>572</v>
      </c>
      <c r="R2" s="4" t="s">
        <v>256</v>
      </c>
      <c r="S2" s="4" t="s">
        <v>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opLeftCell="H1" workbookViewId="0">
      <selection activeCell="R15" sqref="R15"/>
    </sheetView>
  </sheetViews>
  <sheetFormatPr defaultRowHeight="15" x14ac:dyDescent="0.25"/>
  <cols>
    <col min="1" max="7" width="9.140625" style="3"/>
    <col min="8" max="9" width="12" style="3" bestFit="1" customWidth="1"/>
    <col min="10" max="15" width="9.140625" style="3"/>
    <col min="16" max="16" width="11.42578125" style="3" bestFit="1" customWidth="1"/>
    <col min="17" max="17" width="9.140625" style="3"/>
    <col min="18" max="18" width="36.85546875" style="3" bestFit="1" customWidth="1"/>
    <col min="19" max="19" width="17.85546875" style="3" customWidth="1"/>
    <col min="20" max="20" width="19.28515625" style="3" bestFit="1" customWidth="1"/>
    <col min="21" max="21" width="13.42578125" style="3" customWidth="1"/>
    <col min="22" max="16384" width="9.140625" style="3"/>
  </cols>
  <sheetData>
    <row r="1" spans="1:22" x14ac:dyDescent="0.25">
      <c r="A1" s="1" t="s">
        <v>31</v>
      </c>
      <c r="B1" s="1" t="s">
        <v>32</v>
      </c>
      <c r="C1" s="1" t="s">
        <v>33</v>
      </c>
      <c r="D1" s="3" t="s">
        <v>34</v>
      </c>
      <c r="E1" s="1" t="s">
        <v>35</v>
      </c>
      <c r="F1" s="1" t="s">
        <v>36</v>
      </c>
      <c r="G1" s="3" t="s">
        <v>161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4" t="s">
        <v>0</v>
      </c>
      <c r="R1" s="4" t="s">
        <v>9</v>
      </c>
      <c r="S1" s="4" t="s">
        <v>527</v>
      </c>
      <c r="T1" s="3" t="s">
        <v>6</v>
      </c>
      <c r="U1" s="3" t="s">
        <v>7</v>
      </c>
      <c r="V1" s="4" t="s">
        <v>4</v>
      </c>
    </row>
    <row r="2" spans="1:22" x14ac:dyDescent="0.25">
      <c r="A2" s="4"/>
      <c r="B2" s="4" t="s">
        <v>254</v>
      </c>
      <c r="C2" s="4" t="s">
        <v>49</v>
      </c>
      <c r="D2" s="4" t="s">
        <v>318</v>
      </c>
      <c r="E2" s="4" t="s">
        <v>258</v>
      </c>
      <c r="F2" s="4" t="s">
        <v>169</v>
      </c>
      <c r="G2" s="4" t="s">
        <v>259</v>
      </c>
      <c r="H2" s="4" t="s">
        <v>54</v>
      </c>
      <c r="I2" s="4" t="s">
        <v>54</v>
      </c>
      <c r="J2" s="13" t="str">
        <f t="shared" ref="J2:K4" ca="1" si="0">CONCATENATE(RIGHT(TEXT(NOW(),"YYMMDDhhmmss"),11))</f>
        <v>60624113402</v>
      </c>
      <c r="K2" s="13" t="str">
        <f t="shared" ca="1" si="0"/>
        <v>60624113402</v>
      </c>
      <c r="L2" s="4">
        <v>1234</v>
      </c>
      <c r="M2" s="4" t="s">
        <v>52</v>
      </c>
      <c r="N2" s="4" t="s">
        <v>52</v>
      </c>
      <c r="O2" s="4">
        <v>111</v>
      </c>
      <c r="P2" s="4">
        <v>1234</v>
      </c>
      <c r="Q2" s="2" t="s">
        <v>573</v>
      </c>
      <c r="R2" s="4" t="s">
        <v>663</v>
      </c>
      <c r="S2" s="4" t="s">
        <v>528</v>
      </c>
      <c r="T2" s="4"/>
      <c r="U2" s="4" t="s">
        <v>526</v>
      </c>
      <c r="V2" s="4" t="s">
        <v>5</v>
      </c>
    </row>
    <row r="3" spans="1:22" x14ac:dyDescent="0.25">
      <c r="A3" s="4" t="s">
        <v>257</v>
      </c>
      <c r="B3" s="4" t="s">
        <v>254</v>
      </c>
      <c r="C3" s="4" t="s">
        <v>49</v>
      </c>
      <c r="D3" s="4" t="s">
        <v>318</v>
      </c>
      <c r="E3" s="4"/>
      <c r="F3" s="4" t="s">
        <v>169</v>
      </c>
      <c r="G3" s="4" t="s">
        <v>259</v>
      </c>
      <c r="H3" s="4" t="s">
        <v>54</v>
      </c>
      <c r="I3" s="4" t="s">
        <v>54</v>
      </c>
      <c r="J3" s="13" t="str">
        <f t="shared" ca="1" si="0"/>
        <v>60624113402</v>
      </c>
      <c r="K3" s="13" t="str">
        <f t="shared" ca="1" si="0"/>
        <v>60624113402</v>
      </c>
      <c r="L3" s="4">
        <v>1234</v>
      </c>
      <c r="M3" s="4" t="s">
        <v>52</v>
      </c>
      <c r="N3" s="4" t="s">
        <v>52</v>
      </c>
      <c r="O3" s="4">
        <v>111</v>
      </c>
      <c r="P3" s="4">
        <v>1234</v>
      </c>
      <c r="Q3" s="2" t="s">
        <v>574</v>
      </c>
      <c r="R3" s="4" t="s">
        <v>664</v>
      </c>
      <c r="S3" s="4" t="s">
        <v>528</v>
      </c>
      <c r="T3" s="4"/>
      <c r="U3" s="4" t="s">
        <v>526</v>
      </c>
      <c r="V3" s="4" t="s">
        <v>5</v>
      </c>
    </row>
    <row r="4" spans="1:22" x14ac:dyDescent="0.25">
      <c r="A4" s="4" t="s">
        <v>257</v>
      </c>
      <c r="B4" s="4" t="s">
        <v>254</v>
      </c>
      <c r="C4" s="4" t="s">
        <v>49</v>
      </c>
      <c r="D4" s="4">
        <v>1234</v>
      </c>
      <c r="E4" s="4" t="s">
        <v>258</v>
      </c>
      <c r="F4" s="4" t="s">
        <v>169</v>
      </c>
      <c r="G4" s="4" t="s">
        <v>259</v>
      </c>
      <c r="H4" s="4" t="s">
        <v>54</v>
      </c>
      <c r="I4" s="4" t="s">
        <v>54</v>
      </c>
      <c r="J4" s="13" t="str">
        <f t="shared" ca="1" si="0"/>
        <v>60624113402</v>
      </c>
      <c r="K4" s="13" t="str">
        <f t="shared" ca="1" si="0"/>
        <v>60624113402</v>
      </c>
      <c r="L4" s="4">
        <v>1234</v>
      </c>
      <c r="M4" s="4" t="s">
        <v>52</v>
      </c>
      <c r="N4" s="4" t="s">
        <v>52</v>
      </c>
      <c r="O4" s="4">
        <v>111</v>
      </c>
      <c r="P4" s="4">
        <v>1234</v>
      </c>
      <c r="Q4" s="2" t="s">
        <v>572</v>
      </c>
      <c r="R4" s="4" t="s">
        <v>665</v>
      </c>
      <c r="S4" s="2" t="s">
        <v>579</v>
      </c>
      <c r="T4" s="4" t="s">
        <v>285</v>
      </c>
      <c r="U4" s="4" t="s">
        <v>8</v>
      </c>
      <c r="V4" s="4" t="s">
        <v>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opLeftCell="H1" workbookViewId="0">
      <selection activeCell="O25" sqref="O25"/>
    </sheetView>
  </sheetViews>
  <sheetFormatPr defaultRowHeight="15" x14ac:dyDescent="0.25"/>
  <cols>
    <col min="8" max="9" width="12" bestFit="1" customWidth="1"/>
    <col min="16" max="16" width="11.42578125" bestFit="1" customWidth="1"/>
    <col min="18" max="18" width="36.85546875" bestFit="1" customWidth="1"/>
    <col min="19" max="19" width="17.85546875" style="3" customWidth="1"/>
    <col min="20" max="20" width="19.28515625" style="3" bestFit="1" customWidth="1"/>
    <col min="21" max="21" width="13.42578125" style="3" customWidth="1"/>
  </cols>
  <sheetData>
    <row r="1" spans="1:22" x14ac:dyDescent="0.25">
      <c r="A1" s="1" t="s">
        <v>31</v>
      </c>
      <c r="B1" s="1" t="s">
        <v>32</v>
      </c>
      <c r="C1" s="1" t="s">
        <v>33</v>
      </c>
      <c r="D1" s="3" t="s">
        <v>34</v>
      </c>
      <c r="E1" s="1" t="s">
        <v>35</v>
      </c>
      <c r="F1" s="1" t="s">
        <v>36</v>
      </c>
      <c r="G1" s="3" t="s">
        <v>161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4" t="s">
        <v>0</v>
      </c>
      <c r="R1" s="4" t="s">
        <v>9</v>
      </c>
      <c r="S1" s="4" t="s">
        <v>527</v>
      </c>
      <c r="T1" s="3" t="s">
        <v>6</v>
      </c>
      <c r="U1" s="3" t="s">
        <v>7</v>
      </c>
      <c r="V1" s="4" t="s">
        <v>4</v>
      </c>
    </row>
    <row r="2" spans="1:22" x14ac:dyDescent="0.25">
      <c r="A2" s="4"/>
      <c r="B2" s="4" t="s">
        <v>254</v>
      </c>
      <c r="C2" s="4" t="s">
        <v>49</v>
      </c>
      <c r="D2" s="4" t="s">
        <v>318</v>
      </c>
      <c r="E2" s="4" t="s">
        <v>258</v>
      </c>
      <c r="F2" s="4" t="s">
        <v>169</v>
      </c>
      <c r="G2" s="4" t="s">
        <v>259</v>
      </c>
      <c r="H2" s="4" t="s">
        <v>54</v>
      </c>
      <c r="I2" s="4" t="s">
        <v>54</v>
      </c>
      <c r="J2" s="13" t="str">
        <f t="shared" ref="J2:K4" ca="1" si="0">CONCATENATE(RIGHT(TEXT(NOW(),"YYMMDDhhmmss"),11))</f>
        <v>60624113402</v>
      </c>
      <c r="K2" s="13" t="str">
        <f t="shared" ca="1" si="0"/>
        <v>60624113402</v>
      </c>
      <c r="L2" s="4">
        <v>1234</v>
      </c>
      <c r="M2" s="4" t="s">
        <v>52</v>
      </c>
      <c r="N2" s="4" t="s">
        <v>52</v>
      </c>
      <c r="O2" s="4">
        <v>111</v>
      </c>
      <c r="P2" s="4">
        <v>1234</v>
      </c>
      <c r="Q2" s="2" t="s">
        <v>573</v>
      </c>
      <c r="R2" s="4" t="s">
        <v>663</v>
      </c>
      <c r="S2" s="4" t="s">
        <v>528</v>
      </c>
      <c r="T2" s="4"/>
      <c r="U2" s="4" t="s">
        <v>526</v>
      </c>
      <c r="V2" s="4" t="s">
        <v>5</v>
      </c>
    </row>
    <row r="3" spans="1:22" s="3" customFormat="1" x14ac:dyDescent="0.25">
      <c r="A3" s="4" t="s">
        <v>257</v>
      </c>
      <c r="B3" s="4" t="s">
        <v>254</v>
      </c>
      <c r="C3" s="4" t="s">
        <v>49</v>
      </c>
      <c r="D3" s="4" t="s">
        <v>318</v>
      </c>
      <c r="E3" s="4"/>
      <c r="F3" s="4" t="s">
        <v>169</v>
      </c>
      <c r="G3" s="4" t="s">
        <v>259</v>
      </c>
      <c r="H3" s="4" t="s">
        <v>54</v>
      </c>
      <c r="I3" s="4" t="s">
        <v>54</v>
      </c>
      <c r="J3" s="13" t="str">
        <f t="shared" ca="1" si="0"/>
        <v>60624113402</v>
      </c>
      <c r="K3" s="13" t="str">
        <f t="shared" ca="1" si="0"/>
        <v>60624113402</v>
      </c>
      <c r="L3" s="4">
        <v>1234</v>
      </c>
      <c r="M3" s="4" t="s">
        <v>52</v>
      </c>
      <c r="N3" s="4" t="s">
        <v>52</v>
      </c>
      <c r="O3" s="4">
        <v>111</v>
      </c>
      <c r="P3" s="4">
        <v>1234</v>
      </c>
      <c r="Q3" s="2" t="s">
        <v>574</v>
      </c>
      <c r="R3" s="4" t="s">
        <v>664</v>
      </c>
      <c r="S3" s="4" t="s">
        <v>528</v>
      </c>
      <c r="T3" s="4"/>
      <c r="U3" s="4" t="s">
        <v>526</v>
      </c>
      <c r="V3" s="4" t="s">
        <v>5</v>
      </c>
    </row>
    <row r="4" spans="1:22" s="3" customFormat="1" x14ac:dyDescent="0.25">
      <c r="A4" s="4" t="s">
        <v>257</v>
      </c>
      <c r="B4" s="4" t="s">
        <v>254</v>
      </c>
      <c r="C4" s="4" t="s">
        <v>49</v>
      </c>
      <c r="D4" s="4">
        <v>1234</v>
      </c>
      <c r="E4" s="4" t="s">
        <v>258</v>
      </c>
      <c r="F4" s="4" t="s">
        <v>169</v>
      </c>
      <c r="G4" s="4" t="s">
        <v>259</v>
      </c>
      <c r="H4" s="4" t="s">
        <v>54</v>
      </c>
      <c r="I4" s="4" t="s">
        <v>54</v>
      </c>
      <c r="J4" s="13" t="str">
        <f t="shared" ca="1" si="0"/>
        <v>60624113402</v>
      </c>
      <c r="K4" s="13" t="str">
        <f t="shared" ca="1" si="0"/>
        <v>60624113402</v>
      </c>
      <c r="L4" s="4">
        <v>1234</v>
      </c>
      <c r="M4" s="4" t="s">
        <v>52</v>
      </c>
      <c r="N4" s="4" t="s">
        <v>52</v>
      </c>
      <c r="O4" s="4">
        <v>111</v>
      </c>
      <c r="P4" s="4">
        <v>1234</v>
      </c>
      <c r="Q4" s="2" t="s">
        <v>572</v>
      </c>
      <c r="R4" s="4" t="s">
        <v>665</v>
      </c>
      <c r="S4" s="2" t="s">
        <v>579</v>
      </c>
      <c r="T4" s="4" t="s">
        <v>285</v>
      </c>
      <c r="U4" s="4" t="s">
        <v>8</v>
      </c>
      <c r="V4" s="4" t="s">
        <v>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selection activeCell="I19" sqref="I19"/>
    </sheetView>
  </sheetViews>
  <sheetFormatPr defaultRowHeight="15" x14ac:dyDescent="0.25"/>
  <cols>
    <col min="1" max="1" width="15" style="3" bestFit="1" customWidth="1"/>
    <col min="2" max="2" width="18.140625" style="3" bestFit="1" customWidth="1"/>
    <col min="3" max="3" width="10.42578125" style="3" bestFit="1" customWidth="1"/>
    <col min="4" max="4" width="11" style="3" bestFit="1" customWidth="1"/>
    <col min="5" max="5" width="16.140625" style="3" bestFit="1" customWidth="1"/>
    <col min="6" max="6" width="13.28515625" style="3" bestFit="1" customWidth="1"/>
    <col min="7" max="7" width="9.140625" style="3"/>
    <col min="8" max="8" width="31.28515625" style="3" bestFit="1" customWidth="1"/>
    <col min="9" max="9" width="15.42578125" style="3" customWidth="1"/>
    <col min="10" max="10" width="19.28515625" style="3" bestFit="1" customWidth="1"/>
    <col min="11" max="11" width="15.42578125" style="3" customWidth="1"/>
    <col min="12" max="16384" width="9.140625" style="3"/>
  </cols>
  <sheetData>
    <row r="1" spans="1:23" x14ac:dyDescent="0.25">
      <c r="A1" s="4" t="s">
        <v>56</v>
      </c>
      <c r="B1" s="4" t="s">
        <v>57</v>
      </c>
      <c r="C1" s="4" t="s">
        <v>58</v>
      </c>
      <c r="D1" s="4" t="s">
        <v>59</v>
      </c>
      <c r="E1" s="4" t="s">
        <v>60</v>
      </c>
      <c r="F1" s="4" t="s">
        <v>61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5">
      <c r="A2" s="4"/>
      <c r="B2" s="4" t="s">
        <v>261</v>
      </c>
      <c r="C2" s="4" t="s">
        <v>113</v>
      </c>
      <c r="D2" s="12" t="str">
        <f ca="1">TEXT((NOW()+3652),"YYYY-MM-DD")</f>
        <v>2036-06-23</v>
      </c>
      <c r="E2" s="4" t="s">
        <v>65</v>
      </c>
      <c r="F2" s="4" t="s">
        <v>262</v>
      </c>
      <c r="G2" s="2" t="s">
        <v>573</v>
      </c>
      <c r="H2" s="4" t="s">
        <v>666</v>
      </c>
      <c r="I2" s="4" t="s">
        <v>528</v>
      </c>
      <c r="J2" s="4"/>
      <c r="K2" s="4" t="s">
        <v>526</v>
      </c>
      <c r="L2" s="4" t="s">
        <v>5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A3" s="4" t="s">
        <v>260</v>
      </c>
      <c r="B3" s="4"/>
      <c r="C3" s="4" t="s">
        <v>113</v>
      </c>
      <c r="D3" s="12" t="str">
        <f ca="1">TEXT((NOW()+3652),"YYYY-MM-DD")</f>
        <v>2036-06-23</v>
      </c>
      <c r="E3" s="4" t="s">
        <v>65</v>
      </c>
      <c r="F3" s="4" t="s">
        <v>262</v>
      </c>
      <c r="G3" s="2" t="s">
        <v>574</v>
      </c>
      <c r="H3" s="4" t="s">
        <v>667</v>
      </c>
      <c r="I3" s="4" t="s">
        <v>528</v>
      </c>
      <c r="J3" s="4"/>
      <c r="K3" s="4" t="s">
        <v>526</v>
      </c>
      <c r="L3" s="4" t="s">
        <v>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5">
      <c r="A4" s="4" t="s">
        <v>260</v>
      </c>
      <c r="B4" s="4" t="s">
        <v>261</v>
      </c>
      <c r="C4" s="4" t="s">
        <v>113</v>
      </c>
      <c r="D4" s="12" t="str">
        <f ca="1">TEXT((NOW()+3652),"YYYY-MM-DD")</f>
        <v>2036-06-23</v>
      </c>
      <c r="E4" s="4" t="s">
        <v>65</v>
      </c>
      <c r="F4" s="4" t="s">
        <v>262</v>
      </c>
      <c r="G4" s="2" t="s">
        <v>572</v>
      </c>
      <c r="H4" s="4" t="s">
        <v>668</v>
      </c>
      <c r="I4" s="2" t="s">
        <v>579</v>
      </c>
      <c r="J4" s="4" t="s">
        <v>285</v>
      </c>
      <c r="K4" s="4" t="s">
        <v>8</v>
      </c>
      <c r="L4" s="4" t="s">
        <v>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selection activeCell="C10" sqref="C10"/>
    </sheetView>
  </sheetViews>
  <sheetFormatPr defaultRowHeight="15" x14ac:dyDescent="0.25"/>
  <cols>
    <col min="1" max="1" width="15" bestFit="1" customWidth="1"/>
    <col min="2" max="2" width="18.140625" bestFit="1" customWidth="1"/>
    <col min="3" max="3" width="10.42578125" bestFit="1" customWidth="1"/>
    <col min="4" max="4" width="11" bestFit="1" customWidth="1"/>
    <col min="5" max="5" width="16.140625" bestFit="1" customWidth="1"/>
    <col min="6" max="6" width="13.28515625" bestFit="1" customWidth="1"/>
    <col min="8" max="8" width="31.28515625" bestFit="1" customWidth="1"/>
    <col min="9" max="9" width="15.42578125" style="3" customWidth="1"/>
    <col min="10" max="10" width="19.28515625" style="3" bestFit="1" customWidth="1"/>
    <col min="11" max="11" width="15.42578125" style="3" customWidth="1"/>
  </cols>
  <sheetData>
    <row r="1" spans="1:23" x14ac:dyDescent="0.25">
      <c r="A1" s="4" t="s">
        <v>56</v>
      </c>
      <c r="B1" s="4" t="s">
        <v>57</v>
      </c>
      <c r="C1" s="4" t="s">
        <v>58</v>
      </c>
      <c r="D1" s="4" t="s">
        <v>59</v>
      </c>
      <c r="E1" s="4" t="s">
        <v>60</v>
      </c>
      <c r="F1" s="4" t="s">
        <v>61</v>
      </c>
      <c r="G1" s="4" t="s">
        <v>0</v>
      </c>
      <c r="H1" s="4" t="s">
        <v>9</v>
      </c>
      <c r="I1" s="4" t="s">
        <v>527</v>
      </c>
      <c r="J1" s="3" t="s">
        <v>6</v>
      </c>
      <c r="K1" s="3" t="s">
        <v>7</v>
      </c>
      <c r="L1" s="4" t="s">
        <v>4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5">
      <c r="A2" s="4"/>
      <c r="B2" s="4" t="s">
        <v>261</v>
      </c>
      <c r="C2" s="4" t="s">
        <v>113</v>
      </c>
      <c r="D2" s="12" t="str">
        <f ca="1">TEXT((NOW()+3652),"YYYY-MM-DD")</f>
        <v>2036-06-23</v>
      </c>
      <c r="E2" s="4" t="s">
        <v>65</v>
      </c>
      <c r="F2" s="4" t="s">
        <v>262</v>
      </c>
      <c r="G2" s="2" t="s">
        <v>573</v>
      </c>
      <c r="H2" s="4" t="s">
        <v>666</v>
      </c>
      <c r="I2" s="4" t="s">
        <v>528</v>
      </c>
      <c r="J2" s="4"/>
      <c r="K2" s="4" t="s">
        <v>526</v>
      </c>
      <c r="L2" s="4" t="s">
        <v>5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3" customFormat="1" x14ac:dyDescent="0.25">
      <c r="A3" s="4" t="s">
        <v>260</v>
      </c>
      <c r="B3" s="4"/>
      <c r="C3" s="4" t="s">
        <v>113</v>
      </c>
      <c r="D3" s="12" t="str">
        <f ca="1">TEXT((NOW()+3652),"YYYY-MM-DD")</f>
        <v>2036-06-23</v>
      </c>
      <c r="E3" s="4" t="s">
        <v>65</v>
      </c>
      <c r="F3" s="4" t="s">
        <v>262</v>
      </c>
      <c r="G3" s="2" t="s">
        <v>574</v>
      </c>
      <c r="H3" s="4" t="s">
        <v>667</v>
      </c>
      <c r="I3" s="4" t="s">
        <v>528</v>
      </c>
      <c r="J3" s="4"/>
      <c r="K3" s="4" t="s">
        <v>526</v>
      </c>
      <c r="L3" s="4" t="s">
        <v>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3" customFormat="1" x14ac:dyDescent="0.25">
      <c r="A4" s="4" t="s">
        <v>260</v>
      </c>
      <c r="B4" s="4" t="s">
        <v>261</v>
      </c>
      <c r="C4" s="4" t="s">
        <v>113</v>
      </c>
      <c r="D4" s="12" t="str">
        <f ca="1">TEXT((NOW()+3652),"YYYY-MM-DD")</f>
        <v>2036-06-23</v>
      </c>
      <c r="E4" s="4" t="s">
        <v>65</v>
      </c>
      <c r="F4" s="4" t="s">
        <v>262</v>
      </c>
      <c r="G4" s="2" t="s">
        <v>572</v>
      </c>
      <c r="H4" s="4" t="s">
        <v>668</v>
      </c>
      <c r="I4" s="2" t="s">
        <v>579</v>
      </c>
      <c r="J4" s="4" t="s">
        <v>285</v>
      </c>
      <c r="K4" s="4" t="s">
        <v>8</v>
      </c>
      <c r="L4" s="4" t="s">
        <v>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H17" sqref="H17"/>
    </sheetView>
  </sheetViews>
  <sheetFormatPr defaultRowHeight="15" x14ac:dyDescent="0.25"/>
  <cols>
    <col min="1" max="1" width="9.140625" style="3"/>
    <col min="2" max="2" width="13.140625" style="3" bestFit="1" customWidth="1"/>
    <col min="3" max="3" width="11.5703125" style="3" bestFit="1" customWidth="1"/>
    <col min="4" max="4" width="9.140625" style="3"/>
    <col min="5" max="5" width="32.140625" style="3" bestFit="1" customWidth="1"/>
    <col min="6" max="6" width="12.28515625" style="3" customWidth="1"/>
    <col min="7" max="7" width="25.140625" style="3" bestFit="1" customWidth="1"/>
    <col min="8" max="8" width="12.28515625" style="3" customWidth="1"/>
    <col min="9" max="16384" width="9.140625" style="3"/>
  </cols>
  <sheetData>
    <row r="1" spans="1:9" x14ac:dyDescent="0.25">
      <c r="A1" s="3" t="s">
        <v>178</v>
      </c>
      <c r="B1" s="3" t="s">
        <v>179</v>
      </c>
      <c r="C1" s="3" t="s">
        <v>180</v>
      </c>
      <c r="D1" s="4" t="s">
        <v>0</v>
      </c>
      <c r="E1" s="4" t="s">
        <v>9</v>
      </c>
      <c r="F1" s="4" t="s">
        <v>527</v>
      </c>
      <c r="G1" s="3" t="s">
        <v>6</v>
      </c>
      <c r="H1" s="3" t="s">
        <v>7</v>
      </c>
      <c r="I1" s="4" t="s">
        <v>4</v>
      </c>
    </row>
    <row r="2" spans="1:9" x14ac:dyDescent="0.25">
      <c r="B2" s="3" t="s">
        <v>264</v>
      </c>
      <c r="C2" s="3" t="s">
        <v>21</v>
      </c>
      <c r="D2" s="2" t="s">
        <v>573</v>
      </c>
      <c r="E2" s="4" t="s">
        <v>669</v>
      </c>
      <c r="F2" s="4" t="s">
        <v>528</v>
      </c>
      <c r="G2" s="4"/>
      <c r="H2" s="4" t="s">
        <v>526</v>
      </c>
      <c r="I2" s="4" t="s">
        <v>5</v>
      </c>
    </row>
    <row r="3" spans="1:9" x14ac:dyDescent="0.25">
      <c r="A3" s="3" t="s">
        <v>263</v>
      </c>
      <c r="B3" s="3" t="s">
        <v>264</v>
      </c>
      <c r="C3" s="3" t="s">
        <v>21</v>
      </c>
      <c r="D3" s="2" t="s">
        <v>572</v>
      </c>
      <c r="E3" s="4" t="s">
        <v>670</v>
      </c>
      <c r="F3" s="2" t="s">
        <v>579</v>
      </c>
      <c r="G3" s="3" t="s">
        <v>447</v>
      </c>
      <c r="H3" s="4" t="s">
        <v>8</v>
      </c>
      <c r="I3" s="4" t="s">
        <v>5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G29" sqref="G29"/>
    </sheetView>
  </sheetViews>
  <sheetFormatPr defaultRowHeight="15" x14ac:dyDescent="0.25"/>
  <cols>
    <col min="2" max="2" width="13.140625" bestFit="1" customWidth="1"/>
    <col min="3" max="3" width="11.5703125" bestFit="1" customWidth="1"/>
    <col min="5" max="5" width="32.140625" bestFit="1" customWidth="1"/>
    <col min="6" max="6" width="12.28515625" style="3" customWidth="1"/>
    <col min="7" max="7" width="25.140625" style="3" bestFit="1" customWidth="1"/>
    <col min="8" max="8" width="12.28515625" style="3" customWidth="1"/>
  </cols>
  <sheetData>
    <row r="1" spans="1:9" x14ac:dyDescent="0.25">
      <c r="A1" t="s">
        <v>178</v>
      </c>
      <c r="B1" t="s">
        <v>179</v>
      </c>
      <c r="C1" t="s">
        <v>180</v>
      </c>
      <c r="D1" s="4" t="s">
        <v>0</v>
      </c>
      <c r="E1" s="4" t="s">
        <v>9</v>
      </c>
      <c r="F1" s="4" t="s">
        <v>527</v>
      </c>
      <c r="G1" s="3" t="s">
        <v>6</v>
      </c>
      <c r="H1" s="3" t="s">
        <v>7</v>
      </c>
      <c r="I1" s="4" t="s">
        <v>4</v>
      </c>
    </row>
    <row r="2" spans="1:9" x14ac:dyDescent="0.25">
      <c r="B2" t="s">
        <v>264</v>
      </c>
      <c r="C2" t="s">
        <v>21</v>
      </c>
      <c r="D2" s="2" t="s">
        <v>573</v>
      </c>
      <c r="E2" s="4" t="s">
        <v>669</v>
      </c>
      <c r="F2" s="4" t="s">
        <v>528</v>
      </c>
      <c r="G2" s="4"/>
      <c r="H2" s="4" t="s">
        <v>526</v>
      </c>
      <c r="I2" s="4" t="s">
        <v>5</v>
      </c>
    </row>
    <row r="3" spans="1:9" s="3" customFormat="1" x14ac:dyDescent="0.25">
      <c r="A3" s="3" t="s">
        <v>263</v>
      </c>
      <c r="B3" s="3" t="s">
        <v>264</v>
      </c>
      <c r="C3" s="3" t="s">
        <v>21</v>
      </c>
      <c r="D3" s="2" t="s">
        <v>572</v>
      </c>
      <c r="E3" s="4" t="s">
        <v>670</v>
      </c>
      <c r="F3" s="2" t="s">
        <v>579</v>
      </c>
      <c r="G3" s="3" t="s">
        <v>447</v>
      </c>
      <c r="H3" s="4" t="s">
        <v>8</v>
      </c>
      <c r="I3" s="4" t="s">
        <v>5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opLeftCell="G1" workbookViewId="0">
      <selection activeCell="M18" sqref="M18"/>
    </sheetView>
  </sheetViews>
  <sheetFormatPr defaultRowHeight="15" x14ac:dyDescent="0.25"/>
  <cols>
    <col min="1" max="1" width="23.42578125" bestFit="1" customWidth="1"/>
    <col min="2" max="2" width="18" bestFit="1" customWidth="1"/>
    <col min="4" max="4" width="11.5703125" bestFit="1" customWidth="1"/>
    <col min="6" max="6" width="12.42578125" bestFit="1" customWidth="1"/>
    <col min="7" max="7" width="10.7109375" bestFit="1" customWidth="1"/>
    <col min="8" max="8" width="14.5703125" bestFit="1" customWidth="1"/>
    <col min="9" max="9" width="23" bestFit="1" customWidth="1"/>
    <col min="11" max="11" width="40.85546875" bestFit="1" customWidth="1"/>
    <col min="12" max="12" width="14.28515625" style="3" customWidth="1"/>
    <col min="13" max="13" width="58" style="3" bestFit="1" customWidth="1"/>
    <col min="14" max="14" width="14.28515625" style="3" customWidth="1"/>
  </cols>
  <sheetData>
    <row r="1" spans="1:21" x14ac:dyDescent="0.25">
      <c r="A1" s="4" t="s">
        <v>187</v>
      </c>
      <c r="B1" s="4" t="s">
        <v>181</v>
      </c>
      <c r="C1" s="4" t="s">
        <v>182</v>
      </c>
      <c r="D1" s="4" t="s">
        <v>28</v>
      </c>
      <c r="E1" s="4" t="s">
        <v>440</v>
      </c>
      <c r="F1" s="4" t="s">
        <v>183</v>
      </c>
      <c r="G1" s="4" t="s">
        <v>184</v>
      </c>
      <c r="H1" s="4" t="s">
        <v>265</v>
      </c>
      <c r="I1" s="4" t="s">
        <v>266</v>
      </c>
      <c r="J1" s="4" t="s">
        <v>0</v>
      </c>
      <c r="K1" s="4" t="s">
        <v>9</v>
      </c>
      <c r="L1" s="4" t="s">
        <v>527</v>
      </c>
      <c r="M1" s="3" t="s">
        <v>6</v>
      </c>
      <c r="N1" s="3" t="s">
        <v>7</v>
      </c>
      <c r="O1" s="4" t="s">
        <v>4</v>
      </c>
      <c r="P1" s="4"/>
      <c r="Q1" s="4"/>
      <c r="R1" s="4"/>
      <c r="S1" s="4"/>
      <c r="T1" s="4"/>
      <c r="U1" s="4"/>
    </row>
    <row r="2" spans="1:21" s="3" customFormat="1" x14ac:dyDescent="0.25">
      <c r="A2" s="4" t="s">
        <v>414</v>
      </c>
      <c r="B2" s="4" t="s">
        <v>62</v>
      </c>
      <c r="C2" s="4" t="s">
        <v>84</v>
      </c>
      <c r="D2" s="4" t="s">
        <v>29</v>
      </c>
      <c r="E2" s="4" t="s">
        <v>188</v>
      </c>
      <c r="F2" s="4" t="s">
        <v>514</v>
      </c>
      <c r="G2" s="4" t="s">
        <v>524</v>
      </c>
      <c r="H2" s="13" t="str">
        <f ca="1">CONCATENATE(RIGHT(TEXT(NOW(),"YYMMDDhhmmss"),11))</f>
        <v>60624113402</v>
      </c>
      <c r="I2" s="4" t="s">
        <v>52</v>
      </c>
      <c r="J2" s="2" t="s">
        <v>572</v>
      </c>
      <c r="K2" s="4" t="s">
        <v>675</v>
      </c>
      <c r="L2" s="2" t="s">
        <v>579</v>
      </c>
      <c r="M2" s="3" t="s">
        <v>447</v>
      </c>
      <c r="N2" s="4" t="s">
        <v>8</v>
      </c>
      <c r="O2" s="4" t="s">
        <v>5</v>
      </c>
      <c r="P2" s="4"/>
      <c r="Q2" s="4"/>
      <c r="R2" s="4"/>
      <c r="S2" s="4"/>
      <c r="T2" s="4"/>
      <c r="U2" s="4"/>
    </row>
  </sheetData>
  <hyperlinks>
    <hyperlink ref="I2" r:id="rId1"/>
  </hyperlinks>
  <pageMargins left="0.7" right="0.7" top="0.75" bottom="0.75" header="0.3" footer="0.3"/>
  <pageSetup orientation="portrait"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G18" sqref="G18"/>
    </sheetView>
  </sheetViews>
  <sheetFormatPr defaultRowHeight="15" x14ac:dyDescent="0.25"/>
  <sheetData>
    <row r="1" spans="1:15" x14ac:dyDescent="0.25">
      <c r="A1" s="4" t="s">
        <v>187</v>
      </c>
      <c r="B1" s="4" t="s">
        <v>181</v>
      </c>
      <c r="C1" s="4" t="s">
        <v>182</v>
      </c>
      <c r="D1" s="4" t="s">
        <v>28</v>
      </c>
      <c r="E1" s="4" t="s">
        <v>440</v>
      </c>
      <c r="F1" s="4" t="s">
        <v>183</v>
      </c>
      <c r="G1" s="4" t="s">
        <v>184</v>
      </c>
      <c r="H1" s="4" t="s">
        <v>265</v>
      </c>
      <c r="I1" s="4" t="s">
        <v>266</v>
      </c>
      <c r="J1" s="4" t="s">
        <v>0</v>
      </c>
      <c r="K1" s="4" t="s">
        <v>9</v>
      </c>
      <c r="L1" s="4" t="s">
        <v>527</v>
      </c>
      <c r="M1" s="3" t="s">
        <v>6</v>
      </c>
      <c r="N1" s="3" t="s">
        <v>7</v>
      </c>
      <c r="O1" s="4" t="s">
        <v>4</v>
      </c>
    </row>
    <row r="2" spans="1:15" x14ac:dyDescent="0.25">
      <c r="A2" s="4"/>
      <c r="B2" s="4" t="s">
        <v>62</v>
      </c>
      <c r="C2" s="4" t="s">
        <v>84</v>
      </c>
      <c r="D2" s="4" t="s">
        <v>29</v>
      </c>
      <c r="E2" s="4" t="s">
        <v>188</v>
      </c>
      <c r="F2" s="3" t="s">
        <v>514</v>
      </c>
      <c r="G2" s="4" t="s">
        <v>524</v>
      </c>
      <c r="H2" s="13" t="str">
        <f ca="1">CONCATENATE(RIGHT(TEXT(NOW(),"YYMMDDhhmmss"),11))</f>
        <v>60624113402</v>
      </c>
      <c r="I2" s="4" t="s">
        <v>52</v>
      </c>
      <c r="J2" s="2" t="s">
        <v>573</v>
      </c>
      <c r="K2" s="4" t="s">
        <v>671</v>
      </c>
      <c r="L2" s="2" t="s">
        <v>579</v>
      </c>
      <c r="M2" s="3" t="s">
        <v>676</v>
      </c>
      <c r="N2" s="4" t="s">
        <v>526</v>
      </c>
      <c r="O2" s="4" t="s">
        <v>5</v>
      </c>
    </row>
    <row r="3" spans="1:15" x14ac:dyDescent="0.25">
      <c r="A3" s="4" t="s">
        <v>414</v>
      </c>
      <c r="B3" s="4" t="s">
        <v>62</v>
      </c>
      <c r="C3" s="4"/>
      <c r="D3" s="4" t="s">
        <v>29</v>
      </c>
      <c r="E3" s="4" t="s">
        <v>188</v>
      </c>
      <c r="F3" s="4" t="s">
        <v>514</v>
      </c>
      <c r="G3" s="4" t="s">
        <v>524</v>
      </c>
      <c r="H3" s="13" t="str">
        <f t="shared" ref="H3:H8" ca="1" si="0">CONCATENATE(RIGHT(TEXT(NOW(),"YYMMDDhhmmss"),11))</f>
        <v>60624113402</v>
      </c>
      <c r="I3" s="4" t="s">
        <v>52</v>
      </c>
      <c r="J3" s="2" t="s">
        <v>574</v>
      </c>
      <c r="K3" s="4" t="s">
        <v>672</v>
      </c>
      <c r="L3" s="2" t="s">
        <v>579</v>
      </c>
      <c r="M3" s="3" t="s">
        <v>677</v>
      </c>
      <c r="N3" s="4" t="s">
        <v>526</v>
      </c>
      <c r="O3" s="4" t="s">
        <v>5</v>
      </c>
    </row>
    <row r="4" spans="1:15" x14ac:dyDescent="0.25">
      <c r="A4" s="4" t="s">
        <v>414</v>
      </c>
      <c r="B4" s="4" t="s">
        <v>62</v>
      </c>
      <c r="C4" s="4" t="s">
        <v>84</v>
      </c>
      <c r="D4" s="4"/>
      <c r="E4" s="4" t="s">
        <v>188</v>
      </c>
      <c r="F4" s="4" t="s">
        <v>514</v>
      </c>
      <c r="G4" s="4" t="s">
        <v>524</v>
      </c>
      <c r="H4" s="13" t="str">
        <f t="shared" ca="1" si="0"/>
        <v>60624113402</v>
      </c>
      <c r="I4" s="4" t="s">
        <v>52</v>
      </c>
      <c r="J4" s="2" t="s">
        <v>575</v>
      </c>
      <c r="K4" s="4" t="s">
        <v>673</v>
      </c>
      <c r="L4" s="2" t="s">
        <v>579</v>
      </c>
      <c r="M4" s="3" t="s">
        <v>678</v>
      </c>
      <c r="N4" s="4" t="s">
        <v>526</v>
      </c>
      <c r="O4" s="4" t="s">
        <v>5</v>
      </c>
    </row>
    <row r="5" spans="1:15" x14ac:dyDescent="0.25">
      <c r="A5" s="4" t="s">
        <v>414</v>
      </c>
      <c r="B5" s="4" t="s">
        <v>62</v>
      </c>
      <c r="C5" s="4" t="s">
        <v>84</v>
      </c>
      <c r="D5" s="4" t="s">
        <v>29</v>
      </c>
      <c r="E5" s="4" t="s">
        <v>188</v>
      </c>
      <c r="F5" s="4" t="s">
        <v>514</v>
      </c>
      <c r="G5" s="4"/>
      <c r="H5" s="13" t="str">
        <f t="shared" ca="1" si="0"/>
        <v>60624113402</v>
      </c>
      <c r="I5" s="4" t="s">
        <v>52</v>
      </c>
      <c r="J5" s="2" t="s">
        <v>576</v>
      </c>
      <c r="K5" s="4" t="s">
        <v>674</v>
      </c>
      <c r="L5" s="2" t="s">
        <v>579</v>
      </c>
      <c r="M5" s="3" t="s">
        <v>596</v>
      </c>
      <c r="N5" s="4" t="s">
        <v>526</v>
      </c>
      <c r="O5" s="4" t="s">
        <v>5</v>
      </c>
    </row>
    <row r="6" spans="1:15" x14ac:dyDescent="0.25">
      <c r="A6" s="4" t="s">
        <v>414</v>
      </c>
      <c r="B6" s="4" t="s">
        <v>62</v>
      </c>
      <c r="C6" s="4" t="s">
        <v>84</v>
      </c>
      <c r="D6" s="4" t="s">
        <v>29</v>
      </c>
      <c r="E6" s="4" t="s">
        <v>188</v>
      </c>
      <c r="F6" s="4" t="s">
        <v>514</v>
      </c>
      <c r="G6" s="4" t="s">
        <v>524</v>
      </c>
      <c r="H6" s="13"/>
      <c r="I6" s="4" t="s">
        <v>52</v>
      </c>
      <c r="J6" s="2" t="s">
        <v>577</v>
      </c>
      <c r="K6" s="4" t="s">
        <v>680</v>
      </c>
      <c r="L6" s="2" t="s">
        <v>579</v>
      </c>
      <c r="M6" s="3" t="s">
        <v>681</v>
      </c>
      <c r="N6" s="4" t="s">
        <v>526</v>
      </c>
      <c r="O6" s="4" t="s">
        <v>5</v>
      </c>
    </row>
    <row r="7" spans="1:15" x14ac:dyDescent="0.25">
      <c r="A7" s="4" t="s">
        <v>414</v>
      </c>
      <c r="B7" s="4" t="s">
        <v>62</v>
      </c>
      <c r="C7" s="4" t="s">
        <v>84</v>
      </c>
      <c r="D7" s="4" t="s">
        <v>29</v>
      </c>
      <c r="E7" s="4" t="s">
        <v>188</v>
      </c>
      <c r="F7" s="4" t="s">
        <v>514</v>
      </c>
      <c r="G7" s="4" t="s">
        <v>524</v>
      </c>
      <c r="H7" s="13" t="str">
        <f ca="1">CONCATENATE(RIGHT(TEXT(NOW(),"YYMMDDhhmmss"),10))</f>
        <v>0624113402</v>
      </c>
      <c r="I7" s="4" t="s">
        <v>52</v>
      </c>
      <c r="J7" s="2" t="s">
        <v>578</v>
      </c>
      <c r="K7" s="4" t="s">
        <v>675</v>
      </c>
      <c r="L7" s="2" t="s">
        <v>579</v>
      </c>
      <c r="M7" s="3" t="s">
        <v>679</v>
      </c>
      <c r="N7" s="4" t="s">
        <v>526</v>
      </c>
      <c r="O7" s="4" t="s">
        <v>5</v>
      </c>
    </row>
    <row r="8" spans="1:15" x14ac:dyDescent="0.25">
      <c r="A8" s="4" t="s">
        <v>414</v>
      </c>
      <c r="B8" s="4" t="s">
        <v>62</v>
      </c>
      <c r="C8" s="4" t="s">
        <v>84</v>
      </c>
      <c r="D8" s="4" t="s">
        <v>29</v>
      </c>
      <c r="E8" s="4" t="s">
        <v>188</v>
      </c>
      <c r="F8" s="4" t="s">
        <v>514</v>
      </c>
      <c r="G8" s="4" t="s">
        <v>524</v>
      </c>
      <c r="H8" s="13" t="str">
        <f t="shared" ca="1" si="0"/>
        <v>60624113402</v>
      </c>
      <c r="I8" s="4" t="s">
        <v>52</v>
      </c>
      <c r="J8" s="2" t="s">
        <v>572</v>
      </c>
      <c r="K8" s="4" t="s">
        <v>675</v>
      </c>
      <c r="L8" s="2" t="s">
        <v>579</v>
      </c>
      <c r="M8" s="3" t="s">
        <v>447</v>
      </c>
      <c r="N8" s="4" t="s">
        <v>8</v>
      </c>
      <c r="O8" s="4" t="s">
        <v>5</v>
      </c>
    </row>
  </sheetData>
  <hyperlinks>
    <hyperlink ref="I2" r:id="rId1"/>
    <hyperlink ref="I3" r:id="rId2"/>
    <hyperlink ref="I4" r:id="rId3"/>
    <hyperlink ref="I5" r:id="rId4"/>
    <hyperlink ref="I8" r:id="rId5"/>
    <hyperlink ref="I6" r:id="rId6"/>
    <hyperlink ref="I7" r:id="rId7"/>
  </hyperlink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selection activeCell="A2" sqref="A2"/>
    </sheetView>
  </sheetViews>
  <sheetFormatPr defaultRowHeight="15" x14ac:dyDescent="0.25"/>
  <cols>
    <col min="2" max="2" width="11.5703125" bestFit="1" customWidth="1"/>
    <col min="3" max="3" width="14.85546875" bestFit="1" customWidth="1"/>
    <col min="7" max="7" width="21.85546875" bestFit="1" customWidth="1"/>
    <col min="9" max="9" width="10.85546875" bestFit="1" customWidth="1"/>
    <col min="10" max="10" width="11.140625" bestFit="1" customWidth="1"/>
    <col min="11" max="11" width="6.140625" customWidth="1"/>
    <col min="12" max="12" width="24.7109375" bestFit="1" customWidth="1"/>
    <col min="13" max="13" width="16.28515625" bestFit="1" customWidth="1"/>
    <col min="14" max="14" width="55.5703125" bestFit="1" customWidth="1"/>
    <col min="15" max="15" width="10.5703125" bestFit="1" customWidth="1"/>
    <col min="16" max="16" width="10.28515625" bestFit="1" customWidth="1"/>
  </cols>
  <sheetData>
    <row r="1" spans="1:24" s="3" customFormat="1" ht="13.5" customHeight="1" x14ac:dyDescent="0.25">
      <c r="A1" s="16" t="s">
        <v>289</v>
      </c>
      <c r="B1" s="4" t="s">
        <v>284</v>
      </c>
      <c r="C1" s="4" t="s">
        <v>305</v>
      </c>
      <c r="D1" s="4" t="s">
        <v>282</v>
      </c>
      <c r="E1" s="4" t="s">
        <v>24</v>
      </c>
      <c r="F1" s="4" t="s">
        <v>362</v>
      </c>
      <c r="G1" s="4" t="s">
        <v>89</v>
      </c>
      <c r="H1" s="4" t="s">
        <v>199</v>
      </c>
      <c r="I1" s="4" t="s">
        <v>363</v>
      </c>
      <c r="J1" s="4" t="s">
        <v>364</v>
      </c>
      <c r="K1" s="4" t="s">
        <v>0</v>
      </c>
      <c r="L1" s="4" t="s">
        <v>9</v>
      </c>
      <c r="M1" s="4" t="s">
        <v>527</v>
      </c>
      <c r="N1" s="4" t="s">
        <v>6</v>
      </c>
      <c r="O1" s="4" t="s">
        <v>7</v>
      </c>
      <c r="P1" s="4" t="s">
        <v>4</v>
      </c>
      <c r="Q1" s="4" t="s">
        <v>84</v>
      </c>
      <c r="R1" s="4"/>
      <c r="S1" s="4"/>
      <c r="T1" s="4"/>
      <c r="U1" s="4"/>
      <c r="V1" s="4"/>
      <c r="W1" s="4"/>
      <c r="X1" s="4"/>
    </row>
    <row r="2" spans="1:24" x14ac:dyDescent="0.25">
      <c r="A2" s="13" t="str">
        <f ca="1">LEFT(CONCATENATE("01000",TEXT(NOW(),"ssHH")),8)</f>
        <v>01000021</v>
      </c>
      <c r="B2" s="4" t="s">
        <v>21</v>
      </c>
      <c r="C2" s="4" t="s">
        <v>47</v>
      </c>
      <c r="D2" s="4" t="s">
        <v>118</v>
      </c>
      <c r="E2" s="4" t="s">
        <v>53</v>
      </c>
      <c r="F2" s="4" t="s">
        <v>112</v>
      </c>
      <c r="G2" s="4" t="s">
        <v>50</v>
      </c>
      <c r="H2" s="4" t="s">
        <v>217</v>
      </c>
      <c r="I2" s="4" t="s">
        <v>27</v>
      </c>
      <c r="J2" s="4" t="s">
        <v>316</v>
      </c>
      <c r="K2" s="2" t="s">
        <v>628</v>
      </c>
      <c r="L2" s="4" t="s">
        <v>705</v>
      </c>
      <c r="M2" s="2" t="s">
        <v>579</v>
      </c>
      <c r="N2" s="4" t="s">
        <v>285</v>
      </c>
      <c r="O2" s="4" t="s">
        <v>8</v>
      </c>
      <c r="P2" s="4" t="s">
        <v>5</v>
      </c>
      <c r="Q2" s="4" t="s">
        <v>84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workbookViewId="0">
      <selection activeCell="D14" sqref="D14"/>
    </sheetView>
  </sheetViews>
  <sheetFormatPr defaultRowHeight="15" x14ac:dyDescent="0.25"/>
  <sheetData>
    <row r="1" spans="1:24" s="3" customFormat="1" ht="13.5" customHeight="1" x14ac:dyDescent="0.25">
      <c r="A1" s="13" t="str">
        <f t="shared" ref="A1:A8" ca="1" si="0">LEFT(CONCATENATE("01000",TEXT(NOW(),"ssHH")),8)</f>
        <v>01000021</v>
      </c>
      <c r="B1" s="4" t="s">
        <v>284</v>
      </c>
      <c r="C1" s="4" t="s">
        <v>305</v>
      </c>
      <c r="D1" s="4" t="s">
        <v>282</v>
      </c>
      <c r="E1" s="4" t="s">
        <v>24</v>
      </c>
      <c r="F1" s="4" t="s">
        <v>362</v>
      </c>
      <c r="G1" s="4" t="s">
        <v>89</v>
      </c>
      <c r="H1" s="4" t="s">
        <v>199</v>
      </c>
      <c r="I1" s="4" t="s">
        <v>363</v>
      </c>
      <c r="J1" s="4" t="s">
        <v>364</v>
      </c>
      <c r="K1" s="4" t="s">
        <v>0</v>
      </c>
      <c r="L1" s="4" t="s">
        <v>9</v>
      </c>
      <c r="M1" s="4" t="s">
        <v>527</v>
      </c>
      <c r="N1" s="4" t="s">
        <v>6</v>
      </c>
      <c r="O1" s="4" t="s">
        <v>7</v>
      </c>
      <c r="P1" s="4" t="s">
        <v>4</v>
      </c>
      <c r="Q1" s="4" t="s">
        <v>84</v>
      </c>
      <c r="R1" s="4"/>
      <c r="S1" s="4"/>
      <c r="T1" s="4"/>
      <c r="U1" s="4"/>
      <c r="V1" s="4"/>
      <c r="W1" s="4"/>
      <c r="X1" s="4"/>
    </row>
    <row r="2" spans="1:24" s="3" customFormat="1" x14ac:dyDescent="0.25">
      <c r="A2" s="2"/>
      <c r="B2" s="4" t="s">
        <v>21</v>
      </c>
      <c r="C2" s="4" t="s">
        <v>47</v>
      </c>
      <c r="D2" s="4" t="s">
        <v>118</v>
      </c>
      <c r="E2" s="4" t="s">
        <v>53</v>
      </c>
      <c r="F2" s="4" t="s">
        <v>112</v>
      </c>
      <c r="G2" s="4" t="s">
        <v>50</v>
      </c>
      <c r="H2" s="4" t="s">
        <v>217</v>
      </c>
      <c r="I2" s="4" t="s">
        <v>27</v>
      </c>
      <c r="J2" s="4" t="s">
        <v>316</v>
      </c>
      <c r="K2" s="2" t="s">
        <v>3</v>
      </c>
      <c r="L2" s="4" t="s">
        <v>700</v>
      </c>
      <c r="M2" s="4" t="s">
        <v>528</v>
      </c>
      <c r="N2" s="4"/>
      <c r="O2" s="4" t="s">
        <v>526</v>
      </c>
      <c r="P2" s="4" t="s">
        <v>5</v>
      </c>
      <c r="Q2" s="4" t="s">
        <v>84</v>
      </c>
    </row>
    <row r="3" spans="1:24" s="3" customFormat="1" x14ac:dyDescent="0.25">
      <c r="A3" s="13" t="str">
        <f t="shared" ca="1" si="0"/>
        <v>01000021</v>
      </c>
      <c r="B3" s="4"/>
      <c r="C3" s="4" t="s">
        <v>47</v>
      </c>
      <c r="D3" s="4" t="s">
        <v>118</v>
      </c>
      <c r="E3" s="4" t="s">
        <v>53</v>
      </c>
      <c r="F3" s="4" t="s">
        <v>112</v>
      </c>
      <c r="G3" s="4" t="s">
        <v>50</v>
      </c>
      <c r="H3" s="4" t="s">
        <v>217</v>
      </c>
      <c r="I3" s="4" t="s">
        <v>27</v>
      </c>
      <c r="J3" s="4" t="s">
        <v>316</v>
      </c>
      <c r="K3" s="2" t="s">
        <v>543</v>
      </c>
      <c r="L3" s="4" t="s">
        <v>645</v>
      </c>
      <c r="M3" s="4" t="s">
        <v>528</v>
      </c>
      <c r="N3" s="4"/>
      <c r="O3" s="4" t="s">
        <v>526</v>
      </c>
      <c r="P3" s="4" t="s">
        <v>5</v>
      </c>
      <c r="Q3" s="4" t="s">
        <v>84</v>
      </c>
    </row>
    <row r="4" spans="1:24" s="3" customFormat="1" x14ac:dyDescent="0.25">
      <c r="A4" s="13" t="str">
        <f t="shared" ca="1" si="0"/>
        <v>01000021</v>
      </c>
      <c r="B4" s="4" t="s">
        <v>21</v>
      </c>
      <c r="C4" s="4" t="s">
        <v>47</v>
      </c>
      <c r="D4" s="4"/>
      <c r="E4" s="4" t="s">
        <v>53</v>
      </c>
      <c r="F4" s="4" t="s">
        <v>112</v>
      </c>
      <c r="G4" s="4" t="s">
        <v>50</v>
      </c>
      <c r="H4" s="4" t="s">
        <v>217</v>
      </c>
      <c r="I4" s="4" t="s">
        <v>27</v>
      </c>
      <c r="J4" s="4" t="s">
        <v>316</v>
      </c>
      <c r="K4" s="2" t="s">
        <v>410</v>
      </c>
      <c r="L4" s="4" t="s">
        <v>646</v>
      </c>
      <c r="M4" s="4" t="s">
        <v>528</v>
      </c>
      <c r="N4" s="4"/>
      <c r="O4" s="4" t="s">
        <v>526</v>
      </c>
      <c r="P4" s="4" t="s">
        <v>5</v>
      </c>
      <c r="Q4" s="4" t="s">
        <v>84</v>
      </c>
    </row>
    <row r="5" spans="1:24" s="3" customFormat="1" x14ac:dyDescent="0.25">
      <c r="A5" s="13" t="str">
        <f t="shared" ca="1" si="0"/>
        <v>01000021</v>
      </c>
      <c r="B5" s="4" t="s">
        <v>21</v>
      </c>
      <c r="C5" s="4" t="s">
        <v>47</v>
      </c>
      <c r="D5" s="4" t="s">
        <v>118</v>
      </c>
      <c r="E5" s="4"/>
      <c r="F5" s="4" t="s">
        <v>112</v>
      </c>
      <c r="G5" s="4" t="s">
        <v>50</v>
      </c>
      <c r="H5" s="4" t="s">
        <v>217</v>
      </c>
      <c r="I5" s="4" t="s">
        <v>27</v>
      </c>
      <c r="J5" s="4" t="s">
        <v>316</v>
      </c>
      <c r="K5" s="2" t="s">
        <v>544</v>
      </c>
      <c r="L5" s="4" t="s">
        <v>647</v>
      </c>
      <c r="M5" s="4" t="s">
        <v>528</v>
      </c>
      <c r="N5" s="4"/>
      <c r="O5" s="4" t="s">
        <v>526</v>
      </c>
      <c r="P5" s="4" t="s">
        <v>5</v>
      </c>
      <c r="Q5" s="4" t="s">
        <v>84</v>
      </c>
    </row>
    <row r="6" spans="1:24" s="3" customFormat="1" x14ac:dyDescent="0.25">
      <c r="A6" s="13" t="str">
        <f t="shared" ca="1" si="0"/>
        <v>01000021</v>
      </c>
      <c r="B6" s="4" t="s">
        <v>21</v>
      </c>
      <c r="C6" s="4" t="s">
        <v>47</v>
      </c>
      <c r="D6" s="4" t="s">
        <v>118</v>
      </c>
      <c r="E6" s="4" t="s">
        <v>53</v>
      </c>
      <c r="F6" s="4"/>
      <c r="G6" s="4" t="s">
        <v>50</v>
      </c>
      <c r="H6" s="4" t="s">
        <v>217</v>
      </c>
      <c r="I6" s="4" t="s">
        <v>27</v>
      </c>
      <c r="J6" s="4" t="s">
        <v>316</v>
      </c>
      <c r="K6" s="2" t="s">
        <v>545</v>
      </c>
      <c r="L6" s="4" t="s">
        <v>648</v>
      </c>
      <c r="M6" s="4" t="s">
        <v>528</v>
      </c>
      <c r="N6" s="4"/>
      <c r="O6" s="4" t="s">
        <v>526</v>
      </c>
      <c r="P6" s="4" t="s">
        <v>5</v>
      </c>
      <c r="Q6" s="4" t="s">
        <v>84</v>
      </c>
    </row>
    <row r="7" spans="1:24" s="3" customFormat="1" x14ac:dyDescent="0.25">
      <c r="A7" s="13" t="str">
        <f t="shared" ca="1" si="0"/>
        <v>01000021</v>
      </c>
      <c r="B7" s="4" t="s">
        <v>21</v>
      </c>
      <c r="C7" s="4" t="s">
        <v>47</v>
      </c>
      <c r="D7" s="4" t="s">
        <v>118</v>
      </c>
      <c r="E7" s="4" t="s">
        <v>53</v>
      </c>
      <c r="F7" s="4" t="s">
        <v>112</v>
      </c>
      <c r="G7" s="4" t="s">
        <v>50</v>
      </c>
      <c r="H7" s="4"/>
      <c r="I7" s="4" t="s">
        <v>27</v>
      </c>
      <c r="J7" s="4" t="s">
        <v>316</v>
      </c>
      <c r="K7" s="2" t="s">
        <v>546</v>
      </c>
      <c r="L7" s="4" t="s">
        <v>649</v>
      </c>
      <c r="M7" s="4" t="s">
        <v>528</v>
      </c>
      <c r="N7" s="4"/>
      <c r="O7" s="4" t="s">
        <v>526</v>
      </c>
      <c r="P7" s="4" t="s">
        <v>5</v>
      </c>
      <c r="Q7" s="4" t="s">
        <v>84</v>
      </c>
    </row>
    <row r="8" spans="1:24" s="3" customFormat="1" x14ac:dyDescent="0.25">
      <c r="A8" s="13" t="str">
        <f t="shared" ca="1" si="0"/>
        <v>01000021</v>
      </c>
      <c r="B8" s="4" t="s">
        <v>21</v>
      </c>
      <c r="C8" s="4" t="s">
        <v>47</v>
      </c>
      <c r="D8" s="4" t="s">
        <v>118</v>
      </c>
      <c r="E8" s="4" t="s">
        <v>53</v>
      </c>
      <c r="F8" s="4" t="s">
        <v>112</v>
      </c>
      <c r="G8" s="4" t="s">
        <v>50</v>
      </c>
      <c r="H8" s="4" t="s">
        <v>217</v>
      </c>
      <c r="I8" s="4"/>
      <c r="J8" s="4" t="s">
        <v>316</v>
      </c>
      <c r="K8" s="2" t="s">
        <v>619</v>
      </c>
      <c r="L8" s="4" t="s">
        <v>701</v>
      </c>
      <c r="M8" s="4" t="s">
        <v>528</v>
      </c>
      <c r="N8" s="4"/>
      <c r="O8" s="4" t="s">
        <v>526</v>
      </c>
      <c r="P8" s="4" t="s">
        <v>5</v>
      </c>
      <c r="Q8" s="4" t="s">
        <v>84</v>
      </c>
    </row>
    <row r="9" spans="1:24" s="3" customFormat="1" x14ac:dyDescent="0.25">
      <c r="A9" s="13" t="s">
        <v>3</v>
      </c>
      <c r="B9" s="4" t="s">
        <v>21</v>
      </c>
      <c r="C9" s="4" t="s">
        <v>47</v>
      </c>
      <c r="D9" s="4" t="s">
        <v>23</v>
      </c>
      <c r="E9" s="4" t="s">
        <v>53</v>
      </c>
      <c r="F9" s="4" t="s">
        <v>112</v>
      </c>
      <c r="G9" s="4" t="s">
        <v>50</v>
      </c>
      <c r="H9" s="4" t="s">
        <v>217</v>
      </c>
      <c r="I9" s="4" t="s">
        <v>27</v>
      </c>
      <c r="J9" s="4" t="s">
        <v>316</v>
      </c>
      <c r="K9" s="2" t="s">
        <v>627</v>
      </c>
      <c r="L9" s="4" t="s">
        <v>702</v>
      </c>
      <c r="M9" s="2" t="s">
        <v>579</v>
      </c>
      <c r="N9" s="4" t="s">
        <v>650</v>
      </c>
      <c r="O9" s="4" t="s">
        <v>526</v>
      </c>
      <c r="P9" s="4" t="s">
        <v>5</v>
      </c>
      <c r="Q9" s="4" t="s">
        <v>84</v>
      </c>
    </row>
    <row r="10" spans="1:24" s="3" customFormat="1" x14ac:dyDescent="0.25">
      <c r="A10" s="13" t="str">
        <f ca="1">LEFT(CONCATENATE("01000",TEXT(NOW(),"ssHH")),6)</f>
        <v>010000</v>
      </c>
      <c r="B10" s="4" t="s">
        <v>21</v>
      </c>
      <c r="C10" s="4" t="s">
        <v>47</v>
      </c>
      <c r="D10" s="4" t="s">
        <v>118</v>
      </c>
      <c r="E10" s="4" t="s">
        <v>53</v>
      </c>
      <c r="F10" s="4" t="s">
        <v>112</v>
      </c>
      <c r="G10" s="4" t="s">
        <v>50</v>
      </c>
      <c r="H10" s="4" t="s">
        <v>217</v>
      </c>
      <c r="I10" s="4" t="s">
        <v>27</v>
      </c>
      <c r="J10" s="4" t="s">
        <v>316</v>
      </c>
      <c r="K10" s="2" t="s">
        <v>628</v>
      </c>
      <c r="L10" s="4" t="s">
        <v>703</v>
      </c>
      <c r="M10" s="2" t="s">
        <v>579</v>
      </c>
      <c r="N10" s="3" t="s">
        <v>706</v>
      </c>
      <c r="O10" s="4" t="s">
        <v>526</v>
      </c>
      <c r="P10" s="4" t="s">
        <v>5</v>
      </c>
      <c r="Q10" s="4" t="s">
        <v>84</v>
      </c>
    </row>
    <row r="11" spans="1:24" s="3" customFormat="1" x14ac:dyDescent="0.25">
      <c r="A11" s="13" t="str">
        <f ca="1">LEFT(CONCATENATE("01000",TEXT(NOW(),"ssHH")),8)</f>
        <v>01000021</v>
      </c>
      <c r="B11" s="4" t="s">
        <v>21</v>
      </c>
      <c r="C11" s="4" t="s">
        <v>47</v>
      </c>
      <c r="D11" s="4" t="s">
        <v>118</v>
      </c>
      <c r="E11" s="4" t="s">
        <v>53</v>
      </c>
      <c r="F11" s="4" t="s">
        <v>112</v>
      </c>
      <c r="G11" s="4" t="s">
        <v>50</v>
      </c>
      <c r="H11" s="4" t="s">
        <v>217</v>
      </c>
      <c r="I11" s="4" t="s">
        <v>27</v>
      </c>
      <c r="J11" s="4" t="s">
        <v>316</v>
      </c>
      <c r="K11" s="2" t="s">
        <v>335</v>
      </c>
      <c r="L11" s="4" t="s">
        <v>705</v>
      </c>
      <c r="M11" s="2" t="s">
        <v>579</v>
      </c>
      <c r="N11" s="4" t="s">
        <v>285</v>
      </c>
      <c r="O11" s="4" t="s">
        <v>8</v>
      </c>
      <c r="P11" s="4" t="s">
        <v>5</v>
      </c>
      <c r="Q11" s="4" t="s">
        <v>84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opLeftCell="N1" workbookViewId="0">
      <selection activeCell="Q21" sqref="Q21"/>
    </sheetView>
  </sheetViews>
  <sheetFormatPr defaultRowHeight="15" x14ac:dyDescent="0.25"/>
  <cols>
    <col min="1" max="5" width="11.140625" bestFit="1" customWidth="1"/>
    <col min="11" max="15" width="14.42578125" bestFit="1" customWidth="1"/>
    <col min="16" max="16" width="17.7109375" bestFit="1" customWidth="1"/>
    <col min="17" max="17" width="23" bestFit="1" customWidth="1"/>
    <col min="18" max="22" width="10.85546875" bestFit="1" customWidth="1"/>
    <col min="24" max="24" width="31.7109375" bestFit="1" customWidth="1"/>
    <col min="25" max="25" width="19.28515625" bestFit="1" customWidth="1"/>
    <col min="26" max="26" width="10.5703125" bestFit="1" customWidth="1"/>
    <col min="27" max="27" width="10.28515625" bestFit="1" customWidth="1"/>
  </cols>
  <sheetData>
    <row r="1" spans="1:28" x14ac:dyDescent="0.25">
      <c r="A1" s="4" t="s">
        <v>365</v>
      </c>
      <c r="B1" s="4" t="s">
        <v>366</v>
      </c>
      <c r="C1" s="4" t="s">
        <v>367</v>
      </c>
      <c r="D1" s="4" t="s">
        <v>368</v>
      </c>
      <c r="E1" s="4" t="s">
        <v>369</v>
      </c>
      <c r="F1" s="4" t="s">
        <v>370</v>
      </c>
      <c r="G1" t="s">
        <v>372</v>
      </c>
      <c r="H1" t="s">
        <v>373</v>
      </c>
      <c r="I1" t="s">
        <v>374</v>
      </c>
      <c r="J1" t="s">
        <v>375</v>
      </c>
      <c r="K1" t="s">
        <v>381</v>
      </c>
      <c r="L1" t="s">
        <v>382</v>
      </c>
      <c r="M1" t="s">
        <v>383</v>
      </c>
      <c r="N1" t="s">
        <v>384</v>
      </c>
      <c r="O1" t="s">
        <v>385</v>
      </c>
      <c r="P1" t="s">
        <v>389</v>
      </c>
      <c r="Q1" t="s">
        <v>391</v>
      </c>
      <c r="R1" t="s">
        <v>392</v>
      </c>
      <c r="S1" t="s">
        <v>393</v>
      </c>
      <c r="T1" t="s">
        <v>395</v>
      </c>
      <c r="U1" t="s">
        <v>397</v>
      </c>
      <c r="V1" t="s">
        <v>399</v>
      </c>
      <c r="W1" s="3" t="s">
        <v>0</v>
      </c>
      <c r="X1" s="3" t="s">
        <v>9</v>
      </c>
      <c r="Y1" s="3" t="s">
        <v>6</v>
      </c>
      <c r="Z1" s="3" t="s">
        <v>7</v>
      </c>
      <c r="AA1" s="3" t="s">
        <v>4</v>
      </c>
      <c r="AB1" s="3" t="s">
        <v>84</v>
      </c>
    </row>
    <row r="2" spans="1:28" x14ac:dyDescent="0.25">
      <c r="A2" s="4" t="s">
        <v>371</v>
      </c>
      <c r="B2" s="4" t="s">
        <v>371</v>
      </c>
      <c r="C2" s="4" t="s">
        <v>371</v>
      </c>
      <c r="D2" s="4" t="s">
        <v>371</v>
      </c>
      <c r="E2" s="4" t="s">
        <v>371</v>
      </c>
      <c r="F2" s="4" t="s">
        <v>376</v>
      </c>
      <c r="G2" s="4" t="s">
        <v>377</v>
      </c>
      <c r="H2" s="4" t="s">
        <v>378</v>
      </c>
      <c r="I2" s="4" t="s">
        <v>379</v>
      </c>
      <c r="J2" s="4" t="s">
        <v>380</v>
      </c>
      <c r="K2" s="4" t="s">
        <v>226</v>
      </c>
      <c r="L2" s="4" t="s">
        <v>245</v>
      </c>
      <c r="M2" s="4" t="s">
        <v>386</v>
      </c>
      <c r="N2" s="4" t="s">
        <v>387</v>
      </c>
      <c r="O2" s="4" t="s">
        <v>388</v>
      </c>
      <c r="P2" s="8" t="s">
        <v>390</v>
      </c>
      <c r="Q2" s="4" t="s">
        <v>52</v>
      </c>
      <c r="R2" s="4" t="s">
        <v>300</v>
      </c>
      <c r="S2" s="4" t="s">
        <v>394</v>
      </c>
      <c r="T2" s="4" t="s">
        <v>396</v>
      </c>
      <c r="U2" s="4" t="s">
        <v>398</v>
      </c>
      <c r="V2" s="4" t="s">
        <v>400</v>
      </c>
      <c r="W2" s="9" t="s">
        <v>704</v>
      </c>
      <c r="X2" s="3" t="s">
        <v>401</v>
      </c>
      <c r="Y2" s="3" t="s">
        <v>285</v>
      </c>
      <c r="Z2" s="3" t="s">
        <v>8</v>
      </c>
      <c r="AA2" s="3" t="s">
        <v>5</v>
      </c>
      <c r="AB2" s="3" t="s">
        <v>84</v>
      </c>
    </row>
  </sheetData>
  <hyperlinks>
    <hyperlink ref="P2" r:id="rId1"/>
  </hyperlink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selection activeCell="A2" sqref="A2"/>
    </sheetView>
  </sheetViews>
  <sheetFormatPr defaultRowHeight="15" x14ac:dyDescent="0.25"/>
  <cols>
    <col min="1" max="1" width="12.140625" bestFit="1" customWidth="1"/>
    <col min="2" max="2" width="13.140625" bestFit="1" customWidth="1"/>
    <col min="3" max="3" width="12" bestFit="1" customWidth="1"/>
    <col min="4" max="4" width="17.7109375" bestFit="1" customWidth="1"/>
    <col min="6" max="6" width="13.5703125" bestFit="1" customWidth="1"/>
    <col min="7" max="7" width="11" bestFit="1" customWidth="1"/>
    <col min="9" max="9" width="29" bestFit="1" customWidth="1"/>
    <col min="10" max="10" width="19.28515625" bestFit="1" customWidth="1"/>
    <col min="12" max="12" width="10.28515625" bestFit="1" customWidth="1"/>
  </cols>
  <sheetData>
    <row r="1" spans="1:20" x14ac:dyDescent="0.25">
      <c r="A1" s="4" t="s">
        <v>402</v>
      </c>
      <c r="B1" t="s">
        <v>403</v>
      </c>
      <c r="C1" t="s">
        <v>404</v>
      </c>
      <c r="D1" t="s">
        <v>198</v>
      </c>
      <c r="E1" t="s">
        <v>405</v>
      </c>
      <c r="F1" s="4" t="s">
        <v>108</v>
      </c>
      <c r="G1" t="s">
        <v>406</v>
      </c>
      <c r="H1" s="3" t="s">
        <v>0</v>
      </c>
      <c r="I1" s="3" t="s">
        <v>9</v>
      </c>
      <c r="J1" s="3" t="s">
        <v>6</v>
      </c>
      <c r="K1" s="3" t="s">
        <v>7</v>
      </c>
      <c r="L1" s="3" t="s">
        <v>4</v>
      </c>
      <c r="M1" s="4"/>
      <c r="N1" s="4"/>
      <c r="O1" s="4"/>
      <c r="P1" s="4"/>
      <c r="Q1" s="4"/>
      <c r="R1" s="4"/>
      <c r="S1" s="4"/>
      <c r="T1" s="4"/>
    </row>
    <row r="2" spans="1:20" x14ac:dyDescent="0.25">
      <c r="A2" s="4" t="s">
        <v>262</v>
      </c>
      <c r="B2" s="4" t="s">
        <v>407</v>
      </c>
      <c r="C2" s="4" t="s">
        <v>408</v>
      </c>
      <c r="D2" s="4" t="s">
        <v>371</v>
      </c>
      <c r="E2" s="4" t="s">
        <v>409</v>
      </c>
      <c r="F2" s="4" t="s">
        <v>23</v>
      </c>
      <c r="G2" s="4" t="s">
        <v>371</v>
      </c>
      <c r="H2" s="9" t="s">
        <v>704</v>
      </c>
      <c r="I2" s="3" t="s">
        <v>411</v>
      </c>
      <c r="J2" s="3"/>
      <c r="K2" s="3" t="s">
        <v>8</v>
      </c>
      <c r="L2" s="3" t="s">
        <v>5</v>
      </c>
      <c r="M2" s="4"/>
      <c r="N2" s="4"/>
      <c r="O2" s="4"/>
      <c r="P2" s="4"/>
      <c r="Q2" s="4"/>
      <c r="R2" s="4"/>
      <c r="S2" s="4"/>
      <c r="T2" s="4"/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selection activeCell="F2" sqref="F2"/>
    </sheetView>
  </sheetViews>
  <sheetFormatPr defaultRowHeight="15" x14ac:dyDescent="0.25"/>
  <cols>
    <col min="1" max="1" width="11.5703125" style="3" bestFit="1" customWidth="1"/>
    <col min="2" max="2" width="16" style="3" bestFit="1" customWidth="1"/>
    <col min="3" max="3" width="9" style="3" bestFit="1" customWidth="1"/>
    <col min="4" max="5" width="9.140625" style="3"/>
    <col min="6" max="6" width="34.28515625" style="3" bestFit="1" customWidth="1"/>
    <col min="7" max="7" width="14.5703125" style="3" customWidth="1"/>
    <col min="8" max="8" width="19.28515625" style="3" bestFit="1" customWidth="1"/>
    <col min="9" max="9" width="14.5703125" style="3" customWidth="1"/>
    <col min="10" max="10" width="10.28515625" style="3" bestFit="1" customWidth="1"/>
    <col min="11" max="16384" width="9.140625" style="3"/>
  </cols>
  <sheetData>
    <row r="1" spans="1:14" x14ac:dyDescent="0.25">
      <c r="A1" s="3" t="s">
        <v>284</v>
      </c>
      <c r="B1" s="3" t="s">
        <v>281</v>
      </c>
      <c r="C1" s="3" t="s">
        <v>24</v>
      </c>
      <c r="D1" s="3" t="s">
        <v>282</v>
      </c>
      <c r="E1" s="4" t="s">
        <v>0</v>
      </c>
      <c r="F1" s="4" t="s">
        <v>9</v>
      </c>
      <c r="G1" s="4" t="s">
        <v>527</v>
      </c>
      <c r="H1" s="3" t="s">
        <v>6</v>
      </c>
      <c r="I1" s="3" t="s">
        <v>7</v>
      </c>
      <c r="J1" s="4" t="s">
        <v>4</v>
      </c>
      <c r="K1" s="4" t="s">
        <v>84</v>
      </c>
      <c r="L1" s="4"/>
      <c r="M1" s="4"/>
      <c r="N1" s="4"/>
    </row>
    <row r="2" spans="1:14" x14ac:dyDescent="0.25">
      <c r="A2" s="4"/>
      <c r="B2" s="4" t="s">
        <v>283</v>
      </c>
      <c r="C2" s="4" t="s">
        <v>53</v>
      </c>
      <c r="D2" s="4" t="s">
        <v>23</v>
      </c>
      <c r="E2" s="2" t="s">
        <v>573</v>
      </c>
      <c r="F2" s="4" t="s">
        <v>699</v>
      </c>
      <c r="G2" s="4" t="s">
        <v>528</v>
      </c>
      <c r="H2" s="2" t="s">
        <v>579</v>
      </c>
      <c r="I2" s="4" t="s">
        <v>526</v>
      </c>
      <c r="J2" s="4" t="s">
        <v>5</v>
      </c>
      <c r="K2" s="4" t="s">
        <v>84</v>
      </c>
      <c r="L2" s="4"/>
      <c r="M2" s="4"/>
      <c r="N2" s="4"/>
    </row>
    <row r="3" spans="1:14" x14ac:dyDescent="0.25">
      <c r="A3" s="4" t="s">
        <v>21</v>
      </c>
      <c r="B3" s="4" t="s">
        <v>283</v>
      </c>
      <c r="C3" s="4" t="s">
        <v>53</v>
      </c>
      <c r="D3" s="4" t="s">
        <v>23</v>
      </c>
      <c r="E3" s="2" t="s">
        <v>572</v>
      </c>
      <c r="F3" s="4" t="s">
        <v>734</v>
      </c>
      <c r="G3" s="2" t="s">
        <v>579</v>
      </c>
      <c r="H3" s="4" t="s">
        <v>285</v>
      </c>
      <c r="I3" s="4" t="s">
        <v>8</v>
      </c>
      <c r="J3" s="4" t="s">
        <v>5</v>
      </c>
      <c r="K3" s="4" t="s">
        <v>84</v>
      </c>
      <c r="L3" s="4"/>
      <c r="M3" s="4"/>
      <c r="N3" s="4"/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F12" sqref="F12"/>
    </sheetView>
  </sheetViews>
  <sheetFormatPr defaultRowHeight="15" x14ac:dyDescent="0.25"/>
  <cols>
    <col min="1" max="1" width="11.5703125" bestFit="1" customWidth="1"/>
    <col min="2" max="2" width="16" bestFit="1" customWidth="1"/>
    <col min="3" max="3" width="9" bestFit="1" customWidth="1"/>
    <col min="6" max="6" width="34.28515625" bestFit="1" customWidth="1"/>
    <col min="7" max="7" width="14.5703125" style="3" customWidth="1"/>
    <col min="8" max="8" width="19.28515625" style="3" bestFit="1" customWidth="1"/>
    <col min="9" max="9" width="14.5703125" style="3" customWidth="1"/>
    <col min="10" max="10" width="10.28515625" bestFit="1" customWidth="1"/>
  </cols>
  <sheetData>
    <row r="1" spans="1:14" x14ac:dyDescent="0.25">
      <c r="A1" t="s">
        <v>284</v>
      </c>
      <c r="B1" t="s">
        <v>281</v>
      </c>
      <c r="C1" t="s">
        <v>24</v>
      </c>
      <c r="D1" t="s">
        <v>282</v>
      </c>
      <c r="E1" s="4" t="s">
        <v>0</v>
      </c>
      <c r="F1" s="4" t="s">
        <v>9</v>
      </c>
      <c r="G1" s="4" t="s">
        <v>527</v>
      </c>
      <c r="H1" s="3" t="s">
        <v>6</v>
      </c>
      <c r="I1" s="3" t="s">
        <v>7</v>
      </c>
      <c r="J1" s="4" t="s">
        <v>4</v>
      </c>
      <c r="K1" s="4" t="s">
        <v>84</v>
      </c>
      <c r="L1" s="4"/>
      <c r="M1" s="4"/>
      <c r="N1" s="4"/>
    </row>
    <row r="2" spans="1:14" s="3" customFormat="1" x14ac:dyDescent="0.25">
      <c r="A2" s="4" t="s">
        <v>21</v>
      </c>
      <c r="B2" s="4" t="s">
        <v>283</v>
      </c>
      <c r="C2" s="4" t="s">
        <v>65</v>
      </c>
      <c r="D2" s="4" t="s">
        <v>118</v>
      </c>
      <c r="E2" s="2" t="s">
        <v>3</v>
      </c>
      <c r="F2" s="4" t="s">
        <v>734</v>
      </c>
      <c r="G2" s="2" t="s">
        <v>579</v>
      </c>
      <c r="H2" s="4" t="s">
        <v>285</v>
      </c>
      <c r="I2" s="4" t="s">
        <v>8</v>
      </c>
      <c r="J2" s="4" t="s">
        <v>5</v>
      </c>
      <c r="K2" s="4" t="s">
        <v>84</v>
      </c>
      <c r="L2" s="4"/>
      <c r="M2" s="4"/>
      <c r="N2" s="4"/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B2" sqref="B2"/>
    </sheetView>
  </sheetViews>
  <sheetFormatPr defaultRowHeight="15" x14ac:dyDescent="0.25"/>
  <cols>
    <col min="1" max="1" width="15" bestFit="1" customWidth="1"/>
    <col min="2" max="2" width="16.140625" bestFit="1" customWidth="1"/>
    <col min="3" max="3" width="15.28515625" bestFit="1" customWidth="1"/>
    <col min="4" max="4" width="20" bestFit="1" customWidth="1"/>
    <col min="5" max="5" width="17.5703125" bestFit="1" customWidth="1"/>
    <col min="7" max="7" width="41" bestFit="1" customWidth="1"/>
    <col min="8" max="8" width="10.28515625" bestFit="1" customWidth="1"/>
  </cols>
  <sheetData>
    <row r="1" spans="1:9" x14ac:dyDescent="0.25">
      <c r="A1" s="3" t="s">
        <v>56</v>
      </c>
      <c r="B1" s="3" t="s">
        <v>60</v>
      </c>
      <c r="C1" s="3" t="s">
        <v>155</v>
      </c>
      <c r="D1" s="3" t="s">
        <v>156</v>
      </c>
      <c r="E1" s="3" t="s">
        <v>157</v>
      </c>
      <c r="F1" s="4" t="s">
        <v>0</v>
      </c>
      <c r="G1" s="4" t="s">
        <v>9</v>
      </c>
      <c r="H1" s="4" t="s">
        <v>4</v>
      </c>
      <c r="I1" s="3" t="s">
        <v>158</v>
      </c>
    </row>
    <row r="2" spans="1:9" x14ac:dyDescent="0.25">
      <c r="A2" s="4" t="s">
        <v>159</v>
      </c>
      <c r="B2" s="3" t="s">
        <v>160</v>
      </c>
      <c r="C2" s="3" t="s">
        <v>160</v>
      </c>
      <c r="D2" s="12" t="str">
        <f ca="1">CONCATENATE(TEXT(NOW(),"YYYY-MM"),"-01")</f>
        <v>2026-06-01</v>
      </c>
      <c r="E2" s="12" t="str">
        <f ca="1">TEXT(NOW(),"YYYY-MM-DD")</f>
        <v>2026-06-24</v>
      </c>
      <c r="F2" s="2" t="s">
        <v>3</v>
      </c>
      <c r="G2" s="4" t="s">
        <v>76</v>
      </c>
      <c r="H2" s="4" t="s">
        <v>5</v>
      </c>
      <c r="I2" s="4" t="s">
        <v>160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B2" sqref="B2"/>
    </sheetView>
  </sheetViews>
  <sheetFormatPr defaultRowHeight="15" x14ac:dyDescent="0.25"/>
  <cols>
    <col min="1" max="1" width="16.42578125" bestFit="1" customWidth="1"/>
    <col min="3" max="3" width="13.85546875" bestFit="1" customWidth="1"/>
    <col min="5" max="5" width="16.5703125" bestFit="1" customWidth="1"/>
    <col min="7" max="7" width="41" bestFit="1" customWidth="1"/>
  </cols>
  <sheetData>
    <row r="1" spans="1:14" x14ac:dyDescent="0.25">
      <c r="A1" s="4" t="s">
        <v>272</v>
      </c>
      <c r="B1" t="s">
        <v>24</v>
      </c>
      <c r="C1" t="s">
        <v>274</v>
      </c>
      <c r="D1" t="s">
        <v>275</v>
      </c>
      <c r="E1" t="s">
        <v>276</v>
      </c>
      <c r="F1" s="4" t="s">
        <v>0</v>
      </c>
      <c r="G1" s="4" t="s">
        <v>9</v>
      </c>
      <c r="H1" s="4" t="s">
        <v>4</v>
      </c>
      <c r="I1" s="4"/>
      <c r="J1" s="4"/>
      <c r="K1" s="4"/>
      <c r="L1" s="4"/>
      <c r="M1" s="4"/>
      <c r="N1" s="4"/>
    </row>
    <row r="2" spans="1:14" x14ac:dyDescent="0.25">
      <c r="A2" t="s">
        <v>273</v>
      </c>
      <c r="B2" s="4" t="s">
        <v>53</v>
      </c>
      <c r="C2" s="4" t="s">
        <v>23</v>
      </c>
      <c r="D2" s="4" t="s">
        <v>23</v>
      </c>
      <c r="E2" s="4" t="s">
        <v>245</v>
      </c>
      <c r="F2" s="2" t="s">
        <v>3</v>
      </c>
      <c r="G2" s="4" t="s">
        <v>277</v>
      </c>
      <c r="H2" s="4" t="s">
        <v>5</v>
      </c>
      <c r="I2" s="4"/>
      <c r="J2" s="4"/>
      <c r="K2" s="4"/>
      <c r="L2" s="4"/>
      <c r="M2" s="4"/>
      <c r="N2" s="4"/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RowHeight="15" x14ac:dyDescent="0.25"/>
  <cols>
    <col min="2" max="2" width="34.42578125" bestFit="1" customWidth="1"/>
    <col min="3" max="3" width="21.5703125" bestFit="1" customWidth="1"/>
  </cols>
  <sheetData>
    <row r="1" spans="1:4" x14ac:dyDescent="0.25">
      <c r="A1" t="s">
        <v>0</v>
      </c>
      <c r="B1" t="s">
        <v>9</v>
      </c>
      <c r="C1" t="s">
        <v>6</v>
      </c>
      <c r="D1" t="s">
        <v>7</v>
      </c>
    </row>
    <row r="2" spans="1:4" x14ac:dyDescent="0.25">
      <c r="A2" s="9" t="s">
        <v>3</v>
      </c>
      <c r="B2" t="s">
        <v>437</v>
      </c>
      <c r="C2" t="s">
        <v>278</v>
      </c>
      <c r="D2" t="s">
        <v>8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5" x14ac:dyDescent="0.25"/>
  <cols>
    <col min="2" max="2" width="31.5703125" bestFit="1" customWidth="1"/>
    <col min="3" max="3" width="19.85546875" bestFit="1" customWidth="1"/>
  </cols>
  <sheetData>
    <row r="1" spans="1:4" x14ac:dyDescent="0.25">
      <c r="A1" s="3" t="s">
        <v>0</v>
      </c>
      <c r="B1" s="3" t="s">
        <v>9</v>
      </c>
      <c r="C1" s="3" t="s">
        <v>6</v>
      </c>
      <c r="D1" s="3" t="s">
        <v>7</v>
      </c>
    </row>
    <row r="2" spans="1:4" x14ac:dyDescent="0.25">
      <c r="A2" s="9" t="s">
        <v>3</v>
      </c>
      <c r="B2" s="3" t="s">
        <v>279</v>
      </c>
      <c r="C2" s="3" t="s">
        <v>278</v>
      </c>
      <c r="D2" s="3" t="s">
        <v>8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5" x14ac:dyDescent="0.25"/>
  <cols>
    <col min="2" max="2" width="28.42578125" bestFit="1" customWidth="1"/>
    <col min="3" max="3" width="19.85546875" bestFit="1" customWidth="1"/>
  </cols>
  <sheetData>
    <row r="1" spans="1:4" x14ac:dyDescent="0.25">
      <c r="A1" s="3" t="s">
        <v>0</v>
      </c>
      <c r="B1" s="3" t="s">
        <v>9</v>
      </c>
      <c r="C1" s="3" t="s">
        <v>6</v>
      </c>
      <c r="D1" s="3" t="s">
        <v>7</v>
      </c>
    </row>
    <row r="2" spans="1:4" x14ac:dyDescent="0.25">
      <c r="A2" s="9" t="s">
        <v>3</v>
      </c>
      <c r="B2" s="3" t="s">
        <v>280</v>
      </c>
      <c r="C2" s="3" t="s">
        <v>278</v>
      </c>
      <c r="D2" s="3" t="s">
        <v>8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selection activeCell="E15" sqref="E15"/>
    </sheetView>
  </sheetViews>
  <sheetFormatPr defaultRowHeight="15" x14ac:dyDescent="0.25"/>
  <cols>
    <col min="1" max="1" width="19" bestFit="1" customWidth="1"/>
    <col min="2" max="2" width="12.5703125" bestFit="1" customWidth="1"/>
    <col min="3" max="3" width="15.5703125" bestFit="1" customWidth="1"/>
    <col min="4" max="4" width="19.7109375" bestFit="1" customWidth="1"/>
    <col min="5" max="5" width="17" bestFit="1" customWidth="1"/>
    <col min="7" max="7" width="25.140625" bestFit="1" customWidth="1"/>
    <col min="9" max="9" width="10.5703125" bestFit="1" customWidth="1"/>
    <col min="10" max="10" width="22" bestFit="1" customWidth="1"/>
    <col min="11" max="11" width="22.140625" bestFit="1" customWidth="1"/>
    <col min="12" max="12" width="13.42578125" bestFit="1" customWidth="1"/>
    <col min="13" max="13" width="17.28515625" bestFit="1" customWidth="1"/>
    <col min="14" max="14" width="6.28515625" customWidth="1"/>
    <col min="15" max="15" width="21.140625" bestFit="1" customWidth="1"/>
    <col min="16" max="16" width="24.28515625" style="3" bestFit="1" customWidth="1"/>
    <col min="17" max="17" width="49.28515625" style="3" bestFit="1" customWidth="1"/>
    <col min="18" max="18" width="10.5703125" bestFit="1" customWidth="1"/>
    <col min="19" max="19" width="10.28515625" bestFit="1" customWidth="1"/>
    <col min="20" max="20" width="14.7109375" bestFit="1" customWidth="1"/>
  </cols>
  <sheetData>
    <row r="1" spans="1:20" x14ac:dyDescent="0.25">
      <c r="A1" s="4" t="s">
        <v>289</v>
      </c>
      <c r="B1" s="4" t="s">
        <v>187</v>
      </c>
      <c r="C1" s="4" t="s">
        <v>290</v>
      </c>
      <c r="D1" s="4" t="s">
        <v>291</v>
      </c>
      <c r="E1" s="4" t="s">
        <v>292</v>
      </c>
      <c r="F1" s="4" t="s">
        <v>24</v>
      </c>
      <c r="G1" s="4" t="s">
        <v>293</v>
      </c>
      <c r="H1" s="4" t="s">
        <v>294</v>
      </c>
      <c r="I1" s="4" t="s">
        <v>295</v>
      </c>
      <c r="J1" s="4" t="s">
        <v>296</v>
      </c>
      <c r="K1" s="4" t="s">
        <v>297</v>
      </c>
      <c r="L1" s="4" t="s">
        <v>298</v>
      </c>
      <c r="M1" s="4" t="s">
        <v>299</v>
      </c>
      <c r="N1" s="4" t="s">
        <v>0</v>
      </c>
      <c r="O1" s="4" t="s">
        <v>9</v>
      </c>
      <c r="P1" s="4" t="s">
        <v>527</v>
      </c>
      <c r="Q1" s="3" t="s">
        <v>6</v>
      </c>
      <c r="R1" s="3" t="s">
        <v>7</v>
      </c>
      <c r="S1" s="4" t="s">
        <v>4</v>
      </c>
      <c r="T1" s="3" t="s">
        <v>295</v>
      </c>
    </row>
    <row r="2" spans="1:20" x14ac:dyDescent="0.25">
      <c r="A2" s="12"/>
      <c r="B2" s="4" t="s">
        <v>304</v>
      </c>
      <c r="C2" s="12" t="str">
        <f ca="1">LEFT(CONCATENATE("4",TEXT(NOW(),"YYYY"),"-",LEFT(TEXT(NOW(),"DDhhmmss"),7),"-",RIGHT(TEXT(NOW(),"ss"),1)),15)</f>
        <v>42026-2411340-2</v>
      </c>
      <c r="D2" s="4" t="s">
        <v>463</v>
      </c>
      <c r="E2" s="4" t="s">
        <v>463</v>
      </c>
      <c r="F2" s="4" t="s">
        <v>65</v>
      </c>
      <c r="G2" s="4" t="s">
        <v>300</v>
      </c>
      <c r="H2" s="4" t="s">
        <v>84</v>
      </c>
      <c r="I2" s="4" t="s">
        <v>301</v>
      </c>
      <c r="J2" s="4" t="s">
        <v>118</v>
      </c>
      <c r="K2" s="4"/>
      <c r="L2" s="4" t="s">
        <v>302</v>
      </c>
      <c r="M2" s="4" t="s">
        <v>302</v>
      </c>
      <c r="N2" s="2" t="s">
        <v>3</v>
      </c>
      <c r="O2" s="4" t="s">
        <v>682</v>
      </c>
      <c r="P2" s="4" t="s">
        <v>528</v>
      </c>
      <c r="Q2" s="9" t="s">
        <v>579</v>
      </c>
      <c r="R2" s="3" t="s">
        <v>526</v>
      </c>
      <c r="S2" s="4" t="s">
        <v>5</v>
      </c>
      <c r="T2" s="3" t="s">
        <v>696</v>
      </c>
    </row>
    <row r="3" spans="1:20" x14ac:dyDescent="0.25">
      <c r="A3" s="12" t="str">
        <f t="shared" ref="A3:A11" ca="1" si="0">CONCATENATE("Auto_USER",TEXT(NOW(),"DDHHMMss"))</f>
        <v>Auto_USER24113402</v>
      </c>
      <c r="B3" s="4"/>
      <c r="C3" s="12" t="str">
        <f t="shared" ref="C3:C11" ca="1" si="1">LEFT(CONCATENATE("4",TEXT(NOW(),"YYYY"),"-",LEFT(TEXT(NOW(),"DDhhmmss"),7),"-",RIGHT(TEXT(NOW(),"ss"),1)),15)</f>
        <v>42026-2411340-2</v>
      </c>
      <c r="D3" s="4" t="s">
        <v>463</v>
      </c>
      <c r="E3" s="4" t="s">
        <v>463</v>
      </c>
      <c r="F3" s="4" t="s">
        <v>65</v>
      </c>
      <c r="G3" s="4" t="s">
        <v>300</v>
      </c>
      <c r="H3" s="4" t="s">
        <v>84</v>
      </c>
      <c r="I3" s="4" t="s">
        <v>301</v>
      </c>
      <c r="J3" s="4" t="s">
        <v>118</v>
      </c>
      <c r="K3" s="4"/>
      <c r="L3" s="4" t="s">
        <v>302</v>
      </c>
      <c r="M3" s="4" t="s">
        <v>302</v>
      </c>
      <c r="N3" s="2" t="s">
        <v>543</v>
      </c>
      <c r="O3" s="4" t="s">
        <v>683</v>
      </c>
      <c r="P3" s="4" t="s">
        <v>528</v>
      </c>
      <c r="Q3" s="9" t="s">
        <v>579</v>
      </c>
      <c r="R3" s="3" t="s">
        <v>526</v>
      </c>
      <c r="S3" s="4" t="s">
        <v>5</v>
      </c>
      <c r="T3" s="3" t="s">
        <v>696</v>
      </c>
    </row>
    <row r="4" spans="1:20" x14ac:dyDescent="0.25">
      <c r="A4" s="12" t="str">
        <f t="shared" ca="1" si="0"/>
        <v>Auto_USER24113402</v>
      </c>
      <c r="B4" s="4" t="s">
        <v>304</v>
      </c>
      <c r="C4" s="12"/>
      <c r="D4" s="4" t="s">
        <v>463</v>
      </c>
      <c r="E4" s="4" t="s">
        <v>463</v>
      </c>
      <c r="F4" s="4" t="s">
        <v>65</v>
      </c>
      <c r="G4" s="4" t="s">
        <v>300</v>
      </c>
      <c r="H4" s="4" t="s">
        <v>84</v>
      </c>
      <c r="I4" s="4" t="s">
        <v>301</v>
      </c>
      <c r="J4" s="4" t="s">
        <v>118</v>
      </c>
      <c r="K4" s="4"/>
      <c r="L4" s="4" t="s">
        <v>302</v>
      </c>
      <c r="M4" s="4" t="s">
        <v>302</v>
      </c>
      <c r="N4" s="2" t="s">
        <v>410</v>
      </c>
      <c r="O4" s="4" t="s">
        <v>684</v>
      </c>
      <c r="P4" s="4" t="s">
        <v>528</v>
      </c>
      <c r="Q4" s="9" t="s">
        <v>579</v>
      </c>
      <c r="R4" s="3" t="s">
        <v>526</v>
      </c>
      <c r="S4" s="4" t="s">
        <v>5</v>
      </c>
      <c r="T4" s="3" t="s">
        <v>696</v>
      </c>
    </row>
    <row r="5" spans="1:20" x14ac:dyDescent="0.25">
      <c r="A5" s="12" t="str">
        <f t="shared" ca="1" si="0"/>
        <v>Auto_USER24113402</v>
      </c>
      <c r="B5" s="4" t="s">
        <v>304</v>
      </c>
      <c r="C5" s="12" t="str">
        <f t="shared" ca="1" si="1"/>
        <v>42026-2411340-2</v>
      </c>
      <c r="D5" s="4"/>
      <c r="E5" s="4" t="s">
        <v>463</v>
      </c>
      <c r="F5" s="4" t="s">
        <v>65</v>
      </c>
      <c r="G5" s="4" t="s">
        <v>300</v>
      </c>
      <c r="H5" s="4" t="s">
        <v>84</v>
      </c>
      <c r="I5" s="4" t="s">
        <v>301</v>
      </c>
      <c r="J5" s="4" t="s">
        <v>118</v>
      </c>
      <c r="K5" s="4"/>
      <c r="L5" s="4" t="s">
        <v>302</v>
      </c>
      <c r="M5" s="4" t="s">
        <v>302</v>
      </c>
      <c r="N5" s="2" t="s">
        <v>544</v>
      </c>
      <c r="O5" s="4" t="s">
        <v>685</v>
      </c>
      <c r="P5" s="4" t="s">
        <v>528</v>
      </c>
      <c r="Q5" s="9" t="s">
        <v>579</v>
      </c>
      <c r="R5" s="3" t="s">
        <v>526</v>
      </c>
      <c r="S5" s="4" t="s">
        <v>5</v>
      </c>
      <c r="T5" s="3" t="s">
        <v>696</v>
      </c>
    </row>
    <row r="6" spans="1:20" x14ac:dyDescent="0.25">
      <c r="A6" s="12" t="str">
        <f t="shared" ca="1" si="0"/>
        <v>Auto_USER24113402</v>
      </c>
      <c r="B6" s="4" t="s">
        <v>304</v>
      </c>
      <c r="C6" s="12" t="str">
        <f t="shared" ca="1" si="1"/>
        <v>42026-2411340-2</v>
      </c>
      <c r="D6" s="4" t="s">
        <v>463</v>
      </c>
      <c r="E6" s="4"/>
      <c r="F6" s="4" t="s">
        <v>65</v>
      </c>
      <c r="G6" s="4" t="s">
        <v>300</v>
      </c>
      <c r="H6" s="4" t="s">
        <v>84</v>
      </c>
      <c r="I6" s="4" t="s">
        <v>301</v>
      </c>
      <c r="J6" s="4" t="s">
        <v>118</v>
      </c>
      <c r="K6" s="4"/>
      <c r="L6" s="4" t="s">
        <v>302</v>
      </c>
      <c r="M6" s="4" t="s">
        <v>302</v>
      </c>
      <c r="N6" s="2" t="s">
        <v>545</v>
      </c>
      <c r="O6" s="4" t="s">
        <v>686</v>
      </c>
      <c r="P6" s="4" t="s">
        <v>528</v>
      </c>
      <c r="Q6" s="9" t="s">
        <v>579</v>
      </c>
      <c r="R6" s="3" t="s">
        <v>526</v>
      </c>
      <c r="S6" s="4" t="s">
        <v>5</v>
      </c>
      <c r="T6" s="3" t="s">
        <v>696</v>
      </c>
    </row>
    <row r="7" spans="1:20" x14ac:dyDescent="0.25">
      <c r="A7" s="12" t="str">
        <f t="shared" ca="1" si="0"/>
        <v>Auto_USER24113402</v>
      </c>
      <c r="B7" s="4" t="s">
        <v>304</v>
      </c>
      <c r="C7" s="12" t="str">
        <f t="shared" ca="1" si="1"/>
        <v>42026-2411340-2</v>
      </c>
      <c r="D7" s="4" t="s">
        <v>463</v>
      </c>
      <c r="E7" s="4" t="s">
        <v>463</v>
      </c>
      <c r="F7" s="4"/>
      <c r="G7" s="4" t="s">
        <v>300</v>
      </c>
      <c r="H7" s="4" t="s">
        <v>84</v>
      </c>
      <c r="I7" s="4" t="s">
        <v>301</v>
      </c>
      <c r="J7" s="4" t="s">
        <v>118</v>
      </c>
      <c r="K7" s="4"/>
      <c r="L7" s="4" t="s">
        <v>302</v>
      </c>
      <c r="M7" s="4" t="s">
        <v>302</v>
      </c>
      <c r="N7" s="2" t="s">
        <v>546</v>
      </c>
      <c r="O7" s="4" t="s">
        <v>687</v>
      </c>
      <c r="P7" s="2" t="s">
        <v>579</v>
      </c>
      <c r="Q7" s="9" t="s">
        <v>579</v>
      </c>
      <c r="R7" s="3" t="s">
        <v>526</v>
      </c>
      <c r="S7" s="4" t="s">
        <v>5</v>
      </c>
      <c r="T7" s="3" t="s">
        <v>696</v>
      </c>
    </row>
    <row r="8" spans="1:20" x14ac:dyDescent="0.25">
      <c r="A8" s="12" t="str">
        <f t="shared" ca="1" si="0"/>
        <v>Auto_USER24113402</v>
      </c>
      <c r="B8" s="4" t="s">
        <v>304</v>
      </c>
      <c r="C8" s="12" t="str">
        <f t="shared" ca="1" si="1"/>
        <v>42026-2411340-2</v>
      </c>
      <c r="D8" s="4" t="s">
        <v>463</v>
      </c>
      <c r="E8" s="4" t="s">
        <v>688</v>
      </c>
      <c r="F8" s="4" t="s">
        <v>65</v>
      </c>
      <c r="G8" s="4" t="s">
        <v>300</v>
      </c>
      <c r="H8" s="4" t="s">
        <v>84</v>
      </c>
      <c r="I8" s="4" t="s">
        <v>301</v>
      </c>
      <c r="J8" s="4" t="s">
        <v>118</v>
      </c>
      <c r="K8" s="4"/>
      <c r="L8" s="4" t="s">
        <v>302</v>
      </c>
      <c r="M8" s="4" t="s">
        <v>302</v>
      </c>
      <c r="N8" s="2" t="s">
        <v>619</v>
      </c>
      <c r="O8" s="4" t="s">
        <v>689</v>
      </c>
      <c r="P8" s="9" t="s">
        <v>579</v>
      </c>
      <c r="Q8" s="3" t="s">
        <v>690</v>
      </c>
      <c r="R8" s="3" t="s">
        <v>526</v>
      </c>
      <c r="S8" s="4" t="s">
        <v>5</v>
      </c>
      <c r="T8" s="3" t="s">
        <v>696</v>
      </c>
    </row>
    <row r="9" spans="1:20" x14ac:dyDescent="0.25">
      <c r="A9" s="12" t="str">
        <f t="shared" ca="1" si="0"/>
        <v>Auto_USER24113402</v>
      </c>
      <c r="B9" s="4" t="s">
        <v>304</v>
      </c>
      <c r="C9" s="12" t="s">
        <v>691</v>
      </c>
      <c r="D9" s="4" t="s">
        <v>463</v>
      </c>
      <c r="E9" s="4" t="s">
        <v>463</v>
      </c>
      <c r="F9" s="4" t="s">
        <v>65</v>
      </c>
      <c r="G9" s="4" t="s">
        <v>300</v>
      </c>
      <c r="H9" s="4" t="s">
        <v>84</v>
      </c>
      <c r="I9" s="4" t="s">
        <v>301</v>
      </c>
      <c r="J9" s="4" t="s">
        <v>118</v>
      </c>
      <c r="K9" s="4"/>
      <c r="L9" s="4" t="s">
        <v>302</v>
      </c>
      <c r="M9" s="4" t="s">
        <v>302</v>
      </c>
      <c r="N9" s="2" t="s">
        <v>627</v>
      </c>
      <c r="O9" s="4" t="s">
        <v>692</v>
      </c>
      <c r="P9" s="9" t="s">
        <v>579</v>
      </c>
      <c r="Q9" s="3" t="s">
        <v>693</v>
      </c>
      <c r="R9" s="3" t="s">
        <v>526</v>
      </c>
      <c r="S9" s="4" t="s">
        <v>5</v>
      </c>
      <c r="T9" s="3" t="s">
        <v>696</v>
      </c>
    </row>
    <row r="10" spans="1:20" x14ac:dyDescent="0.25">
      <c r="A10" s="12" t="str">
        <f t="shared" ca="1" si="0"/>
        <v>Auto_USER24113402</v>
      </c>
      <c r="B10" s="4" t="s">
        <v>304</v>
      </c>
      <c r="C10" s="12" t="str">
        <f ca="1">LEFT(CONCATENATE("4",TEXT(NOW(),"YYYY"),"-",LEFT(TEXT(NOW(),"DDhhmmss"),7),"-",RIGHT(TEXT(NOW(),"ss"),1)),14)</f>
        <v>42026-2411340-</v>
      </c>
      <c r="D10" s="4" t="s">
        <v>463</v>
      </c>
      <c r="E10" s="4" t="s">
        <v>463</v>
      </c>
      <c r="F10" s="4" t="s">
        <v>65</v>
      </c>
      <c r="G10" s="4" t="s">
        <v>300</v>
      </c>
      <c r="H10" s="4" t="s">
        <v>84</v>
      </c>
      <c r="I10" s="4" t="s">
        <v>301</v>
      </c>
      <c r="J10" s="4" t="s">
        <v>118</v>
      </c>
      <c r="K10" s="4"/>
      <c r="L10" s="4" t="s">
        <v>302</v>
      </c>
      <c r="M10" s="4" t="s">
        <v>302</v>
      </c>
      <c r="N10" s="2" t="s">
        <v>628</v>
      </c>
      <c r="O10" s="4" t="s">
        <v>694</v>
      </c>
      <c r="P10" s="3" t="s">
        <v>536</v>
      </c>
      <c r="Q10" s="9" t="s">
        <v>579</v>
      </c>
      <c r="R10" s="3" t="s">
        <v>526</v>
      </c>
      <c r="S10" s="4" t="s">
        <v>5</v>
      </c>
      <c r="T10" s="3" t="s">
        <v>696</v>
      </c>
    </row>
    <row r="11" spans="1:20" x14ac:dyDescent="0.25">
      <c r="A11" s="12" t="str">
        <f t="shared" ca="1" si="0"/>
        <v>Auto_USER24113402</v>
      </c>
      <c r="B11" s="4" t="s">
        <v>304</v>
      </c>
      <c r="C11" s="12" t="str">
        <f t="shared" ca="1" si="1"/>
        <v>42026-2411340-2</v>
      </c>
      <c r="D11" s="4" t="s">
        <v>463</v>
      </c>
      <c r="E11" s="4" t="s">
        <v>463</v>
      </c>
      <c r="F11" s="4" t="s">
        <v>65</v>
      </c>
      <c r="G11" s="4" t="s">
        <v>300</v>
      </c>
      <c r="H11" s="4" t="s">
        <v>84</v>
      </c>
      <c r="I11" s="4" t="s">
        <v>301</v>
      </c>
      <c r="J11" s="4" t="s">
        <v>118</v>
      </c>
      <c r="K11" s="4"/>
      <c r="L11" s="4" t="s">
        <v>302</v>
      </c>
      <c r="M11" s="4" t="s">
        <v>302</v>
      </c>
      <c r="N11" s="2" t="s">
        <v>335</v>
      </c>
      <c r="O11" s="4" t="s">
        <v>695</v>
      </c>
      <c r="P11" s="9" t="s">
        <v>579</v>
      </c>
      <c r="Q11" s="3" t="s">
        <v>303</v>
      </c>
      <c r="R11" s="3" t="s">
        <v>8</v>
      </c>
      <c r="S11" s="4" t="s">
        <v>5</v>
      </c>
      <c r="T11" s="3" t="s">
        <v>696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selection activeCell="G21" sqref="G21"/>
    </sheetView>
  </sheetViews>
  <sheetFormatPr defaultRowHeight="15" x14ac:dyDescent="0.25"/>
  <cols>
    <col min="1" max="1" width="19" bestFit="1" customWidth="1"/>
    <col min="2" max="2" width="12.28515625" customWidth="1"/>
    <col min="3" max="3" width="15.5703125" bestFit="1" customWidth="1"/>
    <col min="4" max="4" width="19.85546875" customWidth="1"/>
    <col min="5" max="5" width="17" bestFit="1" customWidth="1"/>
    <col min="6" max="6" width="8.28515625" customWidth="1"/>
    <col min="7" max="7" width="25.140625" bestFit="1" customWidth="1"/>
    <col min="8" max="8" width="8.5703125" bestFit="1" customWidth="1"/>
    <col min="9" max="9" width="10.5703125" bestFit="1" customWidth="1"/>
    <col min="10" max="10" width="22" bestFit="1" customWidth="1"/>
    <col min="11" max="11" width="22.140625" bestFit="1" customWidth="1"/>
    <col min="12" max="12" width="13.42578125" bestFit="1" customWidth="1"/>
    <col min="13" max="13" width="17.28515625" bestFit="1" customWidth="1"/>
    <col min="15" max="15" width="21.140625" bestFit="1" customWidth="1"/>
    <col min="16" max="16" width="16.28515625" bestFit="1" customWidth="1"/>
    <col min="17" max="17" width="49.28515625" bestFit="1" customWidth="1"/>
  </cols>
  <sheetData>
    <row r="1" spans="1:20" x14ac:dyDescent="0.25">
      <c r="A1" s="4" t="s">
        <v>289</v>
      </c>
      <c r="B1" s="4" t="s">
        <v>187</v>
      </c>
      <c r="C1" s="4" t="s">
        <v>290</v>
      </c>
      <c r="D1" s="4" t="s">
        <v>291</v>
      </c>
      <c r="E1" s="4" t="s">
        <v>292</v>
      </c>
      <c r="F1" s="4" t="s">
        <v>24</v>
      </c>
      <c r="G1" s="4" t="s">
        <v>293</v>
      </c>
      <c r="H1" s="4" t="s">
        <v>294</v>
      </c>
      <c r="I1" s="4" t="s">
        <v>295</v>
      </c>
      <c r="J1" s="4" t="s">
        <v>296</v>
      </c>
      <c r="K1" s="4" t="s">
        <v>297</v>
      </c>
      <c r="L1" s="4" t="s">
        <v>298</v>
      </c>
      <c r="M1" s="4" t="s">
        <v>299</v>
      </c>
      <c r="N1" s="4" t="s">
        <v>0</v>
      </c>
      <c r="O1" s="4" t="s">
        <v>9</v>
      </c>
      <c r="P1" s="4" t="s">
        <v>527</v>
      </c>
      <c r="Q1" s="3" t="s">
        <v>6</v>
      </c>
      <c r="R1" s="3" t="s">
        <v>7</v>
      </c>
      <c r="S1" s="4" t="s">
        <v>4</v>
      </c>
      <c r="T1" s="3" t="s">
        <v>295</v>
      </c>
    </row>
    <row r="2" spans="1:20" x14ac:dyDescent="0.25">
      <c r="A2" s="12"/>
      <c r="B2" s="4" t="s">
        <v>304</v>
      </c>
      <c r="C2" s="12" t="str">
        <f ca="1">LEFT(CONCATENATE("4",TEXT(NOW(),"YYYY"),"-",LEFT(TEXT(NOW(),"DDhhmmss"),7),"-",RIGHT(TEXT(NOW(),"ss"),1)),15)</f>
        <v>42026-2411340-2</v>
      </c>
      <c r="D2" s="4" t="s">
        <v>463</v>
      </c>
      <c r="E2" s="4" t="s">
        <v>463</v>
      </c>
      <c r="F2" s="4" t="s">
        <v>65</v>
      </c>
      <c r="G2" s="4" t="s">
        <v>300</v>
      </c>
      <c r="H2" s="4" t="s">
        <v>84</v>
      </c>
      <c r="I2" s="4" t="s">
        <v>301</v>
      </c>
      <c r="J2" s="4" t="s">
        <v>118</v>
      </c>
      <c r="K2" s="4"/>
      <c r="L2" s="4" t="s">
        <v>302</v>
      </c>
      <c r="M2" s="4" t="s">
        <v>302</v>
      </c>
      <c r="N2" s="2" t="s">
        <v>3</v>
      </c>
      <c r="O2" s="4" t="s">
        <v>682</v>
      </c>
      <c r="P2" s="4" t="s">
        <v>528</v>
      </c>
      <c r="Q2" s="9" t="s">
        <v>579</v>
      </c>
      <c r="R2" s="3" t="s">
        <v>526</v>
      </c>
      <c r="S2" s="4" t="s">
        <v>5</v>
      </c>
      <c r="T2" s="3" t="s">
        <v>696</v>
      </c>
    </row>
    <row r="3" spans="1:20" x14ac:dyDescent="0.25">
      <c r="A3" s="12" t="str">
        <f t="shared" ref="A3:A11" ca="1" si="0">CONCATENATE("Auto_USER",TEXT(NOW(),"DDHHMMss"))</f>
        <v>Auto_USER24113402</v>
      </c>
      <c r="B3" s="4"/>
      <c r="C3" s="12" t="str">
        <f t="shared" ref="C3:C11" ca="1" si="1">LEFT(CONCATENATE("4",TEXT(NOW(),"YYYY"),"-",LEFT(TEXT(NOW(),"DDhhmmss"),7),"-",RIGHT(TEXT(NOW(),"ss"),1)),15)</f>
        <v>42026-2411340-2</v>
      </c>
      <c r="D3" s="4" t="s">
        <v>463</v>
      </c>
      <c r="E3" s="4" t="s">
        <v>463</v>
      </c>
      <c r="F3" s="4" t="s">
        <v>65</v>
      </c>
      <c r="G3" s="4" t="s">
        <v>300</v>
      </c>
      <c r="H3" s="4" t="s">
        <v>84</v>
      </c>
      <c r="I3" s="4" t="s">
        <v>301</v>
      </c>
      <c r="J3" s="4" t="s">
        <v>118</v>
      </c>
      <c r="K3" s="4"/>
      <c r="L3" s="4" t="s">
        <v>302</v>
      </c>
      <c r="M3" s="4" t="s">
        <v>302</v>
      </c>
      <c r="N3" s="2" t="s">
        <v>543</v>
      </c>
      <c r="O3" s="4" t="s">
        <v>683</v>
      </c>
      <c r="P3" s="4" t="s">
        <v>528</v>
      </c>
      <c r="Q3" s="9" t="s">
        <v>579</v>
      </c>
      <c r="R3" s="3" t="s">
        <v>526</v>
      </c>
      <c r="S3" s="4" t="s">
        <v>5</v>
      </c>
      <c r="T3" s="3" t="s">
        <v>696</v>
      </c>
    </row>
    <row r="4" spans="1:20" x14ac:dyDescent="0.25">
      <c r="A4" s="12" t="str">
        <f t="shared" ca="1" si="0"/>
        <v>Auto_USER24113402</v>
      </c>
      <c r="B4" s="4" t="s">
        <v>304</v>
      </c>
      <c r="C4" s="12"/>
      <c r="D4" s="4" t="s">
        <v>463</v>
      </c>
      <c r="E4" s="4" t="s">
        <v>463</v>
      </c>
      <c r="F4" s="4" t="s">
        <v>65</v>
      </c>
      <c r="G4" s="4" t="s">
        <v>300</v>
      </c>
      <c r="H4" s="4" t="s">
        <v>84</v>
      </c>
      <c r="I4" s="4" t="s">
        <v>301</v>
      </c>
      <c r="J4" s="4" t="s">
        <v>118</v>
      </c>
      <c r="K4" s="4"/>
      <c r="L4" s="4" t="s">
        <v>302</v>
      </c>
      <c r="M4" s="4" t="s">
        <v>302</v>
      </c>
      <c r="N4" s="2" t="s">
        <v>410</v>
      </c>
      <c r="O4" s="4" t="s">
        <v>684</v>
      </c>
      <c r="P4" s="4" t="s">
        <v>528</v>
      </c>
      <c r="Q4" s="9" t="s">
        <v>579</v>
      </c>
      <c r="R4" s="3" t="s">
        <v>526</v>
      </c>
      <c r="S4" s="4" t="s">
        <v>5</v>
      </c>
      <c r="T4" s="3" t="s">
        <v>696</v>
      </c>
    </row>
    <row r="5" spans="1:20" x14ac:dyDescent="0.25">
      <c r="A5" s="12" t="str">
        <f t="shared" ca="1" si="0"/>
        <v>Auto_USER24113402</v>
      </c>
      <c r="B5" s="4" t="s">
        <v>304</v>
      </c>
      <c r="C5" s="12" t="str">
        <f t="shared" ca="1" si="1"/>
        <v>42026-2411340-2</v>
      </c>
      <c r="D5" s="4"/>
      <c r="E5" s="4" t="s">
        <v>463</v>
      </c>
      <c r="F5" s="4" t="s">
        <v>65</v>
      </c>
      <c r="G5" s="4" t="s">
        <v>300</v>
      </c>
      <c r="H5" s="4" t="s">
        <v>84</v>
      </c>
      <c r="I5" s="4" t="s">
        <v>301</v>
      </c>
      <c r="J5" s="4" t="s">
        <v>118</v>
      </c>
      <c r="K5" s="4"/>
      <c r="L5" s="4" t="s">
        <v>302</v>
      </c>
      <c r="M5" s="4" t="s">
        <v>302</v>
      </c>
      <c r="N5" s="2" t="s">
        <v>544</v>
      </c>
      <c r="O5" s="4" t="s">
        <v>685</v>
      </c>
      <c r="P5" s="4" t="s">
        <v>528</v>
      </c>
      <c r="Q5" s="9" t="s">
        <v>579</v>
      </c>
      <c r="R5" s="3" t="s">
        <v>526</v>
      </c>
      <c r="S5" s="4" t="s">
        <v>5</v>
      </c>
      <c r="T5" s="3" t="s">
        <v>696</v>
      </c>
    </row>
    <row r="6" spans="1:20" x14ac:dyDescent="0.25">
      <c r="A6" s="12" t="str">
        <f t="shared" ca="1" si="0"/>
        <v>Auto_USER24113402</v>
      </c>
      <c r="B6" s="4" t="s">
        <v>304</v>
      </c>
      <c r="C6" s="12" t="str">
        <f t="shared" ca="1" si="1"/>
        <v>42026-2411340-2</v>
      </c>
      <c r="D6" s="4" t="s">
        <v>463</v>
      </c>
      <c r="E6" s="4"/>
      <c r="F6" s="4" t="s">
        <v>65</v>
      </c>
      <c r="G6" s="4" t="s">
        <v>300</v>
      </c>
      <c r="H6" s="4" t="s">
        <v>84</v>
      </c>
      <c r="I6" s="4" t="s">
        <v>301</v>
      </c>
      <c r="J6" s="4" t="s">
        <v>118</v>
      </c>
      <c r="K6" s="4"/>
      <c r="L6" s="4" t="s">
        <v>302</v>
      </c>
      <c r="M6" s="4" t="s">
        <v>302</v>
      </c>
      <c r="N6" s="2" t="s">
        <v>545</v>
      </c>
      <c r="O6" s="4" t="s">
        <v>686</v>
      </c>
      <c r="P6" s="4" t="s">
        <v>528</v>
      </c>
      <c r="Q6" s="9" t="s">
        <v>579</v>
      </c>
      <c r="R6" s="3" t="s">
        <v>526</v>
      </c>
      <c r="S6" s="4" t="s">
        <v>5</v>
      </c>
      <c r="T6" s="3" t="s">
        <v>696</v>
      </c>
    </row>
    <row r="7" spans="1:20" x14ac:dyDescent="0.25">
      <c r="A7" s="12" t="str">
        <f t="shared" ca="1" si="0"/>
        <v>Auto_USER24113402</v>
      </c>
      <c r="B7" s="4" t="s">
        <v>304</v>
      </c>
      <c r="C7" s="12" t="str">
        <f t="shared" ca="1" si="1"/>
        <v>42026-2411340-2</v>
      </c>
      <c r="D7" s="4" t="s">
        <v>463</v>
      </c>
      <c r="E7" s="4" t="s">
        <v>463</v>
      </c>
      <c r="F7" s="4"/>
      <c r="G7" s="4" t="s">
        <v>300</v>
      </c>
      <c r="H7" s="4" t="s">
        <v>84</v>
      </c>
      <c r="I7" s="4" t="s">
        <v>301</v>
      </c>
      <c r="J7" s="4" t="s">
        <v>118</v>
      </c>
      <c r="K7" s="4"/>
      <c r="L7" s="4" t="s">
        <v>302</v>
      </c>
      <c r="M7" s="4" t="s">
        <v>302</v>
      </c>
      <c r="N7" s="2" t="s">
        <v>546</v>
      </c>
      <c r="O7" s="4" t="s">
        <v>687</v>
      </c>
      <c r="P7" s="2" t="s">
        <v>579</v>
      </c>
      <c r="Q7" s="9" t="s">
        <v>579</v>
      </c>
      <c r="R7" s="3" t="s">
        <v>526</v>
      </c>
      <c r="S7" s="4" t="s">
        <v>5</v>
      </c>
      <c r="T7" s="3" t="s">
        <v>696</v>
      </c>
    </row>
    <row r="8" spans="1:20" x14ac:dyDescent="0.25">
      <c r="A8" s="12" t="str">
        <f t="shared" ca="1" si="0"/>
        <v>Auto_USER24113402</v>
      </c>
      <c r="B8" s="4" t="s">
        <v>304</v>
      </c>
      <c r="C8" s="12" t="str">
        <f t="shared" ca="1" si="1"/>
        <v>42026-2411340-2</v>
      </c>
      <c r="D8" s="4" t="s">
        <v>463</v>
      </c>
      <c r="E8" s="4" t="s">
        <v>688</v>
      </c>
      <c r="F8" s="4" t="s">
        <v>65</v>
      </c>
      <c r="G8" s="4" t="s">
        <v>300</v>
      </c>
      <c r="H8" s="4" t="s">
        <v>84</v>
      </c>
      <c r="I8" s="4" t="s">
        <v>301</v>
      </c>
      <c r="J8" s="4" t="s">
        <v>118</v>
      </c>
      <c r="K8" s="4"/>
      <c r="L8" s="4" t="s">
        <v>302</v>
      </c>
      <c r="M8" s="4" t="s">
        <v>302</v>
      </c>
      <c r="N8" s="2" t="s">
        <v>619</v>
      </c>
      <c r="O8" s="4" t="s">
        <v>689</v>
      </c>
      <c r="P8" s="9" t="s">
        <v>579</v>
      </c>
      <c r="Q8" s="3" t="s">
        <v>690</v>
      </c>
      <c r="R8" s="3" t="s">
        <v>526</v>
      </c>
      <c r="S8" s="4" t="s">
        <v>5</v>
      </c>
      <c r="T8" s="3" t="s">
        <v>696</v>
      </c>
    </row>
    <row r="9" spans="1:20" x14ac:dyDescent="0.25">
      <c r="A9" s="12" t="str">
        <f t="shared" ca="1" si="0"/>
        <v>Auto_USER24113402</v>
      </c>
      <c r="B9" s="4" t="s">
        <v>304</v>
      </c>
      <c r="C9" s="12" t="s">
        <v>691</v>
      </c>
      <c r="D9" s="4" t="s">
        <v>463</v>
      </c>
      <c r="E9" s="4" t="s">
        <v>463</v>
      </c>
      <c r="F9" s="4" t="s">
        <v>65</v>
      </c>
      <c r="G9" s="4" t="s">
        <v>300</v>
      </c>
      <c r="H9" s="4" t="s">
        <v>84</v>
      </c>
      <c r="I9" s="4" t="s">
        <v>301</v>
      </c>
      <c r="J9" s="4" t="s">
        <v>118</v>
      </c>
      <c r="K9" s="4"/>
      <c r="L9" s="4" t="s">
        <v>302</v>
      </c>
      <c r="M9" s="4" t="s">
        <v>302</v>
      </c>
      <c r="N9" s="2" t="s">
        <v>627</v>
      </c>
      <c r="O9" s="4" t="s">
        <v>692</v>
      </c>
      <c r="P9" s="9" t="s">
        <v>579</v>
      </c>
      <c r="Q9" s="3" t="s">
        <v>693</v>
      </c>
      <c r="R9" s="3" t="s">
        <v>526</v>
      </c>
      <c r="S9" s="4" t="s">
        <v>5</v>
      </c>
      <c r="T9" s="3" t="s">
        <v>696</v>
      </c>
    </row>
    <row r="10" spans="1:20" x14ac:dyDescent="0.25">
      <c r="A10" s="12" t="str">
        <f t="shared" ca="1" si="0"/>
        <v>Auto_USER24113402</v>
      </c>
      <c r="B10" s="4" t="s">
        <v>304</v>
      </c>
      <c r="C10" s="12" t="str">
        <f ca="1">LEFT(CONCATENATE("4",TEXT(NOW(),"YYYY"),"-",LEFT(TEXT(NOW(),"DDhhmmss"),7),"-",RIGHT(TEXT(NOW(),"ss"),1)),14)</f>
        <v>42026-2411340-</v>
      </c>
      <c r="D10" s="4" t="s">
        <v>463</v>
      </c>
      <c r="E10" s="4" t="s">
        <v>463</v>
      </c>
      <c r="F10" s="4" t="s">
        <v>65</v>
      </c>
      <c r="G10" s="4" t="s">
        <v>300</v>
      </c>
      <c r="H10" s="4" t="s">
        <v>84</v>
      </c>
      <c r="I10" s="4" t="s">
        <v>301</v>
      </c>
      <c r="J10" s="4" t="s">
        <v>118</v>
      </c>
      <c r="K10" s="4"/>
      <c r="L10" s="4" t="s">
        <v>302</v>
      </c>
      <c r="M10" s="4" t="s">
        <v>302</v>
      </c>
      <c r="N10" s="2" t="s">
        <v>628</v>
      </c>
      <c r="O10" s="4" t="s">
        <v>694</v>
      </c>
      <c r="P10" s="3" t="s">
        <v>536</v>
      </c>
      <c r="Q10" s="9" t="s">
        <v>579</v>
      </c>
      <c r="R10" s="3" t="s">
        <v>526</v>
      </c>
      <c r="S10" s="4" t="s">
        <v>5</v>
      </c>
      <c r="T10" s="3" t="s">
        <v>696</v>
      </c>
    </row>
    <row r="11" spans="1:20" x14ac:dyDescent="0.25">
      <c r="A11" s="12" t="str">
        <f t="shared" ca="1" si="0"/>
        <v>Auto_USER24113402</v>
      </c>
      <c r="B11" s="4" t="s">
        <v>304</v>
      </c>
      <c r="C11" s="12" t="str">
        <f t="shared" ca="1" si="1"/>
        <v>42026-2411340-2</v>
      </c>
      <c r="D11" s="4" t="s">
        <v>463</v>
      </c>
      <c r="E11" s="4" t="s">
        <v>463</v>
      </c>
      <c r="F11" s="4" t="s">
        <v>65</v>
      </c>
      <c r="G11" s="4" t="s">
        <v>300</v>
      </c>
      <c r="H11" s="4" t="s">
        <v>84</v>
      </c>
      <c r="I11" s="4" t="s">
        <v>301</v>
      </c>
      <c r="J11" s="4" t="s">
        <v>118</v>
      </c>
      <c r="K11" s="4"/>
      <c r="L11" s="4" t="s">
        <v>302</v>
      </c>
      <c r="M11" s="4" t="s">
        <v>302</v>
      </c>
      <c r="N11" s="2" t="s">
        <v>335</v>
      </c>
      <c r="O11" s="4" t="s">
        <v>695</v>
      </c>
      <c r="P11" s="9" t="s">
        <v>579</v>
      </c>
      <c r="Q11" s="3" t="s">
        <v>303</v>
      </c>
      <c r="R11" s="3" t="s">
        <v>8</v>
      </c>
      <c r="S11" s="4" t="s">
        <v>5</v>
      </c>
      <c r="T11" s="3" t="s">
        <v>696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s="4" t="s">
        <v>289</v>
      </c>
      <c r="B1" s="4" t="s">
        <v>0</v>
      </c>
    </row>
    <row r="2" spans="1:2" x14ac:dyDescent="0.25">
      <c r="A2" s="9" t="s">
        <v>697</v>
      </c>
      <c r="B2" s="9" t="s">
        <v>3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"/>
  <sheetViews>
    <sheetView workbookViewId="0">
      <selection activeCell="A2" sqref="A2"/>
    </sheetView>
  </sheetViews>
  <sheetFormatPr defaultRowHeight="15" x14ac:dyDescent="0.25"/>
  <cols>
    <col min="1" max="1" width="18.42578125" style="3" customWidth="1"/>
    <col min="2" max="2" width="12.5703125" style="3" bestFit="1" customWidth="1"/>
    <col min="3" max="4" width="9.140625" style="3"/>
    <col min="5" max="5" width="15" style="3" bestFit="1" customWidth="1"/>
    <col min="6" max="6" width="12.85546875" style="3" bestFit="1" customWidth="1"/>
    <col min="7" max="7" width="17.5703125" style="3" bestFit="1" customWidth="1"/>
    <col min="8" max="8" width="19.7109375" style="3" bestFit="1" customWidth="1"/>
    <col min="9" max="9" width="9" style="3" bestFit="1" customWidth="1"/>
    <col min="10" max="10" width="14.42578125" style="3" bestFit="1" customWidth="1"/>
    <col min="11" max="11" width="14.85546875" style="3" bestFit="1" customWidth="1"/>
    <col min="12" max="12" width="18.42578125" style="3" bestFit="1" customWidth="1"/>
    <col min="13" max="13" width="15.5703125" style="3" bestFit="1" customWidth="1"/>
    <col min="14" max="14" width="12.7109375" style="3" bestFit="1" customWidth="1"/>
    <col min="15" max="15" width="9.140625" style="3"/>
    <col min="16" max="16" width="19" style="3" bestFit="1" customWidth="1"/>
    <col min="17" max="17" width="31.140625" style="3" bestFit="1" customWidth="1"/>
    <col min="18" max="18" width="14.42578125" style="3" bestFit="1" customWidth="1"/>
    <col min="19" max="19" width="12.7109375" style="3" bestFit="1" customWidth="1"/>
    <col min="20" max="20" width="9.140625" style="3"/>
    <col min="21" max="21" width="11.85546875" style="3" bestFit="1" customWidth="1"/>
    <col min="22" max="22" width="12.140625" style="3" bestFit="1" customWidth="1"/>
    <col min="23" max="23" width="12.42578125" style="3" bestFit="1" customWidth="1"/>
    <col min="24" max="24" width="19.140625" style="3" bestFit="1" customWidth="1"/>
    <col min="25" max="25" width="10.28515625" style="3" bestFit="1" customWidth="1"/>
    <col min="26" max="26" width="9.140625" style="3"/>
    <col min="27" max="27" width="10.42578125" style="3" bestFit="1" customWidth="1"/>
    <col min="28" max="28" width="10.7109375" style="3" bestFit="1" customWidth="1"/>
    <col min="29" max="29" width="14.5703125" style="3" bestFit="1" customWidth="1"/>
    <col min="30" max="30" width="14" style="3" bestFit="1" customWidth="1"/>
    <col min="31" max="31" width="11.28515625" style="3" bestFit="1" customWidth="1"/>
    <col min="32" max="32" width="12" style="3" bestFit="1" customWidth="1"/>
    <col min="33" max="33" width="9.140625" style="3"/>
    <col min="34" max="34" width="10" style="3" bestFit="1" customWidth="1"/>
    <col min="35" max="35" width="14.5703125" style="3" bestFit="1" customWidth="1"/>
    <col min="36" max="38" width="9.140625" style="3"/>
    <col min="39" max="39" width="10" style="3" bestFit="1" customWidth="1"/>
    <col min="40" max="40" width="9.140625" style="3"/>
    <col min="41" max="42" width="33.7109375" style="3" customWidth="1"/>
    <col min="43" max="43" width="19.5703125" style="3" customWidth="1"/>
    <col min="44" max="44" width="12" style="3" customWidth="1"/>
    <col min="45" max="45" width="10.28515625" style="3" bestFit="1" customWidth="1"/>
    <col min="46" max="46" width="20.28515625" style="3" bestFit="1" customWidth="1"/>
    <col min="47" max="16384" width="9.140625" style="3"/>
  </cols>
  <sheetData>
    <row r="1" spans="1:54" x14ac:dyDescent="0.25">
      <c r="A1" s="4" t="s">
        <v>284</v>
      </c>
      <c r="B1" s="3" t="s">
        <v>305</v>
      </c>
      <c r="C1" s="3" t="s">
        <v>282</v>
      </c>
      <c r="D1" s="3" t="s">
        <v>24</v>
      </c>
      <c r="E1" s="3" t="s">
        <v>307</v>
      </c>
      <c r="F1" s="3" t="s">
        <v>309</v>
      </c>
      <c r="G1" s="3" t="s">
        <v>311</v>
      </c>
      <c r="H1" s="3" t="s">
        <v>313</v>
      </c>
      <c r="I1" s="3" t="s">
        <v>315</v>
      </c>
      <c r="J1" s="3" t="s">
        <v>317</v>
      </c>
      <c r="K1" s="3" t="s">
        <v>319</v>
      </c>
      <c r="L1" s="3" t="s">
        <v>321</v>
      </c>
      <c r="M1" s="3" t="s">
        <v>323</v>
      </c>
      <c r="N1" s="3" t="s">
        <v>325</v>
      </c>
      <c r="O1" s="3" t="s">
        <v>326</v>
      </c>
      <c r="P1" s="3" t="s">
        <v>328</v>
      </c>
      <c r="Q1" s="3" t="s">
        <v>330</v>
      </c>
      <c r="R1" s="3" t="s">
        <v>331</v>
      </c>
      <c r="S1" s="3" t="s">
        <v>333</v>
      </c>
      <c r="T1" s="3" t="s">
        <v>334</v>
      </c>
      <c r="U1" s="3" t="s">
        <v>336</v>
      </c>
      <c r="V1" s="3" t="s">
        <v>337</v>
      </c>
      <c r="W1" s="3" t="s">
        <v>338</v>
      </c>
      <c r="X1" s="3" t="s">
        <v>340</v>
      </c>
      <c r="Y1" s="3" t="s">
        <v>341</v>
      </c>
      <c r="Z1" s="3" t="s">
        <v>343</v>
      </c>
      <c r="AA1" s="3" t="s">
        <v>344</v>
      </c>
      <c r="AB1" s="3" t="s">
        <v>345</v>
      </c>
      <c r="AC1" s="3" t="s">
        <v>346</v>
      </c>
      <c r="AD1" s="3" t="s">
        <v>348</v>
      </c>
      <c r="AE1" s="3" t="s">
        <v>350</v>
      </c>
      <c r="AF1" s="3" t="s">
        <v>361</v>
      </c>
      <c r="AG1" s="3" t="s">
        <v>352</v>
      </c>
      <c r="AH1" s="3" t="s">
        <v>353</v>
      </c>
      <c r="AI1" s="3" t="s">
        <v>355</v>
      </c>
      <c r="AJ1" s="3" t="s">
        <v>356</v>
      </c>
      <c r="AK1" s="3" t="s">
        <v>357</v>
      </c>
      <c r="AL1" s="3" t="s">
        <v>358</v>
      </c>
      <c r="AM1" s="3" t="s">
        <v>359</v>
      </c>
      <c r="AN1" s="4" t="s">
        <v>0</v>
      </c>
      <c r="AO1" s="4" t="s">
        <v>9</v>
      </c>
      <c r="AP1" s="4" t="s">
        <v>527</v>
      </c>
      <c r="AQ1" s="3" t="s">
        <v>6</v>
      </c>
      <c r="AR1" s="3" t="s">
        <v>7</v>
      </c>
      <c r="AS1" s="4" t="s">
        <v>4</v>
      </c>
      <c r="AT1" s="4" t="s">
        <v>84</v>
      </c>
      <c r="AU1" s="4"/>
      <c r="AV1" s="4"/>
      <c r="AW1" s="4"/>
      <c r="AX1" s="4"/>
      <c r="AY1" s="4"/>
      <c r="AZ1" s="4"/>
      <c r="BA1" s="4"/>
      <c r="BB1" s="4"/>
    </row>
    <row r="2" spans="1:54" x14ac:dyDescent="0.25">
      <c r="A2" s="12" t="str">
        <f ca="1">CONCATENATE("Automation",TEXT(NOW(),"DDHHMM"))</f>
        <v>Automation241134</v>
      </c>
      <c r="B2" s="4" t="s">
        <v>306</v>
      </c>
      <c r="C2" s="4" t="s">
        <v>118</v>
      </c>
      <c r="D2" s="4" t="s">
        <v>65</v>
      </c>
      <c r="E2" s="4" t="s">
        <v>781</v>
      </c>
      <c r="F2" s="4" t="s">
        <v>310</v>
      </c>
      <c r="G2" s="4" t="s">
        <v>312</v>
      </c>
      <c r="H2" s="4" t="s">
        <v>314</v>
      </c>
      <c r="I2" s="4" t="s">
        <v>316</v>
      </c>
      <c r="J2" s="4" t="s">
        <v>318</v>
      </c>
      <c r="K2" s="4" t="s">
        <v>320</v>
      </c>
      <c r="L2" s="4" t="s">
        <v>322</v>
      </c>
      <c r="M2" s="4" t="s">
        <v>782</v>
      </c>
      <c r="N2" s="4" t="s">
        <v>21</v>
      </c>
      <c r="O2" s="4" t="s">
        <v>327</v>
      </c>
      <c r="P2" s="4" t="s">
        <v>329</v>
      </c>
      <c r="Q2" s="4" t="s">
        <v>612</v>
      </c>
      <c r="R2" s="4" t="s">
        <v>332</v>
      </c>
      <c r="S2" s="4" t="s">
        <v>245</v>
      </c>
      <c r="T2" s="4" t="s">
        <v>335</v>
      </c>
      <c r="U2" s="4" t="s">
        <v>226</v>
      </c>
      <c r="V2" s="4" t="s">
        <v>335</v>
      </c>
      <c r="W2" s="4" t="s">
        <v>339</v>
      </c>
      <c r="X2" s="4" t="s">
        <v>118</v>
      </c>
      <c r="Y2" s="4" t="s">
        <v>342</v>
      </c>
      <c r="Z2" s="4" t="s">
        <v>118</v>
      </c>
      <c r="AA2" s="4" t="s">
        <v>118</v>
      </c>
      <c r="AB2" s="4" t="s">
        <v>226</v>
      </c>
      <c r="AC2" s="4" t="s">
        <v>347</v>
      </c>
      <c r="AD2" s="4" t="s">
        <v>349</v>
      </c>
      <c r="AE2" s="4" t="s">
        <v>351</v>
      </c>
      <c r="AF2" s="4" t="s">
        <v>360</v>
      </c>
      <c r="AG2" s="4" t="s">
        <v>335</v>
      </c>
      <c r="AH2" s="4" t="s">
        <v>354</v>
      </c>
      <c r="AI2" s="4" t="s">
        <v>226</v>
      </c>
      <c r="AJ2" s="4" t="s">
        <v>335</v>
      </c>
      <c r="AK2" s="4" t="s">
        <v>354</v>
      </c>
      <c r="AL2" s="4" t="s">
        <v>335</v>
      </c>
      <c r="AM2" s="4" t="s">
        <v>354</v>
      </c>
      <c r="AN2" s="2" t="s">
        <v>3</v>
      </c>
      <c r="AO2" s="4" t="s">
        <v>620</v>
      </c>
      <c r="AP2" s="9" t="s">
        <v>579</v>
      </c>
      <c r="AQ2" s="3" t="s">
        <v>285</v>
      </c>
      <c r="AR2" s="3" t="s">
        <v>8</v>
      </c>
      <c r="AS2" s="4" t="s">
        <v>5</v>
      </c>
      <c r="AT2" s="4" t="s">
        <v>445</v>
      </c>
      <c r="AU2" s="4"/>
      <c r="AV2" s="4"/>
      <c r="AW2" s="4"/>
      <c r="AX2" s="4"/>
      <c r="AY2" s="4"/>
      <c r="AZ2" s="4"/>
      <c r="BA2" s="4"/>
      <c r="BB2" s="4"/>
    </row>
    <row r="6" spans="1:54" x14ac:dyDescent="0.25">
      <c r="B6" s="16"/>
    </row>
  </sheetData>
  <pageMargins left="0.7" right="0.7" top="0.75" bottom="0.75" header="0.3" footer="0.3"/>
  <pageSetup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"/>
  <sheetViews>
    <sheetView workbookViewId="0">
      <selection activeCell="M5" sqref="M5"/>
    </sheetView>
  </sheetViews>
  <sheetFormatPr defaultRowHeight="15" x14ac:dyDescent="0.25"/>
  <cols>
    <col min="1" max="1" width="17.85546875" bestFit="1" customWidth="1"/>
    <col min="13" max="13" width="15.5703125" bestFit="1" customWidth="1"/>
    <col min="41" max="41" width="30.7109375" bestFit="1" customWidth="1"/>
    <col min="42" max="42" width="16.28515625" bestFit="1" customWidth="1"/>
    <col min="43" max="43" width="19.28515625" bestFit="1" customWidth="1"/>
  </cols>
  <sheetData>
    <row r="1" spans="1:46" x14ac:dyDescent="0.25">
      <c r="A1" s="4" t="s">
        <v>284</v>
      </c>
      <c r="B1" s="3" t="s">
        <v>305</v>
      </c>
      <c r="C1" s="3" t="s">
        <v>282</v>
      </c>
      <c r="D1" s="3" t="s">
        <v>24</v>
      </c>
      <c r="E1" s="3" t="s">
        <v>307</v>
      </c>
      <c r="F1" s="3" t="s">
        <v>309</v>
      </c>
      <c r="G1" s="3" t="s">
        <v>311</v>
      </c>
      <c r="H1" s="3" t="s">
        <v>313</v>
      </c>
      <c r="I1" s="3" t="s">
        <v>315</v>
      </c>
      <c r="J1" s="3" t="s">
        <v>317</v>
      </c>
      <c r="K1" s="3" t="s">
        <v>319</v>
      </c>
      <c r="L1" s="3" t="s">
        <v>321</v>
      </c>
      <c r="M1" s="3" t="s">
        <v>323</v>
      </c>
      <c r="N1" s="3" t="s">
        <v>325</v>
      </c>
      <c r="O1" s="3" t="s">
        <v>326</v>
      </c>
      <c r="P1" s="3" t="s">
        <v>328</v>
      </c>
      <c r="Q1" s="3" t="s">
        <v>330</v>
      </c>
      <c r="R1" s="3" t="s">
        <v>331</v>
      </c>
      <c r="S1" s="3" t="s">
        <v>333</v>
      </c>
      <c r="T1" s="3" t="s">
        <v>334</v>
      </c>
      <c r="U1" s="3" t="s">
        <v>336</v>
      </c>
      <c r="V1" s="3" t="s">
        <v>337</v>
      </c>
      <c r="W1" s="3" t="s">
        <v>338</v>
      </c>
      <c r="X1" s="3" t="s">
        <v>340</v>
      </c>
      <c r="Y1" s="3" t="s">
        <v>341</v>
      </c>
      <c r="Z1" s="3" t="s">
        <v>343</v>
      </c>
      <c r="AA1" s="3" t="s">
        <v>344</v>
      </c>
      <c r="AB1" s="3" t="s">
        <v>345</v>
      </c>
      <c r="AC1" s="3" t="s">
        <v>346</v>
      </c>
      <c r="AD1" s="3" t="s">
        <v>348</v>
      </c>
      <c r="AE1" s="3" t="s">
        <v>350</v>
      </c>
      <c r="AF1" s="3" t="s">
        <v>361</v>
      </c>
      <c r="AG1" s="3" t="s">
        <v>352</v>
      </c>
      <c r="AH1" s="3" t="s">
        <v>353</v>
      </c>
      <c r="AI1" s="3" t="s">
        <v>355</v>
      </c>
      <c r="AJ1" s="3" t="s">
        <v>356</v>
      </c>
      <c r="AK1" s="3" t="s">
        <v>357</v>
      </c>
      <c r="AL1" s="3" t="s">
        <v>358</v>
      </c>
      <c r="AM1" s="3" t="s">
        <v>359</v>
      </c>
      <c r="AN1" s="4" t="s">
        <v>0</v>
      </c>
      <c r="AO1" s="4" t="s">
        <v>9</v>
      </c>
      <c r="AP1" s="4" t="s">
        <v>527</v>
      </c>
      <c r="AQ1" s="3" t="s">
        <v>6</v>
      </c>
      <c r="AR1" s="3" t="s">
        <v>7</v>
      </c>
      <c r="AS1" s="4" t="s">
        <v>4</v>
      </c>
      <c r="AT1" s="4" t="s">
        <v>84</v>
      </c>
    </row>
    <row r="2" spans="1:46" x14ac:dyDescent="0.25">
      <c r="A2" s="4"/>
      <c r="B2" s="4" t="s">
        <v>306</v>
      </c>
      <c r="C2" s="4" t="s">
        <v>118</v>
      </c>
      <c r="D2" s="4" t="s">
        <v>65</v>
      </c>
      <c r="E2" s="4" t="s">
        <v>308</v>
      </c>
      <c r="F2" s="4" t="s">
        <v>310</v>
      </c>
      <c r="G2" s="4" t="s">
        <v>312</v>
      </c>
      <c r="H2" s="4" t="s">
        <v>314</v>
      </c>
      <c r="I2" s="4" t="s">
        <v>316</v>
      </c>
      <c r="J2" s="4" t="s">
        <v>318</v>
      </c>
      <c r="K2" s="4" t="s">
        <v>320</v>
      </c>
      <c r="L2" s="4" t="s">
        <v>322</v>
      </c>
      <c r="M2" s="4" t="s">
        <v>324</v>
      </c>
      <c r="N2" s="4" t="s">
        <v>21</v>
      </c>
      <c r="O2" s="4" t="s">
        <v>327</v>
      </c>
      <c r="P2" s="4" t="s">
        <v>329</v>
      </c>
      <c r="Q2" s="4" t="s">
        <v>612</v>
      </c>
      <c r="R2" s="4" t="s">
        <v>332</v>
      </c>
      <c r="S2" s="4" t="s">
        <v>245</v>
      </c>
      <c r="T2" s="4" t="s">
        <v>335</v>
      </c>
      <c r="U2" s="4" t="s">
        <v>226</v>
      </c>
      <c r="V2" s="4" t="s">
        <v>335</v>
      </c>
      <c r="W2" s="4" t="s">
        <v>339</v>
      </c>
      <c r="X2" s="4" t="s">
        <v>118</v>
      </c>
      <c r="Y2" s="4" t="s">
        <v>342</v>
      </c>
      <c r="Z2" s="4" t="s">
        <v>118</v>
      </c>
      <c r="AA2" s="4" t="s">
        <v>118</v>
      </c>
      <c r="AB2" s="4" t="s">
        <v>226</v>
      </c>
      <c r="AC2" s="4" t="s">
        <v>347</v>
      </c>
      <c r="AD2" s="4" t="s">
        <v>349</v>
      </c>
      <c r="AE2" s="4" t="s">
        <v>351</v>
      </c>
      <c r="AF2" s="4" t="s">
        <v>360</v>
      </c>
      <c r="AG2" s="4" t="s">
        <v>335</v>
      </c>
      <c r="AH2" s="4" t="s">
        <v>354</v>
      </c>
      <c r="AI2" s="4" t="s">
        <v>226</v>
      </c>
      <c r="AJ2" s="4" t="s">
        <v>335</v>
      </c>
      <c r="AK2" s="4" t="s">
        <v>354</v>
      </c>
      <c r="AL2" s="4" t="s">
        <v>335</v>
      </c>
      <c r="AM2" s="4" t="s">
        <v>354</v>
      </c>
      <c r="AN2" s="2" t="s">
        <v>3</v>
      </c>
      <c r="AO2" s="4" t="s">
        <v>613</v>
      </c>
      <c r="AP2" s="4" t="s">
        <v>528</v>
      </c>
      <c r="AQ2" s="9"/>
      <c r="AR2" s="3" t="s">
        <v>526</v>
      </c>
      <c r="AS2" s="4" t="s">
        <v>5</v>
      </c>
      <c r="AT2" s="4" t="s">
        <v>445</v>
      </c>
    </row>
    <row r="3" spans="1:46" x14ac:dyDescent="0.25">
      <c r="A3" s="12" t="str">
        <f ca="1">CONCATENATE("Automation",TEXT(NOW(),"DDHHMM"))</f>
        <v>Automation241134</v>
      </c>
      <c r="B3" s="4" t="s">
        <v>306</v>
      </c>
      <c r="C3" s="4" t="s">
        <v>118</v>
      </c>
      <c r="D3" s="4"/>
      <c r="E3" s="4" t="s">
        <v>308</v>
      </c>
      <c r="F3" s="4" t="s">
        <v>310</v>
      </c>
      <c r="G3" s="4" t="s">
        <v>312</v>
      </c>
      <c r="H3" s="4" t="s">
        <v>314</v>
      </c>
      <c r="I3" s="4" t="s">
        <v>316</v>
      </c>
      <c r="J3" s="4" t="s">
        <v>318</v>
      </c>
      <c r="K3" s="4" t="s">
        <v>320</v>
      </c>
      <c r="L3" s="4" t="s">
        <v>322</v>
      </c>
      <c r="M3" s="4" t="s">
        <v>324</v>
      </c>
      <c r="N3" s="4" t="s">
        <v>21</v>
      </c>
      <c r="O3" s="4" t="s">
        <v>327</v>
      </c>
      <c r="P3" s="4" t="s">
        <v>329</v>
      </c>
      <c r="Q3" s="4" t="s">
        <v>612</v>
      </c>
      <c r="R3" s="4" t="s">
        <v>332</v>
      </c>
      <c r="S3" s="4" t="s">
        <v>245</v>
      </c>
      <c r="T3" s="4" t="s">
        <v>335</v>
      </c>
      <c r="U3" s="4" t="s">
        <v>226</v>
      </c>
      <c r="V3" s="4" t="s">
        <v>335</v>
      </c>
      <c r="W3" s="4" t="s">
        <v>339</v>
      </c>
      <c r="X3" s="4" t="s">
        <v>118</v>
      </c>
      <c r="Y3" s="4" t="s">
        <v>342</v>
      </c>
      <c r="Z3" s="4" t="s">
        <v>118</v>
      </c>
      <c r="AA3" s="4" t="s">
        <v>118</v>
      </c>
      <c r="AB3" s="4" t="s">
        <v>226</v>
      </c>
      <c r="AC3" s="4" t="s">
        <v>347</v>
      </c>
      <c r="AD3" s="4" t="s">
        <v>349</v>
      </c>
      <c r="AE3" s="4" t="s">
        <v>351</v>
      </c>
      <c r="AF3" s="4" t="s">
        <v>360</v>
      </c>
      <c r="AG3" s="4" t="s">
        <v>335</v>
      </c>
      <c r="AH3" s="4" t="s">
        <v>354</v>
      </c>
      <c r="AI3" s="4" t="s">
        <v>226</v>
      </c>
      <c r="AJ3" s="4" t="s">
        <v>335</v>
      </c>
      <c r="AK3" s="4" t="s">
        <v>354</v>
      </c>
      <c r="AL3" s="4" t="s">
        <v>335</v>
      </c>
      <c r="AM3" s="4" t="s">
        <v>354</v>
      </c>
      <c r="AN3" s="2" t="s">
        <v>543</v>
      </c>
      <c r="AO3" s="4" t="s">
        <v>614</v>
      </c>
      <c r="AP3" s="4" t="s">
        <v>528</v>
      </c>
      <c r="AQ3" s="9"/>
      <c r="AR3" s="3" t="s">
        <v>526</v>
      </c>
      <c r="AS3" s="4" t="s">
        <v>5</v>
      </c>
      <c r="AT3" s="4" t="s">
        <v>445</v>
      </c>
    </row>
    <row r="4" spans="1:46" x14ac:dyDescent="0.25">
      <c r="A4" s="12" t="str">
        <f ca="1">CONCATENATE("Automation",TEXT(NOW(),"DDHHMM"))</f>
        <v>Automation241134</v>
      </c>
      <c r="B4" s="4" t="s">
        <v>306</v>
      </c>
      <c r="C4" s="4" t="s">
        <v>118</v>
      </c>
      <c r="D4" s="4" t="s">
        <v>65</v>
      </c>
      <c r="E4" s="4"/>
      <c r="F4" s="4" t="s">
        <v>310</v>
      </c>
      <c r="G4" s="4" t="s">
        <v>312</v>
      </c>
      <c r="H4" s="4" t="s">
        <v>314</v>
      </c>
      <c r="I4" s="4" t="s">
        <v>316</v>
      </c>
      <c r="J4" s="4" t="s">
        <v>318</v>
      </c>
      <c r="K4" s="4" t="s">
        <v>320</v>
      </c>
      <c r="L4" s="4" t="s">
        <v>322</v>
      </c>
      <c r="M4" s="4" t="s">
        <v>324</v>
      </c>
      <c r="N4" s="4" t="s">
        <v>21</v>
      </c>
      <c r="O4" s="4" t="s">
        <v>327</v>
      </c>
      <c r="P4" s="4" t="s">
        <v>329</v>
      </c>
      <c r="Q4" s="4" t="s">
        <v>612</v>
      </c>
      <c r="R4" s="4" t="s">
        <v>332</v>
      </c>
      <c r="S4" s="4" t="s">
        <v>245</v>
      </c>
      <c r="T4" s="4" t="s">
        <v>335</v>
      </c>
      <c r="U4" s="4" t="s">
        <v>226</v>
      </c>
      <c r="V4" s="4" t="s">
        <v>335</v>
      </c>
      <c r="W4" s="4" t="s">
        <v>339</v>
      </c>
      <c r="X4" s="4" t="s">
        <v>118</v>
      </c>
      <c r="Y4" s="4" t="s">
        <v>342</v>
      </c>
      <c r="Z4" s="4" t="s">
        <v>118</v>
      </c>
      <c r="AA4" s="4" t="s">
        <v>118</v>
      </c>
      <c r="AB4" s="4" t="s">
        <v>226</v>
      </c>
      <c r="AC4" s="4" t="s">
        <v>347</v>
      </c>
      <c r="AD4" s="4" t="s">
        <v>349</v>
      </c>
      <c r="AE4" s="4" t="s">
        <v>351</v>
      </c>
      <c r="AF4" s="4" t="s">
        <v>360</v>
      </c>
      <c r="AG4" s="4" t="s">
        <v>335</v>
      </c>
      <c r="AH4" s="4" t="s">
        <v>354</v>
      </c>
      <c r="AI4" s="4" t="s">
        <v>226</v>
      </c>
      <c r="AJ4" s="4" t="s">
        <v>335</v>
      </c>
      <c r="AK4" s="4" t="s">
        <v>354</v>
      </c>
      <c r="AL4" s="4" t="s">
        <v>335</v>
      </c>
      <c r="AM4" s="4" t="s">
        <v>354</v>
      </c>
      <c r="AN4" s="2" t="s">
        <v>410</v>
      </c>
      <c r="AO4" s="4" t="s">
        <v>615</v>
      </c>
      <c r="AP4" s="4" t="s">
        <v>528</v>
      </c>
      <c r="AQ4" s="9"/>
      <c r="AR4" s="3" t="s">
        <v>526</v>
      </c>
      <c r="AS4" s="4" t="s">
        <v>5</v>
      </c>
      <c r="AT4" s="4" t="s">
        <v>445</v>
      </c>
    </row>
    <row r="5" spans="1:46" x14ac:dyDescent="0.25">
      <c r="A5" s="12" t="str">
        <f ca="1">CONCATENATE("Automation",TEXT(NOW(),"DDHHMM"))</f>
        <v>Automation241134</v>
      </c>
      <c r="B5" s="4" t="s">
        <v>306</v>
      </c>
      <c r="C5" s="4" t="s">
        <v>118</v>
      </c>
      <c r="D5" s="4" t="s">
        <v>65</v>
      </c>
      <c r="E5" s="4" t="s">
        <v>308</v>
      </c>
      <c r="F5" s="4" t="s">
        <v>310</v>
      </c>
      <c r="G5" s="4"/>
      <c r="H5" s="4" t="s">
        <v>314</v>
      </c>
      <c r="I5" s="4" t="s">
        <v>316</v>
      </c>
      <c r="J5" s="4" t="s">
        <v>318</v>
      </c>
      <c r="K5" s="4" t="s">
        <v>320</v>
      </c>
      <c r="L5" s="4" t="s">
        <v>322</v>
      </c>
      <c r="M5" s="4" t="s">
        <v>324</v>
      </c>
      <c r="N5" s="4" t="s">
        <v>21</v>
      </c>
      <c r="O5" s="4" t="s">
        <v>327</v>
      </c>
      <c r="P5" s="4" t="s">
        <v>329</v>
      </c>
      <c r="Q5" s="4" t="s">
        <v>612</v>
      </c>
      <c r="R5" s="4" t="s">
        <v>332</v>
      </c>
      <c r="S5" s="4" t="s">
        <v>245</v>
      </c>
      <c r="T5" s="4" t="s">
        <v>335</v>
      </c>
      <c r="U5" s="4" t="s">
        <v>226</v>
      </c>
      <c r="V5" s="4" t="s">
        <v>335</v>
      </c>
      <c r="W5" s="4" t="s">
        <v>339</v>
      </c>
      <c r="X5" s="4" t="s">
        <v>118</v>
      </c>
      <c r="Y5" s="4" t="s">
        <v>342</v>
      </c>
      <c r="Z5" s="4" t="s">
        <v>118</v>
      </c>
      <c r="AA5" s="4" t="s">
        <v>118</v>
      </c>
      <c r="AB5" s="4" t="s">
        <v>226</v>
      </c>
      <c r="AC5" s="4" t="s">
        <v>347</v>
      </c>
      <c r="AD5" s="4" t="s">
        <v>349</v>
      </c>
      <c r="AE5" s="4" t="s">
        <v>351</v>
      </c>
      <c r="AF5" s="4" t="s">
        <v>360</v>
      </c>
      <c r="AG5" s="4" t="s">
        <v>335</v>
      </c>
      <c r="AH5" s="4" t="s">
        <v>354</v>
      </c>
      <c r="AI5" s="4" t="s">
        <v>226</v>
      </c>
      <c r="AJ5" s="4" t="s">
        <v>335</v>
      </c>
      <c r="AK5" s="4" t="s">
        <v>354</v>
      </c>
      <c r="AL5" s="4" t="s">
        <v>335</v>
      </c>
      <c r="AM5" s="4" t="s">
        <v>354</v>
      </c>
      <c r="AN5" s="2" t="s">
        <v>544</v>
      </c>
      <c r="AO5" s="4" t="s">
        <v>616</v>
      </c>
      <c r="AP5" s="4" t="s">
        <v>528</v>
      </c>
      <c r="AQ5" s="9"/>
      <c r="AR5" s="3" t="s">
        <v>526</v>
      </c>
      <c r="AS5" s="4" t="s">
        <v>5</v>
      </c>
      <c r="AT5" s="4" t="s">
        <v>445</v>
      </c>
    </row>
    <row r="6" spans="1:46" x14ac:dyDescent="0.25">
      <c r="A6" s="12" t="str">
        <f ca="1">CONCATENATE("Automation",TEXT(NOW(),"DDHHMM"))</f>
        <v>Automation241134</v>
      </c>
      <c r="B6" s="4" t="s">
        <v>306</v>
      </c>
      <c r="C6" s="4" t="s">
        <v>118</v>
      </c>
      <c r="D6" s="4" t="s">
        <v>65</v>
      </c>
      <c r="E6" s="4" t="s">
        <v>308</v>
      </c>
      <c r="F6" s="4" t="s">
        <v>310</v>
      </c>
      <c r="G6" s="4" t="s">
        <v>312</v>
      </c>
      <c r="H6" s="4"/>
      <c r="I6" s="4" t="s">
        <v>316</v>
      </c>
      <c r="J6" s="4" t="s">
        <v>318</v>
      </c>
      <c r="K6" s="4" t="s">
        <v>320</v>
      </c>
      <c r="L6" s="4" t="s">
        <v>322</v>
      </c>
      <c r="M6" s="4" t="s">
        <v>324</v>
      </c>
      <c r="N6" s="4" t="s">
        <v>21</v>
      </c>
      <c r="O6" s="4" t="s">
        <v>327</v>
      </c>
      <c r="P6" s="4" t="s">
        <v>329</v>
      </c>
      <c r="Q6" s="4" t="s">
        <v>612</v>
      </c>
      <c r="R6" s="4" t="s">
        <v>332</v>
      </c>
      <c r="S6" s="4" t="s">
        <v>245</v>
      </c>
      <c r="T6" s="4" t="s">
        <v>335</v>
      </c>
      <c r="U6" s="4" t="s">
        <v>226</v>
      </c>
      <c r="V6" s="4" t="s">
        <v>335</v>
      </c>
      <c r="W6" s="4" t="s">
        <v>339</v>
      </c>
      <c r="X6" s="4" t="s">
        <v>118</v>
      </c>
      <c r="Y6" s="4" t="s">
        <v>342</v>
      </c>
      <c r="Z6" s="4" t="s">
        <v>118</v>
      </c>
      <c r="AA6" s="4" t="s">
        <v>118</v>
      </c>
      <c r="AB6" s="4" t="s">
        <v>226</v>
      </c>
      <c r="AC6" s="4" t="s">
        <v>347</v>
      </c>
      <c r="AD6" s="4" t="s">
        <v>349</v>
      </c>
      <c r="AE6" s="4" t="s">
        <v>351</v>
      </c>
      <c r="AF6" s="4" t="s">
        <v>360</v>
      </c>
      <c r="AG6" s="4" t="s">
        <v>335</v>
      </c>
      <c r="AH6" s="4" t="s">
        <v>354</v>
      </c>
      <c r="AI6" s="4" t="s">
        <v>226</v>
      </c>
      <c r="AJ6" s="4" t="s">
        <v>335</v>
      </c>
      <c r="AK6" s="4" t="s">
        <v>354</v>
      </c>
      <c r="AL6" s="4" t="s">
        <v>335</v>
      </c>
      <c r="AM6" s="4" t="s">
        <v>354</v>
      </c>
      <c r="AN6" s="2" t="s">
        <v>545</v>
      </c>
      <c r="AO6" s="4" t="s">
        <v>618</v>
      </c>
      <c r="AP6" s="4" t="s">
        <v>528</v>
      </c>
      <c r="AQ6" s="9"/>
      <c r="AR6" s="3" t="s">
        <v>526</v>
      </c>
      <c r="AS6" s="4" t="s">
        <v>5</v>
      </c>
      <c r="AT6" s="4" t="s">
        <v>445</v>
      </c>
    </row>
    <row r="7" spans="1:46" x14ac:dyDescent="0.25">
      <c r="A7" s="4" t="s">
        <v>617</v>
      </c>
      <c r="B7" s="4" t="s">
        <v>306</v>
      </c>
      <c r="C7" s="4" t="s">
        <v>118</v>
      </c>
      <c r="D7" s="4" t="s">
        <v>65</v>
      </c>
      <c r="E7" s="4" t="s">
        <v>308</v>
      </c>
      <c r="F7" s="4" t="s">
        <v>310</v>
      </c>
      <c r="G7" s="4" t="s">
        <v>312</v>
      </c>
      <c r="H7" s="4" t="s">
        <v>314</v>
      </c>
      <c r="I7" s="4" t="s">
        <v>316</v>
      </c>
      <c r="J7" s="4" t="s">
        <v>318</v>
      </c>
      <c r="K7" s="4" t="s">
        <v>320</v>
      </c>
      <c r="L7" s="4" t="s">
        <v>322</v>
      </c>
      <c r="M7" s="4" t="s">
        <v>324</v>
      </c>
      <c r="N7" s="4" t="s">
        <v>21</v>
      </c>
      <c r="O7" s="4" t="s">
        <v>327</v>
      </c>
      <c r="P7" s="4" t="s">
        <v>329</v>
      </c>
      <c r="Q7" s="4" t="s">
        <v>612</v>
      </c>
      <c r="R7" s="4" t="s">
        <v>332</v>
      </c>
      <c r="S7" s="4" t="s">
        <v>245</v>
      </c>
      <c r="T7" s="4" t="s">
        <v>335</v>
      </c>
      <c r="U7" s="4" t="s">
        <v>226</v>
      </c>
      <c r="V7" s="4" t="s">
        <v>335</v>
      </c>
      <c r="W7" s="4" t="s">
        <v>339</v>
      </c>
      <c r="X7" s="4" t="s">
        <v>118</v>
      </c>
      <c r="Y7" s="4" t="s">
        <v>342</v>
      </c>
      <c r="Z7" s="4" t="s">
        <v>118</v>
      </c>
      <c r="AA7" s="4" t="s">
        <v>118</v>
      </c>
      <c r="AB7" s="4" t="s">
        <v>226</v>
      </c>
      <c r="AC7" s="4" t="s">
        <v>347</v>
      </c>
      <c r="AD7" s="4" t="s">
        <v>349</v>
      </c>
      <c r="AE7" s="4" t="s">
        <v>351</v>
      </c>
      <c r="AF7" s="4" t="s">
        <v>360</v>
      </c>
      <c r="AG7" s="4" t="s">
        <v>335</v>
      </c>
      <c r="AH7" s="4" t="s">
        <v>354</v>
      </c>
      <c r="AI7" s="4" t="s">
        <v>226</v>
      </c>
      <c r="AJ7" s="4" t="s">
        <v>335</v>
      </c>
      <c r="AK7" s="4" t="s">
        <v>354</v>
      </c>
      <c r="AL7" s="4" t="s">
        <v>335</v>
      </c>
      <c r="AM7" s="4" t="s">
        <v>354</v>
      </c>
      <c r="AN7" s="2" t="s">
        <v>546</v>
      </c>
      <c r="AO7" s="4" t="s">
        <v>783</v>
      </c>
      <c r="AP7" s="4" t="s">
        <v>536</v>
      </c>
      <c r="AQ7" s="9"/>
      <c r="AR7" s="3" t="s">
        <v>526</v>
      </c>
      <c r="AS7" s="4" t="s">
        <v>5</v>
      </c>
      <c r="AT7" s="4" t="s">
        <v>445</v>
      </c>
    </row>
    <row r="8" spans="1:46" x14ac:dyDescent="0.25">
      <c r="A8" s="12" t="str">
        <f ca="1">CONCATENATE("Automation",TEXT(NOW(),"DDHHMM"))</f>
        <v>Automation241134</v>
      </c>
      <c r="B8" s="4" t="s">
        <v>306</v>
      </c>
      <c r="C8" s="4" t="s">
        <v>118</v>
      </c>
      <c r="D8" s="4" t="s">
        <v>65</v>
      </c>
      <c r="E8" s="4" t="s">
        <v>308</v>
      </c>
      <c r="F8" s="4" t="s">
        <v>310</v>
      </c>
      <c r="G8" s="4" t="s">
        <v>312</v>
      </c>
      <c r="H8" s="4" t="s">
        <v>314</v>
      </c>
      <c r="I8" s="4" t="s">
        <v>316</v>
      </c>
      <c r="J8" s="4" t="s">
        <v>318</v>
      </c>
      <c r="K8" s="4" t="s">
        <v>320</v>
      </c>
      <c r="L8" s="4" t="s">
        <v>322</v>
      </c>
      <c r="M8" s="4" t="s">
        <v>324</v>
      </c>
      <c r="N8" s="4" t="s">
        <v>21</v>
      </c>
      <c r="O8" s="4" t="s">
        <v>327</v>
      </c>
      <c r="P8" s="4" t="s">
        <v>329</v>
      </c>
      <c r="Q8" s="4" t="s">
        <v>612</v>
      </c>
      <c r="R8" s="4" t="s">
        <v>332</v>
      </c>
      <c r="S8" s="4" t="s">
        <v>245</v>
      </c>
      <c r="T8" s="4" t="s">
        <v>335</v>
      </c>
      <c r="U8" s="4" t="s">
        <v>226</v>
      </c>
      <c r="V8" s="4" t="s">
        <v>335</v>
      </c>
      <c r="W8" s="4" t="s">
        <v>339</v>
      </c>
      <c r="X8" s="4" t="s">
        <v>118</v>
      </c>
      <c r="Y8" s="4" t="s">
        <v>342</v>
      </c>
      <c r="Z8" s="4" t="s">
        <v>118</v>
      </c>
      <c r="AA8" s="4" t="s">
        <v>118</v>
      </c>
      <c r="AB8" s="4" t="s">
        <v>226</v>
      </c>
      <c r="AC8" s="4" t="s">
        <v>347</v>
      </c>
      <c r="AD8" s="4" t="s">
        <v>349</v>
      </c>
      <c r="AE8" s="4" t="s">
        <v>351</v>
      </c>
      <c r="AF8" s="4" t="s">
        <v>360</v>
      </c>
      <c r="AG8" s="4" t="s">
        <v>335</v>
      </c>
      <c r="AH8" s="4" t="s">
        <v>354</v>
      </c>
      <c r="AI8" s="4" t="s">
        <v>226</v>
      </c>
      <c r="AJ8" s="4" t="s">
        <v>335</v>
      </c>
      <c r="AK8" s="4" t="s">
        <v>354</v>
      </c>
      <c r="AL8" s="4" t="s">
        <v>335</v>
      </c>
      <c r="AM8" s="4" t="s">
        <v>354</v>
      </c>
      <c r="AN8" s="2" t="s">
        <v>619</v>
      </c>
      <c r="AO8" s="4" t="s">
        <v>620</v>
      </c>
      <c r="AP8" s="9" t="s">
        <v>579</v>
      </c>
      <c r="AQ8" s="3" t="s">
        <v>285</v>
      </c>
      <c r="AR8" s="3" t="s">
        <v>8</v>
      </c>
      <c r="AS8" s="4" t="s">
        <v>5</v>
      </c>
      <c r="AT8" s="4" t="s">
        <v>445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opLeftCell="B1" workbookViewId="0">
      <selection activeCell="J2" sqref="J2:J6"/>
    </sheetView>
  </sheetViews>
  <sheetFormatPr defaultRowHeight="15" x14ac:dyDescent="0.25"/>
  <cols>
    <col min="2" max="2" width="11.5703125" bestFit="1" customWidth="1"/>
    <col min="3" max="3" width="12.5703125" bestFit="1" customWidth="1"/>
    <col min="7" max="7" width="29.28515625" bestFit="1" customWidth="1"/>
    <col min="8" max="8" width="23.7109375" style="3" customWidth="1"/>
    <col min="9" max="9" width="52.28515625" bestFit="1" customWidth="1"/>
    <col min="10" max="10" width="10.5703125" bestFit="1" customWidth="1"/>
  </cols>
  <sheetData>
    <row r="1" spans="1:12" x14ac:dyDescent="0.25">
      <c r="A1" s="3" t="s">
        <v>289</v>
      </c>
      <c r="B1" s="4" t="s">
        <v>284</v>
      </c>
      <c r="C1" t="s">
        <v>305</v>
      </c>
      <c r="D1" s="3" t="s">
        <v>282</v>
      </c>
      <c r="E1" t="s">
        <v>24</v>
      </c>
      <c r="F1" s="4" t="s">
        <v>0</v>
      </c>
      <c r="G1" s="4" t="s">
        <v>9</v>
      </c>
      <c r="H1" s="4" t="s">
        <v>527</v>
      </c>
      <c r="I1" s="3" t="s">
        <v>6</v>
      </c>
      <c r="J1" s="3" t="s">
        <v>7</v>
      </c>
      <c r="K1" s="4" t="s">
        <v>4</v>
      </c>
      <c r="L1" s="4" t="s">
        <v>84</v>
      </c>
    </row>
    <row r="2" spans="1:12" x14ac:dyDescent="0.25">
      <c r="A2" s="13"/>
      <c r="B2" s="4" t="s">
        <v>21</v>
      </c>
      <c r="C2" s="4" t="s">
        <v>306</v>
      </c>
      <c r="D2" s="3" t="s">
        <v>118</v>
      </c>
      <c r="E2" s="4" t="s">
        <v>23</v>
      </c>
      <c r="F2" s="2" t="s">
        <v>3</v>
      </c>
      <c r="G2" s="4" t="s">
        <v>632</v>
      </c>
      <c r="H2" s="4" t="s">
        <v>528</v>
      </c>
      <c r="I2" s="3"/>
      <c r="J2" s="3" t="s">
        <v>526</v>
      </c>
      <c r="K2" s="4" t="s">
        <v>5</v>
      </c>
      <c r="L2" s="3" t="s">
        <v>84</v>
      </c>
    </row>
    <row r="3" spans="1:12" s="3" customFormat="1" x14ac:dyDescent="0.25">
      <c r="A3" s="13" t="str">
        <f ca="1">LEFT(TEXT(NOW(),"SSHH"),4)</f>
        <v>0211</v>
      </c>
      <c r="B3" s="4"/>
      <c r="C3" s="4" t="s">
        <v>306</v>
      </c>
      <c r="D3" s="3" t="s">
        <v>118</v>
      </c>
      <c r="E3" s="4" t="s">
        <v>23</v>
      </c>
      <c r="F3" s="2" t="s">
        <v>543</v>
      </c>
      <c r="G3" s="4" t="s">
        <v>633</v>
      </c>
      <c r="H3" s="4" t="s">
        <v>528</v>
      </c>
      <c r="J3" s="3" t="s">
        <v>526</v>
      </c>
      <c r="K3" s="4" t="s">
        <v>5</v>
      </c>
      <c r="L3" s="3" t="s">
        <v>84</v>
      </c>
    </row>
    <row r="4" spans="1:12" s="3" customFormat="1" x14ac:dyDescent="0.25">
      <c r="A4" s="13" t="str">
        <f ca="1">LEFT(TEXT(NOW(),"SSHH"),4)</f>
        <v>0211</v>
      </c>
      <c r="B4" s="4" t="s">
        <v>21</v>
      </c>
      <c r="C4" s="4" t="s">
        <v>306</v>
      </c>
      <c r="E4" s="4" t="s">
        <v>23</v>
      </c>
      <c r="F4" s="2" t="s">
        <v>410</v>
      </c>
      <c r="G4" s="4" t="s">
        <v>634</v>
      </c>
      <c r="H4" s="4" t="s">
        <v>528</v>
      </c>
      <c r="J4" s="3" t="s">
        <v>526</v>
      </c>
      <c r="K4" s="4" t="s">
        <v>5</v>
      </c>
      <c r="L4" s="3" t="s">
        <v>84</v>
      </c>
    </row>
    <row r="5" spans="1:12" s="3" customFormat="1" x14ac:dyDescent="0.25">
      <c r="A5" s="13" t="str">
        <f ca="1">LEFT(TEXT(NOW(),"SSHH"),4)</f>
        <v>0211</v>
      </c>
      <c r="B5" s="4" t="s">
        <v>21</v>
      </c>
      <c r="C5" s="4" t="s">
        <v>306</v>
      </c>
      <c r="D5" s="3" t="s">
        <v>118</v>
      </c>
      <c r="E5" s="4"/>
      <c r="F5" s="2" t="s">
        <v>544</v>
      </c>
      <c r="G5" s="4" t="s">
        <v>636</v>
      </c>
      <c r="H5" s="4" t="s">
        <v>528</v>
      </c>
      <c r="J5" s="3" t="s">
        <v>526</v>
      </c>
      <c r="K5" s="4" t="s">
        <v>5</v>
      </c>
      <c r="L5" s="3" t="s">
        <v>84</v>
      </c>
    </row>
    <row r="6" spans="1:12" s="3" customFormat="1" x14ac:dyDescent="0.25">
      <c r="A6" s="13" t="str">
        <f ca="1">LEFT(TEXT(NOW(),"SSHH"),2)</f>
        <v>02</v>
      </c>
      <c r="B6" s="4" t="s">
        <v>21</v>
      </c>
      <c r="C6" s="4" t="s">
        <v>306</v>
      </c>
      <c r="D6" s="3" t="s">
        <v>118</v>
      </c>
      <c r="E6" s="4" t="s">
        <v>23</v>
      </c>
      <c r="F6" s="2" t="s">
        <v>545</v>
      </c>
      <c r="G6" s="4" t="s">
        <v>637</v>
      </c>
      <c r="H6" s="2" t="s">
        <v>579</v>
      </c>
      <c r="I6" s="3" t="s">
        <v>638</v>
      </c>
      <c r="J6" s="3" t="s">
        <v>526</v>
      </c>
      <c r="K6" s="4" t="s">
        <v>5</v>
      </c>
      <c r="L6" s="3" t="s">
        <v>84</v>
      </c>
    </row>
    <row r="7" spans="1:12" s="3" customFormat="1" x14ac:dyDescent="0.25">
      <c r="A7" s="13" t="str">
        <f ca="1">LEFT(TEXT(NOW(),"SSHH"),4)</f>
        <v>0211</v>
      </c>
      <c r="B7" s="4" t="s">
        <v>21</v>
      </c>
      <c r="C7" s="4" t="s">
        <v>306</v>
      </c>
      <c r="D7" s="3" t="s">
        <v>118</v>
      </c>
      <c r="E7" s="4" t="s">
        <v>23</v>
      </c>
      <c r="F7" s="2" t="s">
        <v>546</v>
      </c>
      <c r="G7" s="4" t="s">
        <v>635</v>
      </c>
      <c r="H7" s="4"/>
      <c r="I7" s="3" t="s">
        <v>285</v>
      </c>
      <c r="J7" s="3" t="s">
        <v>8</v>
      </c>
      <c r="K7" s="4" t="s">
        <v>5</v>
      </c>
      <c r="L7" s="3" t="s">
        <v>84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A2" sqref="A2"/>
    </sheetView>
  </sheetViews>
  <sheetFormatPr defaultRowHeight="15" x14ac:dyDescent="0.25"/>
  <cols>
    <col min="2" max="2" width="11.5703125" bestFit="1" customWidth="1"/>
    <col min="3" max="3" width="12.5703125" bestFit="1" customWidth="1"/>
    <col min="6" max="6" width="5.28515625" customWidth="1"/>
    <col min="7" max="7" width="29.42578125" bestFit="1" customWidth="1"/>
    <col min="8" max="8" width="15.7109375" style="3" customWidth="1"/>
    <col min="9" max="9" width="52.28515625" bestFit="1" customWidth="1"/>
    <col min="10" max="10" width="10.5703125" bestFit="1" customWidth="1"/>
  </cols>
  <sheetData>
    <row r="1" spans="1:12" x14ac:dyDescent="0.25">
      <c r="A1" s="3" t="s">
        <v>289</v>
      </c>
      <c r="B1" s="3" t="s">
        <v>284</v>
      </c>
      <c r="C1" s="3" t="s">
        <v>305</v>
      </c>
      <c r="D1" s="3" t="s">
        <v>282</v>
      </c>
      <c r="E1" s="3" t="s">
        <v>24</v>
      </c>
      <c r="F1" s="3" t="s">
        <v>0</v>
      </c>
      <c r="G1" s="3" t="s">
        <v>9</v>
      </c>
      <c r="H1" s="4" t="s">
        <v>527</v>
      </c>
      <c r="I1" s="3" t="s">
        <v>6</v>
      </c>
      <c r="J1" s="3" t="s">
        <v>7</v>
      </c>
      <c r="K1" s="3" t="s">
        <v>4</v>
      </c>
      <c r="L1" s="3" t="s">
        <v>84</v>
      </c>
    </row>
    <row r="2" spans="1:12" x14ac:dyDescent="0.25">
      <c r="A2" s="9"/>
      <c r="B2" s="3" t="s">
        <v>21</v>
      </c>
      <c r="C2" s="3" t="s">
        <v>306</v>
      </c>
      <c r="D2" s="3" t="s">
        <v>118</v>
      </c>
      <c r="E2" s="3" t="s">
        <v>23</v>
      </c>
      <c r="F2" s="9" t="s">
        <v>3</v>
      </c>
      <c r="G2" s="3" t="s">
        <v>639</v>
      </c>
      <c r="H2" s="4" t="s">
        <v>528</v>
      </c>
      <c r="I2" s="3"/>
      <c r="J2" s="3" t="s">
        <v>526</v>
      </c>
      <c r="K2" s="3" t="s">
        <v>5</v>
      </c>
      <c r="L2" s="3" t="s">
        <v>84</v>
      </c>
    </row>
    <row r="3" spans="1:12" s="3" customFormat="1" x14ac:dyDescent="0.25">
      <c r="A3" s="9" t="str">
        <f ca="1">LEFT(TEXT(NOW(),"SSHH"),4)</f>
        <v>0211</v>
      </c>
      <c r="C3" s="3" t="s">
        <v>306</v>
      </c>
      <c r="D3" s="3" t="s">
        <v>118</v>
      </c>
      <c r="E3" s="3" t="s">
        <v>23</v>
      </c>
      <c r="F3" s="9" t="s">
        <v>543</v>
      </c>
      <c r="G3" s="3" t="s">
        <v>640</v>
      </c>
      <c r="H3" s="4" t="s">
        <v>528</v>
      </c>
      <c r="J3" s="3" t="s">
        <v>526</v>
      </c>
      <c r="K3" s="3" t="s">
        <v>5</v>
      </c>
      <c r="L3" s="3" t="s">
        <v>84</v>
      </c>
    </row>
    <row r="4" spans="1:12" s="3" customFormat="1" x14ac:dyDescent="0.25">
      <c r="A4" s="9" t="str">
        <f ca="1">LEFT(TEXT(NOW(),"SSHH"),4)</f>
        <v>0211</v>
      </c>
      <c r="B4" s="3" t="s">
        <v>21</v>
      </c>
      <c r="C4" s="3" t="s">
        <v>306</v>
      </c>
      <c r="E4" s="3" t="s">
        <v>23</v>
      </c>
      <c r="F4" s="9" t="s">
        <v>410</v>
      </c>
      <c r="G4" s="3" t="s">
        <v>641</v>
      </c>
      <c r="H4" s="4" t="s">
        <v>528</v>
      </c>
      <c r="J4" s="3" t="s">
        <v>526</v>
      </c>
      <c r="K4" s="3" t="s">
        <v>5</v>
      </c>
      <c r="L4" s="3" t="s">
        <v>84</v>
      </c>
    </row>
    <row r="5" spans="1:12" s="3" customFormat="1" x14ac:dyDescent="0.25">
      <c r="A5" s="9" t="str">
        <f ca="1">LEFT(TEXT(NOW(),"SSHH"),4)</f>
        <v>0211</v>
      </c>
      <c r="B5" s="3" t="s">
        <v>21</v>
      </c>
      <c r="C5" s="3" t="s">
        <v>306</v>
      </c>
      <c r="D5" s="3" t="s">
        <v>118</v>
      </c>
      <c r="F5" s="9" t="s">
        <v>544</v>
      </c>
      <c r="G5" s="3" t="s">
        <v>642</v>
      </c>
      <c r="H5" s="4" t="s">
        <v>528</v>
      </c>
      <c r="J5" s="3" t="s">
        <v>526</v>
      </c>
      <c r="K5" s="3" t="s">
        <v>5</v>
      </c>
      <c r="L5" s="3" t="s">
        <v>84</v>
      </c>
    </row>
    <row r="6" spans="1:12" s="3" customFormat="1" x14ac:dyDescent="0.25">
      <c r="A6" s="9" t="str">
        <f ca="1">LEFT(TEXT(NOW(),"SSHH"),2)</f>
        <v>02</v>
      </c>
      <c r="B6" s="3" t="s">
        <v>21</v>
      </c>
      <c r="C6" s="3" t="s">
        <v>306</v>
      </c>
      <c r="D6" s="3" t="s">
        <v>118</v>
      </c>
      <c r="E6" s="3" t="s">
        <v>23</v>
      </c>
      <c r="F6" s="9" t="s">
        <v>545</v>
      </c>
      <c r="G6" s="3" t="s">
        <v>643</v>
      </c>
      <c r="H6" s="9" t="s">
        <v>579</v>
      </c>
      <c r="I6" s="3" t="s">
        <v>638</v>
      </c>
      <c r="J6" s="3" t="s">
        <v>526</v>
      </c>
      <c r="K6" s="3" t="s">
        <v>5</v>
      </c>
      <c r="L6" s="3" t="s">
        <v>84</v>
      </c>
    </row>
    <row r="7" spans="1:12" s="3" customFormat="1" x14ac:dyDescent="0.25">
      <c r="A7" s="9" t="str">
        <f ca="1">LEFT(TEXT(NOW(),"SSHH"),4)</f>
        <v>0211</v>
      </c>
      <c r="B7" s="3" t="s">
        <v>21</v>
      </c>
      <c r="C7" s="3" t="s">
        <v>306</v>
      </c>
      <c r="D7" s="3" t="s">
        <v>118</v>
      </c>
      <c r="E7" s="3" t="s">
        <v>23</v>
      </c>
      <c r="F7" s="9" t="s">
        <v>546</v>
      </c>
      <c r="G7" s="3" t="s">
        <v>644</v>
      </c>
      <c r="H7" s="9" t="s">
        <v>579</v>
      </c>
      <c r="I7" s="3" t="s">
        <v>285</v>
      </c>
      <c r="J7" s="3" t="s">
        <v>8</v>
      </c>
      <c r="K7" s="3" t="s">
        <v>5</v>
      </c>
      <c r="L7" s="3" t="s">
        <v>84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F14" sqref="F14:F15"/>
    </sheetView>
  </sheetViews>
  <sheetFormatPr defaultRowHeight="15" x14ac:dyDescent="0.25"/>
  <cols>
    <col min="1" max="1" width="13.42578125" style="3" bestFit="1" customWidth="1"/>
    <col min="2" max="2" width="12.28515625" style="3" customWidth="1"/>
    <col min="3" max="3" width="18.7109375" style="3" bestFit="1" customWidth="1"/>
    <col min="4" max="4" width="9.140625" style="3"/>
    <col min="5" max="5" width="29" style="3" bestFit="1" customWidth="1"/>
    <col min="6" max="6" width="16" style="3" customWidth="1"/>
    <col min="7" max="7" width="19.28515625" style="3" bestFit="1" customWidth="1"/>
    <col min="8" max="16384" width="9.140625" style="3"/>
  </cols>
  <sheetData>
    <row r="1" spans="1:9" x14ac:dyDescent="0.25">
      <c r="A1" s="3" t="s">
        <v>289</v>
      </c>
      <c r="B1" s="3" t="s">
        <v>284</v>
      </c>
      <c r="C1" s="3" t="s">
        <v>305</v>
      </c>
      <c r="D1" s="3" t="s">
        <v>0</v>
      </c>
      <c r="E1" s="3" t="s">
        <v>9</v>
      </c>
      <c r="F1" s="4" t="s">
        <v>527</v>
      </c>
      <c r="G1" s="3" t="s">
        <v>6</v>
      </c>
      <c r="H1" s="3" t="s">
        <v>7</v>
      </c>
      <c r="I1" s="3" t="s">
        <v>4</v>
      </c>
    </row>
    <row r="2" spans="1:9" x14ac:dyDescent="0.25">
      <c r="B2" s="3" t="s">
        <v>21</v>
      </c>
      <c r="C2" s="3" t="s">
        <v>412</v>
      </c>
      <c r="D2" s="9" t="s">
        <v>3</v>
      </c>
      <c r="E2" s="3" t="s">
        <v>651</v>
      </c>
      <c r="F2" s="4" t="s">
        <v>528</v>
      </c>
      <c r="H2" s="3" t="s">
        <v>526</v>
      </c>
      <c r="I2" s="3" t="s">
        <v>5</v>
      </c>
    </row>
    <row r="3" spans="1:9" x14ac:dyDescent="0.25">
      <c r="A3" s="3" t="str">
        <f ca="1">CONCATENATE("Auto",TEXT(NOW(),"DDHHMMss"))</f>
        <v>Auto24113402</v>
      </c>
      <c r="C3" s="3" t="s">
        <v>412</v>
      </c>
      <c r="D3" s="9" t="s">
        <v>543</v>
      </c>
      <c r="E3" s="3" t="s">
        <v>652</v>
      </c>
      <c r="F3" s="4" t="s">
        <v>528</v>
      </c>
      <c r="H3" s="3" t="s">
        <v>526</v>
      </c>
      <c r="I3" s="3" t="s">
        <v>5</v>
      </c>
    </row>
    <row r="4" spans="1:9" x14ac:dyDescent="0.25">
      <c r="A4" s="3" t="str">
        <f ca="1">CONCATENATE("Auto",TEXT(NOW(),"DDHHMM"))</f>
        <v>Auto241134</v>
      </c>
      <c r="B4" s="3" t="s">
        <v>21</v>
      </c>
      <c r="C4" s="3" t="s">
        <v>412</v>
      </c>
      <c r="D4" s="9" t="s">
        <v>410</v>
      </c>
      <c r="E4" s="3" t="s">
        <v>707</v>
      </c>
      <c r="F4" s="4" t="s">
        <v>536</v>
      </c>
      <c r="H4" s="3" t="s">
        <v>526</v>
      </c>
      <c r="I4" s="3" t="s">
        <v>5</v>
      </c>
    </row>
    <row r="5" spans="1:9" x14ac:dyDescent="0.25">
      <c r="A5" s="3" t="str">
        <f ca="1">CONCATENATE("Auto",TEXT(NOW(),"DDHHMMss"))</f>
        <v>Auto24113402</v>
      </c>
      <c r="B5" s="3" t="s">
        <v>21</v>
      </c>
      <c r="C5" s="3" t="s">
        <v>412</v>
      </c>
      <c r="D5" s="9" t="s">
        <v>544</v>
      </c>
      <c r="E5" s="3" t="s">
        <v>653</v>
      </c>
      <c r="F5" s="2" t="s">
        <v>579</v>
      </c>
      <c r="G5" s="3" t="s">
        <v>285</v>
      </c>
      <c r="H5" s="3" t="s">
        <v>8</v>
      </c>
      <c r="I5" s="3" t="s">
        <v>5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D3" sqref="D3"/>
    </sheetView>
  </sheetViews>
  <sheetFormatPr defaultRowHeight="15" x14ac:dyDescent="0.25"/>
  <cols>
    <col min="1" max="1" width="13.42578125" style="3" bestFit="1" customWidth="1"/>
    <col min="2" max="2" width="12.28515625" customWidth="1"/>
    <col min="3" max="3" width="18.7109375" bestFit="1" customWidth="1"/>
    <col min="5" max="5" width="29" bestFit="1" customWidth="1"/>
    <col min="6" max="6" width="16" style="3" customWidth="1"/>
    <col min="7" max="7" width="19.28515625" bestFit="1" customWidth="1"/>
  </cols>
  <sheetData>
    <row r="1" spans="1:9" x14ac:dyDescent="0.25">
      <c r="A1" t="s">
        <v>289</v>
      </c>
      <c r="B1" t="s">
        <v>284</v>
      </c>
      <c r="C1" t="s">
        <v>305</v>
      </c>
      <c r="D1" s="3" t="s">
        <v>0</v>
      </c>
      <c r="E1" s="3" t="s">
        <v>9</v>
      </c>
      <c r="F1" s="4" t="s">
        <v>527</v>
      </c>
      <c r="G1" s="3" t="s">
        <v>6</v>
      </c>
      <c r="H1" s="3" t="s">
        <v>7</v>
      </c>
      <c r="I1" s="3" t="s">
        <v>4</v>
      </c>
    </row>
    <row r="2" spans="1:9" s="3" customFormat="1" x14ac:dyDescent="0.25">
      <c r="A2" s="3" t="str">
        <f ca="1">CONCATENATE("Auto",TEXT(NOW(),"DDHHMMss"))</f>
        <v>Auto24113402</v>
      </c>
      <c r="B2" s="3" t="s">
        <v>21</v>
      </c>
      <c r="C2" s="3" t="s">
        <v>412</v>
      </c>
      <c r="D2" s="9" t="s">
        <v>3</v>
      </c>
      <c r="E2" s="3" t="s">
        <v>653</v>
      </c>
      <c r="F2" s="2" t="s">
        <v>579</v>
      </c>
      <c r="G2" s="3" t="s">
        <v>285</v>
      </c>
      <c r="H2" s="3" t="s">
        <v>8</v>
      </c>
      <c r="I2" s="3" t="s">
        <v>5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10" sqref="F10"/>
    </sheetView>
  </sheetViews>
  <sheetFormatPr defaultRowHeight="15" x14ac:dyDescent="0.25"/>
  <sheetData>
    <row r="1" spans="1:2" x14ac:dyDescent="0.25">
      <c r="A1" t="s">
        <v>84</v>
      </c>
      <c r="B1" s="3" t="s">
        <v>0</v>
      </c>
    </row>
    <row r="2" spans="1:2" x14ac:dyDescent="0.25">
      <c r="A2" t="s">
        <v>84</v>
      </c>
      <c r="B2" s="9" t="s">
        <v>572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N25" sqref="N25"/>
    </sheetView>
  </sheetViews>
  <sheetFormatPr defaultRowHeight="15" x14ac:dyDescent="0.25"/>
  <cols>
    <col min="1" max="1" width="20.28515625" style="3" bestFit="1" customWidth="1"/>
    <col min="2" max="16384" width="9.140625" style="3"/>
  </cols>
  <sheetData>
    <row r="1" spans="1:2" x14ac:dyDescent="0.25">
      <c r="A1" s="4" t="s">
        <v>413</v>
      </c>
      <c r="B1" s="4" t="s">
        <v>0</v>
      </c>
    </row>
    <row r="2" spans="1:2" x14ac:dyDescent="0.25">
      <c r="A2" s="4" t="s">
        <v>445</v>
      </c>
      <c r="B2" s="2" t="s">
        <v>3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H12" sqref="H12"/>
    </sheetView>
  </sheetViews>
  <sheetFormatPr defaultRowHeight="15" x14ac:dyDescent="0.25"/>
  <cols>
    <col min="1" max="1" width="20.28515625" bestFit="1" customWidth="1"/>
  </cols>
  <sheetData>
    <row r="1" spans="1:2" x14ac:dyDescent="0.25">
      <c r="A1" s="4" t="s">
        <v>84</v>
      </c>
      <c r="B1" s="4" t="s">
        <v>0</v>
      </c>
    </row>
    <row r="2" spans="1:2" x14ac:dyDescent="0.25">
      <c r="A2" s="4" t="s">
        <v>445</v>
      </c>
      <c r="B2" s="2" t="s">
        <v>572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M16" sqref="M16"/>
    </sheetView>
  </sheetViews>
  <sheetFormatPr defaultRowHeight="15" x14ac:dyDescent="0.25"/>
  <cols>
    <col min="1" max="1" width="11.7109375" bestFit="1" customWidth="1"/>
    <col min="2" max="2" width="14.7109375" bestFit="1" customWidth="1"/>
    <col min="3" max="3" width="29" bestFit="1" customWidth="1"/>
    <col min="4" max="4" width="30.28515625" bestFit="1" customWidth="1"/>
    <col min="6" max="6" width="11" bestFit="1" customWidth="1"/>
    <col min="7" max="7" width="14.7109375" bestFit="1" customWidth="1"/>
    <col min="8" max="8" width="14.5703125" bestFit="1" customWidth="1"/>
    <col min="9" max="9" width="18.7109375" bestFit="1" customWidth="1"/>
    <col min="10" max="10" width="20.7109375" bestFit="1" customWidth="1"/>
    <col min="11" max="11" width="10.42578125" bestFit="1" customWidth="1"/>
    <col min="12" max="12" width="7.5703125" customWidth="1"/>
    <col min="13" max="13" width="28.42578125" bestFit="1" customWidth="1"/>
    <col min="14" max="14" width="14" style="3" customWidth="1"/>
    <col min="15" max="15" width="19.28515625" style="3" bestFit="1" customWidth="1"/>
    <col min="16" max="16" width="14" style="3" customWidth="1"/>
    <col min="17" max="17" width="10.28515625" bestFit="1" customWidth="1"/>
  </cols>
  <sheetData>
    <row r="1" spans="1:18" x14ac:dyDescent="0.25">
      <c r="A1" s="4" t="s">
        <v>155</v>
      </c>
      <c r="B1" s="4" t="s">
        <v>415</v>
      </c>
      <c r="C1" s="4" t="s">
        <v>416</v>
      </c>
      <c r="D1" s="4" t="s">
        <v>417</v>
      </c>
      <c r="E1" s="4" t="s">
        <v>282</v>
      </c>
      <c r="F1" s="4" t="s">
        <v>418</v>
      </c>
      <c r="G1" s="4" t="s">
        <v>419</v>
      </c>
      <c r="H1" s="4" t="s">
        <v>242</v>
      </c>
      <c r="I1" s="4" t="s">
        <v>420</v>
      </c>
      <c r="J1" s="4" t="s">
        <v>421</v>
      </c>
      <c r="K1" s="4" t="s">
        <v>422</v>
      </c>
      <c r="L1" s="3" t="s">
        <v>0</v>
      </c>
      <c r="M1" s="3" t="s">
        <v>9</v>
      </c>
      <c r="N1" s="4" t="s">
        <v>527</v>
      </c>
      <c r="O1" s="3" t="s">
        <v>6</v>
      </c>
      <c r="P1" s="3" t="s">
        <v>7</v>
      </c>
      <c r="Q1" s="3" t="s">
        <v>4</v>
      </c>
      <c r="R1" t="s">
        <v>84</v>
      </c>
    </row>
    <row r="2" spans="1:18" s="3" customFormat="1" x14ac:dyDescent="0.25">
      <c r="A2" s="4" t="s">
        <v>423</v>
      </c>
      <c r="B2" s="4" t="s">
        <v>424</v>
      </c>
      <c r="C2" s="4"/>
      <c r="D2" s="4" t="s">
        <v>426</v>
      </c>
      <c r="E2" s="4" t="s">
        <v>118</v>
      </c>
      <c r="F2" s="4" t="s">
        <v>23</v>
      </c>
      <c r="G2" s="4" t="s">
        <v>23</v>
      </c>
      <c r="H2" s="4" t="s">
        <v>23</v>
      </c>
      <c r="I2" s="4" t="s">
        <v>226</v>
      </c>
      <c r="J2" s="4" t="s">
        <v>235</v>
      </c>
      <c r="K2" s="4" t="s">
        <v>118</v>
      </c>
      <c r="L2" s="9" t="s">
        <v>3</v>
      </c>
      <c r="M2" s="3" t="s">
        <v>712</v>
      </c>
      <c r="N2" s="2" t="s">
        <v>579</v>
      </c>
      <c r="O2" s="3" t="s">
        <v>285</v>
      </c>
      <c r="P2" s="3" t="s">
        <v>8</v>
      </c>
      <c r="Q2" s="3" t="s">
        <v>5</v>
      </c>
      <c r="R2" s="3" t="s">
        <v>84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F13" sqref="F13"/>
    </sheetView>
  </sheetViews>
  <sheetFormatPr defaultRowHeight="15" x14ac:dyDescent="0.25"/>
  <cols>
    <col min="1" max="1" width="15.42578125" bestFit="1" customWidth="1"/>
    <col min="2" max="2" width="14.140625" bestFit="1" customWidth="1"/>
    <col min="3" max="3" width="10.28515625" bestFit="1" customWidth="1"/>
    <col min="4" max="4" width="11.85546875" bestFit="1" customWidth="1"/>
    <col min="5" max="5" width="26" bestFit="1" customWidth="1"/>
    <col min="6" max="6" width="28" bestFit="1" customWidth="1"/>
    <col min="7" max="7" width="21" bestFit="1" customWidth="1"/>
    <col min="8" max="8" width="6.140625" customWidth="1"/>
    <col min="9" max="9" width="28.42578125" bestFit="1" customWidth="1"/>
    <col min="10" max="10" width="16.28515625" bestFit="1" customWidth="1"/>
    <col min="11" max="11" width="25.140625" bestFit="1" customWidth="1"/>
    <col min="12" max="12" width="10.5703125" bestFit="1" customWidth="1"/>
    <col min="13" max="13" width="10.28515625" bestFit="1" customWidth="1"/>
  </cols>
  <sheetData>
    <row r="1" spans="1:18" x14ac:dyDescent="0.25">
      <c r="A1" s="4" t="s">
        <v>427</v>
      </c>
      <c r="B1" s="4" t="s">
        <v>428</v>
      </c>
      <c r="C1" s="4" t="s">
        <v>429</v>
      </c>
      <c r="D1" s="4" t="s">
        <v>430</v>
      </c>
      <c r="E1" s="4" t="s">
        <v>431</v>
      </c>
      <c r="F1" s="4" t="s">
        <v>432</v>
      </c>
      <c r="G1" s="4" t="s">
        <v>433</v>
      </c>
      <c r="H1" s="3" t="s">
        <v>0</v>
      </c>
      <c r="I1" s="3" t="s">
        <v>9</v>
      </c>
      <c r="J1" s="4" t="s">
        <v>527</v>
      </c>
      <c r="K1" s="3" t="s">
        <v>6</v>
      </c>
      <c r="L1" s="3" t="s">
        <v>7</v>
      </c>
      <c r="M1" s="3" t="s">
        <v>4</v>
      </c>
      <c r="N1" s="4"/>
      <c r="O1" s="4"/>
      <c r="P1" s="4"/>
      <c r="Q1" s="4"/>
      <c r="R1" s="4"/>
    </row>
    <row r="2" spans="1:18" x14ac:dyDescent="0.25">
      <c r="A2" s="4" t="s">
        <v>434</v>
      </c>
      <c r="B2" s="4" t="s">
        <v>435</v>
      </c>
      <c r="C2" s="4" t="s">
        <v>436</v>
      </c>
      <c r="D2" s="4">
        <v>6</v>
      </c>
      <c r="E2" s="4" t="s">
        <v>746</v>
      </c>
      <c r="F2" s="3" t="str">
        <f ca="1">TEXT(NOW(),"yyyy-mm-dd")</f>
        <v>2026-06-24</v>
      </c>
      <c r="G2" s="4" t="s">
        <v>747</v>
      </c>
      <c r="H2" s="9" t="s">
        <v>572</v>
      </c>
      <c r="I2" s="3" t="s">
        <v>709</v>
      </c>
      <c r="J2" s="4"/>
      <c r="K2" s="4" t="s">
        <v>447</v>
      </c>
      <c r="L2" s="3" t="s">
        <v>8</v>
      </c>
      <c r="M2" s="3" t="s">
        <v>5</v>
      </c>
      <c r="N2" s="4"/>
      <c r="O2" s="4"/>
      <c r="P2" s="4"/>
      <c r="Q2" s="4"/>
      <c r="R2" s="4"/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selection activeCell="M11" sqref="M11"/>
    </sheetView>
  </sheetViews>
  <sheetFormatPr defaultRowHeight="15" x14ac:dyDescent="0.25"/>
  <sheetData>
    <row r="1" spans="1:18" x14ac:dyDescent="0.25">
      <c r="A1" s="4" t="s">
        <v>155</v>
      </c>
      <c r="B1" s="4" t="s">
        <v>415</v>
      </c>
      <c r="C1" s="4" t="s">
        <v>416</v>
      </c>
      <c r="D1" s="4" t="s">
        <v>417</v>
      </c>
      <c r="E1" s="4" t="s">
        <v>282</v>
      </c>
      <c r="F1" s="4" t="s">
        <v>418</v>
      </c>
      <c r="G1" s="4" t="s">
        <v>419</v>
      </c>
      <c r="H1" s="4" t="s">
        <v>242</v>
      </c>
      <c r="I1" s="4" t="s">
        <v>420</v>
      </c>
      <c r="J1" s="4" t="s">
        <v>421</v>
      </c>
      <c r="K1" s="4" t="s">
        <v>422</v>
      </c>
      <c r="L1" s="3" t="s">
        <v>0</v>
      </c>
      <c r="M1" s="3" t="s">
        <v>9</v>
      </c>
      <c r="N1" s="4" t="s">
        <v>527</v>
      </c>
      <c r="O1" s="3" t="s">
        <v>6</v>
      </c>
      <c r="P1" s="3" t="s">
        <v>7</v>
      </c>
      <c r="Q1" s="3" t="s">
        <v>4</v>
      </c>
      <c r="R1" s="3" t="s">
        <v>84</v>
      </c>
    </row>
    <row r="2" spans="1:18" x14ac:dyDescent="0.25">
      <c r="A2" s="4"/>
      <c r="B2" s="4" t="s">
        <v>424</v>
      </c>
      <c r="C2" s="4" t="s">
        <v>425</v>
      </c>
      <c r="D2" s="4" t="s">
        <v>426</v>
      </c>
      <c r="E2" s="4" t="s">
        <v>118</v>
      </c>
      <c r="F2" s="4" t="s">
        <v>23</v>
      </c>
      <c r="G2" s="4" t="s">
        <v>23</v>
      </c>
      <c r="H2" s="4" t="s">
        <v>23</v>
      </c>
      <c r="I2" s="4" t="s">
        <v>226</v>
      </c>
      <c r="J2" s="4" t="s">
        <v>235</v>
      </c>
      <c r="K2" s="4" t="s">
        <v>118</v>
      </c>
      <c r="L2" s="9" t="s">
        <v>3</v>
      </c>
      <c r="M2" s="3" t="s">
        <v>709</v>
      </c>
      <c r="N2" s="4" t="s">
        <v>528</v>
      </c>
      <c r="O2" s="3"/>
      <c r="P2" s="3" t="s">
        <v>526</v>
      </c>
      <c r="Q2" s="3" t="s">
        <v>5</v>
      </c>
      <c r="R2" s="3" t="s">
        <v>84</v>
      </c>
    </row>
    <row r="3" spans="1:18" x14ac:dyDescent="0.25">
      <c r="A3" s="4" t="s">
        <v>423</v>
      </c>
      <c r="B3" s="4"/>
      <c r="C3" s="4" t="s">
        <v>425</v>
      </c>
      <c r="D3" s="4" t="s">
        <v>426</v>
      </c>
      <c r="E3" s="4" t="s">
        <v>118</v>
      </c>
      <c r="F3" s="4" t="s">
        <v>23</v>
      </c>
      <c r="G3" s="4" t="s">
        <v>23</v>
      </c>
      <c r="H3" s="4" t="s">
        <v>23</v>
      </c>
      <c r="I3" s="4" t="s">
        <v>226</v>
      </c>
      <c r="J3" s="4" t="s">
        <v>235</v>
      </c>
      <c r="K3" s="4" t="s">
        <v>118</v>
      </c>
      <c r="L3" s="9" t="s">
        <v>543</v>
      </c>
      <c r="M3" s="3" t="s">
        <v>710</v>
      </c>
      <c r="N3" s="4" t="s">
        <v>528</v>
      </c>
      <c r="O3" s="3"/>
      <c r="P3" s="3" t="s">
        <v>526</v>
      </c>
      <c r="Q3" s="3" t="s">
        <v>5</v>
      </c>
      <c r="R3" s="3" t="s">
        <v>84</v>
      </c>
    </row>
    <row r="4" spans="1:18" x14ac:dyDescent="0.25">
      <c r="A4" s="4" t="s">
        <v>423</v>
      </c>
      <c r="B4" s="4" t="s">
        <v>424</v>
      </c>
      <c r="C4" s="4"/>
      <c r="D4" s="4" t="s">
        <v>426</v>
      </c>
      <c r="E4" s="4" t="s">
        <v>118</v>
      </c>
      <c r="F4" s="4" t="s">
        <v>23</v>
      </c>
      <c r="G4" s="4" t="s">
        <v>23</v>
      </c>
      <c r="H4" s="4" t="s">
        <v>23</v>
      </c>
      <c r="I4" s="4" t="s">
        <v>226</v>
      </c>
      <c r="J4" s="4" t="s">
        <v>235</v>
      </c>
      <c r="K4" s="4" t="s">
        <v>118</v>
      </c>
      <c r="L4" s="9" t="s">
        <v>410</v>
      </c>
      <c r="M4" s="3" t="s">
        <v>711</v>
      </c>
      <c r="N4" s="4" t="s">
        <v>536</v>
      </c>
      <c r="O4" s="3"/>
      <c r="P4" s="3" t="s">
        <v>526</v>
      </c>
      <c r="Q4" s="3" t="s">
        <v>5</v>
      </c>
      <c r="R4" s="3" t="s">
        <v>84</v>
      </c>
    </row>
    <row r="5" spans="1:18" x14ac:dyDescent="0.25">
      <c r="A5" s="4" t="s">
        <v>423</v>
      </c>
      <c r="B5" s="4" t="s">
        <v>424</v>
      </c>
      <c r="C5" s="4" t="s">
        <v>425</v>
      </c>
      <c r="D5" s="4" t="s">
        <v>426</v>
      </c>
      <c r="E5" s="4" t="s">
        <v>118</v>
      </c>
      <c r="F5" s="4" t="s">
        <v>23</v>
      </c>
      <c r="G5" s="4" t="s">
        <v>23</v>
      </c>
      <c r="H5" s="4" t="s">
        <v>23</v>
      </c>
      <c r="I5" s="4" t="s">
        <v>226</v>
      </c>
      <c r="J5" s="4" t="s">
        <v>235</v>
      </c>
      <c r="K5" s="4" t="s">
        <v>118</v>
      </c>
      <c r="L5" s="9" t="s">
        <v>544</v>
      </c>
      <c r="M5" s="3" t="s">
        <v>712</v>
      </c>
      <c r="N5" s="2" t="s">
        <v>579</v>
      </c>
      <c r="O5" s="3" t="s">
        <v>285</v>
      </c>
      <c r="P5" s="3" t="s">
        <v>8</v>
      </c>
      <c r="Q5" s="3" t="s">
        <v>5</v>
      </c>
      <c r="R5" s="3" t="s">
        <v>84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D2" sqref="D2"/>
    </sheetView>
  </sheetViews>
  <sheetFormatPr defaultRowHeight="15" x14ac:dyDescent="0.25"/>
  <cols>
    <col min="1" max="1" width="26.5703125" bestFit="1" customWidth="1"/>
  </cols>
  <sheetData>
    <row r="1" spans="1:2" x14ac:dyDescent="0.25">
      <c r="A1" s="3" t="s">
        <v>438</v>
      </c>
      <c r="B1" t="s">
        <v>0</v>
      </c>
    </row>
    <row r="2" spans="1:2" x14ac:dyDescent="0.25">
      <c r="A2" s="3" t="s">
        <v>523</v>
      </c>
      <c r="B2" s="9" t="s">
        <v>3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A2" sqref="A2"/>
    </sheetView>
  </sheetViews>
  <sheetFormatPr defaultRowHeight="15" x14ac:dyDescent="0.25"/>
  <cols>
    <col min="1" max="1" width="14.85546875" bestFit="1" customWidth="1"/>
    <col min="3" max="3" width="12.85546875" customWidth="1"/>
    <col min="4" max="4" width="11.140625" bestFit="1" customWidth="1"/>
    <col min="5" max="5" width="10.42578125" bestFit="1" customWidth="1"/>
    <col min="6" max="6" width="16.140625" bestFit="1" customWidth="1"/>
    <col min="7" max="7" width="18.85546875" bestFit="1" customWidth="1"/>
    <col min="8" max="8" width="14.85546875" customWidth="1"/>
    <col min="9" max="9" width="14.85546875" bestFit="1" customWidth="1"/>
    <col min="10" max="10" width="10.5703125" bestFit="1" customWidth="1"/>
    <col min="12" max="12" width="19.42578125" bestFit="1" customWidth="1"/>
    <col min="13" max="13" width="19.5703125" bestFit="1" customWidth="1"/>
    <col min="14" max="14" width="6.28515625" customWidth="1"/>
    <col min="15" max="15" width="24.28515625" bestFit="1" customWidth="1"/>
  </cols>
  <sheetData>
    <row r="1" spans="1:18" x14ac:dyDescent="0.25">
      <c r="A1" s="4" t="s">
        <v>448</v>
      </c>
      <c r="B1" s="4" t="s">
        <v>449</v>
      </c>
      <c r="C1" s="4" t="s">
        <v>450</v>
      </c>
      <c r="D1" s="4" t="s">
        <v>451</v>
      </c>
      <c r="E1" s="4" t="s">
        <v>452</v>
      </c>
      <c r="F1" s="4" t="s">
        <v>453</v>
      </c>
      <c r="G1" s="4" t="s">
        <v>454</v>
      </c>
      <c r="H1" s="4" t="s">
        <v>417</v>
      </c>
      <c r="I1" s="4" t="s">
        <v>455</v>
      </c>
      <c r="J1" s="4" t="s">
        <v>295</v>
      </c>
      <c r="K1" s="4" t="s">
        <v>457</v>
      </c>
      <c r="L1" s="4" t="s">
        <v>458</v>
      </c>
      <c r="M1" s="4" t="s">
        <v>459</v>
      </c>
      <c r="N1" s="4" t="s">
        <v>0</v>
      </c>
      <c r="O1" s="4" t="s">
        <v>9</v>
      </c>
      <c r="P1" s="4" t="s">
        <v>4</v>
      </c>
      <c r="Q1" s="4" t="s">
        <v>84</v>
      </c>
      <c r="R1" s="4"/>
    </row>
    <row r="2" spans="1:18" x14ac:dyDescent="0.25">
      <c r="A2" s="12" t="str">
        <f ca="1">TEXT(NOW(),"YYYY-MM-DD")</f>
        <v>2026-06-24</v>
      </c>
      <c r="B2" s="4" t="s">
        <v>460</v>
      </c>
      <c r="C2" s="4" t="s">
        <v>461</v>
      </c>
      <c r="D2" s="4" t="s">
        <v>462</v>
      </c>
      <c r="E2" s="4" t="s">
        <v>463</v>
      </c>
      <c r="F2" s="12" t="str">
        <f ca="1">TEXT(NOW()+15,"YYYY-MM-DD")</f>
        <v>2026-07-09</v>
      </c>
      <c r="G2" s="4" t="s">
        <v>464</v>
      </c>
      <c r="H2" s="4" t="s">
        <v>475</v>
      </c>
      <c r="I2" s="12" t="str">
        <f ca="1">TEXT(NOW(),"YYYY-MM-DD")</f>
        <v>2026-06-24</v>
      </c>
      <c r="J2" s="4" t="s">
        <v>84</v>
      </c>
      <c r="K2" s="4" t="s">
        <v>316</v>
      </c>
      <c r="L2" s="14" t="str">
        <f ca="1">TEXT(NOW(),"YYYY-MM-DD - hh:mm:ss")</f>
        <v>2026-06-24 - 11:34:02</v>
      </c>
      <c r="M2" s="4" t="s">
        <v>172</v>
      </c>
      <c r="N2" s="2" t="s">
        <v>3</v>
      </c>
      <c r="O2" s="4" t="s">
        <v>465</v>
      </c>
      <c r="P2" s="4" t="s">
        <v>5</v>
      </c>
      <c r="Q2" s="4" t="s">
        <v>84</v>
      </c>
      <c r="R2" s="4"/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RowHeight="15" x14ac:dyDescent="0.25"/>
  <cols>
    <col min="2" max="2" width="36.85546875" bestFit="1" customWidth="1"/>
  </cols>
  <sheetData>
    <row r="1" spans="1:4" x14ac:dyDescent="0.25">
      <c r="A1" s="3" t="s">
        <v>0</v>
      </c>
      <c r="B1" s="3" t="s">
        <v>9</v>
      </c>
      <c r="C1" s="3" t="s">
        <v>6</v>
      </c>
      <c r="D1" s="3" t="s">
        <v>7</v>
      </c>
    </row>
    <row r="2" spans="1:4" x14ac:dyDescent="0.25">
      <c r="A2" s="9" t="s">
        <v>3</v>
      </c>
      <c r="B2" s="3" t="s">
        <v>500</v>
      </c>
      <c r="C2" s="3" t="s">
        <v>285</v>
      </c>
      <c r="D2" s="3" t="s">
        <v>8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A2" sqref="A2"/>
    </sheetView>
  </sheetViews>
  <sheetFormatPr defaultRowHeight="15" x14ac:dyDescent="0.25"/>
  <cols>
    <col min="1" max="1" width="11.85546875" customWidth="1"/>
    <col min="2" max="2" width="10.42578125" bestFit="1" customWidth="1"/>
    <col min="4" max="4" width="6.28515625" customWidth="1"/>
    <col min="5" max="5" width="6.28515625" style="3" customWidth="1"/>
    <col min="7" max="7" width="30.28515625" bestFit="1" customWidth="1"/>
    <col min="8" max="8" width="10.28515625" bestFit="1" customWidth="1"/>
    <col min="9" max="9" width="13.28515625" bestFit="1" customWidth="1"/>
  </cols>
  <sheetData>
    <row r="1" spans="1:13" x14ac:dyDescent="0.25">
      <c r="A1" s="4" t="s">
        <v>466</v>
      </c>
      <c r="B1" s="4" t="s">
        <v>468</v>
      </c>
      <c r="C1" s="4" t="s">
        <v>469</v>
      </c>
      <c r="D1" s="4" t="s">
        <v>471</v>
      </c>
      <c r="E1" s="4" t="s">
        <v>472</v>
      </c>
      <c r="F1" s="4" t="s">
        <v>0</v>
      </c>
      <c r="G1" s="4" t="s">
        <v>9</v>
      </c>
      <c r="H1" s="4" t="s">
        <v>4</v>
      </c>
      <c r="I1" t="s">
        <v>61</v>
      </c>
      <c r="J1" s="4"/>
      <c r="K1" s="4"/>
      <c r="L1" s="4"/>
      <c r="M1" s="4"/>
    </row>
    <row r="2" spans="1:13" x14ac:dyDescent="0.25">
      <c r="A2" s="4" t="s">
        <v>506</v>
      </c>
      <c r="B2" s="4" t="s">
        <v>467</v>
      </c>
      <c r="C2" s="4" t="s">
        <v>470</v>
      </c>
      <c r="D2" s="4">
        <v>5</v>
      </c>
      <c r="E2" s="4">
        <v>1</v>
      </c>
      <c r="F2" s="2" t="s">
        <v>3</v>
      </c>
      <c r="G2" s="4" t="s">
        <v>473</v>
      </c>
      <c r="H2" s="4" t="s">
        <v>5</v>
      </c>
      <c r="I2" s="4" t="s">
        <v>474</v>
      </c>
      <c r="J2" s="4"/>
      <c r="K2" s="4"/>
      <c r="L2" s="4"/>
      <c r="M2" s="4"/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RowHeight="15" x14ac:dyDescent="0.25"/>
  <cols>
    <col min="2" max="2" width="36.85546875" bestFit="1" customWidth="1"/>
    <col min="3" max="3" width="19.28515625" bestFit="1" customWidth="1"/>
  </cols>
  <sheetData>
    <row r="1" spans="1:4" x14ac:dyDescent="0.25">
      <c r="A1" s="3" t="s">
        <v>0</v>
      </c>
      <c r="B1" s="3" t="s">
        <v>9</v>
      </c>
      <c r="C1" s="3" t="s">
        <v>6</v>
      </c>
      <c r="D1" s="3" t="s">
        <v>7</v>
      </c>
    </row>
    <row r="2" spans="1:4" x14ac:dyDescent="0.25">
      <c r="A2" s="9" t="s">
        <v>3</v>
      </c>
      <c r="B2" s="3" t="s">
        <v>501</v>
      </c>
      <c r="C2" s="3" t="s">
        <v>447</v>
      </c>
      <c r="D2" s="3" t="s">
        <v>8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sqref="A1:C2"/>
    </sheetView>
  </sheetViews>
  <sheetFormatPr defaultRowHeight="15" x14ac:dyDescent="0.25"/>
  <cols>
    <col min="2" max="2" width="20.28515625" bestFit="1" customWidth="1"/>
  </cols>
  <sheetData>
    <row r="1" spans="1:12" x14ac:dyDescent="0.25">
      <c r="A1" s="4" t="s">
        <v>84</v>
      </c>
      <c r="B1" s="4" t="s">
        <v>445</v>
      </c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4" t="s">
        <v>84</v>
      </c>
      <c r="B2" s="4" t="s">
        <v>445</v>
      </c>
      <c r="C2" s="2" t="s">
        <v>3</v>
      </c>
      <c r="D2" s="4"/>
      <c r="E2" s="4"/>
      <c r="F2" s="4"/>
      <c r="G2" s="4"/>
      <c r="H2" s="4"/>
      <c r="I2" s="4"/>
      <c r="J2" s="4"/>
      <c r="K2" s="4"/>
      <c r="L2" s="4"/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G3" sqref="G3"/>
    </sheetView>
  </sheetViews>
  <sheetFormatPr defaultRowHeight="15" x14ac:dyDescent="0.25"/>
  <cols>
    <col min="1" max="1" width="32.7109375" bestFit="1" customWidth="1"/>
    <col min="2" max="2" width="36.5703125" bestFit="1" customWidth="1"/>
    <col min="3" max="3" width="33.28515625" bestFit="1" customWidth="1"/>
    <col min="4" max="4" width="10.5703125" bestFit="1" customWidth="1"/>
    <col min="6" max="6" width="37.42578125" bestFit="1" customWidth="1"/>
    <col min="7" max="7" width="16.28515625" bestFit="1" customWidth="1"/>
    <col min="8" max="8" width="19.28515625" bestFit="1" customWidth="1"/>
  </cols>
  <sheetData>
    <row r="1" spans="1:11" x14ac:dyDescent="0.25">
      <c r="A1" s="4" t="s">
        <v>476</v>
      </c>
      <c r="B1" s="4" t="s">
        <v>477</v>
      </c>
      <c r="C1" s="4" t="s">
        <v>456</v>
      </c>
      <c r="D1" s="4" t="s">
        <v>295</v>
      </c>
      <c r="E1" s="4" t="s">
        <v>0</v>
      </c>
      <c r="F1" s="4" t="s">
        <v>9</v>
      </c>
      <c r="G1" s="4" t="s">
        <v>527</v>
      </c>
      <c r="H1" s="3" t="s">
        <v>6</v>
      </c>
      <c r="I1" s="3" t="s">
        <v>7</v>
      </c>
      <c r="J1" s="3" t="s">
        <v>4</v>
      </c>
      <c r="K1" s="3" t="s">
        <v>84</v>
      </c>
    </row>
    <row r="2" spans="1:11" x14ac:dyDescent="0.25">
      <c r="A2" s="4"/>
      <c r="B2" s="4" t="s">
        <v>426</v>
      </c>
      <c r="C2" s="4" t="s">
        <v>478</v>
      </c>
      <c r="D2" s="4" t="s">
        <v>84</v>
      </c>
      <c r="E2" s="2" t="s">
        <v>3</v>
      </c>
      <c r="F2" s="4" t="s">
        <v>713</v>
      </c>
      <c r="G2" s="4" t="s">
        <v>528</v>
      </c>
      <c r="H2" s="3"/>
      <c r="I2" s="3" t="s">
        <v>526</v>
      </c>
      <c r="J2" s="3" t="s">
        <v>5</v>
      </c>
      <c r="K2" s="3" t="s">
        <v>84</v>
      </c>
    </row>
    <row r="3" spans="1:11" s="3" customFormat="1" x14ac:dyDescent="0.25">
      <c r="A3" s="4" t="s">
        <v>481</v>
      </c>
      <c r="B3" s="4"/>
      <c r="C3" s="4" t="s">
        <v>478</v>
      </c>
      <c r="D3" s="4" t="s">
        <v>84</v>
      </c>
      <c r="E3" s="2" t="s">
        <v>543</v>
      </c>
      <c r="F3" s="4" t="s">
        <v>714</v>
      </c>
      <c r="G3" s="4" t="s">
        <v>528</v>
      </c>
      <c r="I3" s="3" t="s">
        <v>526</v>
      </c>
      <c r="J3" s="3" t="s">
        <v>5</v>
      </c>
      <c r="K3" s="3" t="s">
        <v>84</v>
      </c>
    </row>
    <row r="4" spans="1:11" s="3" customFormat="1" x14ac:dyDescent="0.25">
      <c r="A4" s="4" t="s">
        <v>716</v>
      </c>
      <c r="B4" s="4" t="s">
        <v>426</v>
      </c>
      <c r="C4" s="4" t="s">
        <v>478</v>
      </c>
      <c r="D4" s="4" t="s">
        <v>84</v>
      </c>
      <c r="E4" s="2" t="s">
        <v>410</v>
      </c>
      <c r="F4" s="4" t="s">
        <v>715</v>
      </c>
      <c r="G4" s="2" t="s">
        <v>579</v>
      </c>
      <c r="H4" s="3" t="s">
        <v>285</v>
      </c>
      <c r="I4" s="3" t="s">
        <v>8</v>
      </c>
      <c r="J4" s="3" t="s">
        <v>5</v>
      </c>
      <c r="K4" s="3" t="s">
        <v>84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A2" sqref="A2"/>
    </sheetView>
  </sheetViews>
  <sheetFormatPr defaultRowHeight="15" x14ac:dyDescent="0.25"/>
  <cols>
    <col min="1" max="1" width="9" bestFit="1" customWidth="1"/>
    <col min="2" max="2" width="10.42578125" bestFit="1" customWidth="1"/>
    <col min="7" max="7" width="37.7109375" bestFit="1" customWidth="1"/>
    <col min="8" max="8" width="16.28515625" bestFit="1" customWidth="1"/>
    <col min="9" max="9" width="62.85546875" bestFit="1" customWidth="1"/>
    <col min="10" max="10" width="10.5703125" bestFit="1" customWidth="1"/>
  </cols>
  <sheetData>
    <row r="1" spans="1:19" s="3" customFormat="1" x14ac:dyDescent="0.25">
      <c r="A1" s="4" t="s">
        <v>466</v>
      </c>
      <c r="B1" s="4" t="s">
        <v>468</v>
      </c>
      <c r="C1" s="4" t="s">
        <v>469</v>
      </c>
      <c r="D1" s="4" t="s">
        <v>471</v>
      </c>
      <c r="E1" s="4" t="s">
        <v>472</v>
      </c>
      <c r="F1" s="4" t="s">
        <v>0</v>
      </c>
      <c r="G1" s="4" t="s">
        <v>9</v>
      </c>
      <c r="H1" s="4" t="s">
        <v>527</v>
      </c>
      <c r="I1" s="3" t="s">
        <v>6</v>
      </c>
      <c r="J1" s="3" t="s">
        <v>7</v>
      </c>
      <c r="K1" s="3" t="s">
        <v>4</v>
      </c>
      <c r="L1" s="4"/>
      <c r="M1" s="4"/>
      <c r="N1" s="4"/>
      <c r="O1" s="4"/>
      <c r="P1" s="4"/>
      <c r="Q1" s="4"/>
      <c r="R1" s="4"/>
      <c r="S1" s="4"/>
    </row>
    <row r="2" spans="1:19" s="3" customFormat="1" x14ac:dyDescent="0.25">
      <c r="A2" s="4" t="s">
        <v>479</v>
      </c>
      <c r="B2" s="2"/>
      <c r="C2" s="4" t="s">
        <v>470</v>
      </c>
      <c r="D2" s="4" t="s">
        <v>388</v>
      </c>
      <c r="E2" s="4" t="s">
        <v>226</v>
      </c>
      <c r="F2" s="2" t="s">
        <v>717</v>
      </c>
      <c r="G2" s="4" t="s">
        <v>722</v>
      </c>
      <c r="H2" s="2" t="s">
        <v>579</v>
      </c>
      <c r="I2" s="3" t="s">
        <v>720</v>
      </c>
      <c r="J2" s="3" t="s">
        <v>526</v>
      </c>
      <c r="K2" s="3" t="s">
        <v>5</v>
      </c>
      <c r="L2" s="4"/>
      <c r="M2" s="4"/>
      <c r="N2" s="4"/>
      <c r="O2" s="4"/>
      <c r="P2" s="4"/>
      <c r="Q2" s="4"/>
      <c r="R2" s="4"/>
      <c r="S2" s="4"/>
    </row>
    <row r="3" spans="1:19" s="3" customFormat="1" x14ac:dyDescent="0.25">
      <c r="A3" s="4" t="s">
        <v>479</v>
      </c>
      <c r="B3" s="2" t="s">
        <v>480</v>
      </c>
      <c r="C3" s="4"/>
      <c r="D3" s="4" t="s">
        <v>388</v>
      </c>
      <c r="E3" s="4" t="s">
        <v>226</v>
      </c>
      <c r="F3" s="2" t="s">
        <v>718</v>
      </c>
      <c r="G3" s="4" t="s">
        <v>482</v>
      </c>
      <c r="H3" s="2" t="s">
        <v>579</v>
      </c>
      <c r="I3" s="3" t="s">
        <v>721</v>
      </c>
      <c r="J3" s="3" t="s">
        <v>526</v>
      </c>
      <c r="K3" s="3" t="s">
        <v>5</v>
      </c>
      <c r="L3" s="4"/>
      <c r="M3" s="4"/>
      <c r="N3" s="4"/>
      <c r="O3" s="4"/>
      <c r="P3" s="4"/>
      <c r="Q3" s="4"/>
      <c r="R3" s="4"/>
      <c r="S3" s="4"/>
    </row>
    <row r="4" spans="1:19" s="3" customFormat="1" x14ac:dyDescent="0.25">
      <c r="A4" s="4" t="s">
        <v>479</v>
      </c>
      <c r="B4" s="2" t="s">
        <v>480</v>
      </c>
      <c r="C4" s="4" t="s">
        <v>470</v>
      </c>
      <c r="D4" s="4"/>
      <c r="E4" s="4"/>
      <c r="F4" s="2" t="s">
        <v>719</v>
      </c>
      <c r="G4" s="4" t="s">
        <v>723</v>
      </c>
      <c r="H4" s="2" t="s">
        <v>579</v>
      </c>
      <c r="I4" s="3" t="s">
        <v>725</v>
      </c>
      <c r="J4" s="3" t="s">
        <v>526</v>
      </c>
      <c r="K4" s="3" t="s">
        <v>5</v>
      </c>
      <c r="L4" s="4"/>
      <c r="M4" s="4"/>
      <c r="N4" s="4"/>
      <c r="O4" s="4"/>
      <c r="P4" s="4"/>
      <c r="Q4" s="4"/>
      <c r="R4" s="4"/>
      <c r="S4" s="4"/>
    </row>
    <row r="5" spans="1:19" s="3" customFormat="1" x14ac:dyDescent="0.25">
      <c r="A5" s="4" t="s">
        <v>479</v>
      </c>
      <c r="B5" s="2" t="s">
        <v>480</v>
      </c>
      <c r="C5" s="4" t="s">
        <v>470</v>
      </c>
      <c r="D5" s="4" t="s">
        <v>388</v>
      </c>
      <c r="E5" s="4" t="s">
        <v>226</v>
      </c>
      <c r="F5" s="2" t="s">
        <v>724</v>
      </c>
      <c r="G5" s="4" t="s">
        <v>726</v>
      </c>
      <c r="H5" s="2" t="s">
        <v>579</v>
      </c>
      <c r="I5" s="3" t="s">
        <v>447</v>
      </c>
      <c r="J5" s="3" t="s">
        <v>8</v>
      </c>
      <c r="K5" s="3" t="s">
        <v>5</v>
      </c>
      <c r="L5" s="4"/>
      <c r="M5" s="4"/>
      <c r="N5" s="4"/>
      <c r="O5" s="4"/>
      <c r="P5" s="4"/>
      <c r="Q5" s="4"/>
      <c r="R5" s="4"/>
      <c r="S5" s="4"/>
    </row>
    <row r="10" spans="1:19" ht="19.5" customHeight="1" x14ac:dyDescent="0.25">
      <c r="G10" s="3"/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5" x14ac:dyDescent="0.25"/>
  <cols>
    <col min="1" max="1" width="20.28515625" bestFit="1" customWidth="1"/>
  </cols>
  <sheetData>
    <row r="1" spans="1:2" x14ac:dyDescent="0.25">
      <c r="A1" s="3" t="s">
        <v>295</v>
      </c>
      <c r="B1" t="s">
        <v>0</v>
      </c>
    </row>
    <row r="2" spans="1:2" x14ac:dyDescent="0.25">
      <c r="A2" t="s">
        <v>445</v>
      </c>
      <c r="B2" s="9" t="s">
        <v>3</v>
      </c>
    </row>
  </sheetData>
  <pageMargins left="0.7" right="0.7" top="0.75" bottom="0.75" header="0.3" footer="0.3"/>
  <pageSetup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F2" sqref="F2"/>
    </sheetView>
  </sheetViews>
  <sheetFormatPr defaultRowHeight="15" x14ac:dyDescent="0.25"/>
  <cols>
    <col min="1" max="1" width="11.5703125" bestFit="1" customWidth="1"/>
    <col min="2" max="2" width="12.42578125" bestFit="1" customWidth="1"/>
    <col min="6" max="6" width="37.7109375" bestFit="1" customWidth="1"/>
    <col min="7" max="7" width="10.28515625" bestFit="1" customWidth="1"/>
    <col min="8" max="8" width="27.42578125" customWidth="1"/>
  </cols>
  <sheetData>
    <row r="1" spans="1:19" x14ac:dyDescent="0.25">
      <c r="A1" t="s">
        <v>483</v>
      </c>
      <c r="B1" t="s">
        <v>485</v>
      </c>
      <c r="C1" t="s">
        <v>486</v>
      </c>
      <c r="D1" t="s">
        <v>487</v>
      </c>
      <c r="E1" s="4" t="s">
        <v>0</v>
      </c>
      <c r="F1" s="4" t="s">
        <v>9</v>
      </c>
      <c r="G1" s="4" t="s">
        <v>4</v>
      </c>
      <c r="H1" s="4" t="s">
        <v>489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25">
      <c r="A2" s="4" t="s">
        <v>484</v>
      </c>
      <c r="B2" s="12" t="str">
        <f ca="1">CONCATENATE(TEXT(NOW(),"YYYY-MM"),"-01")</f>
        <v>2026-06-01</v>
      </c>
      <c r="C2" s="4" t="s">
        <v>160</v>
      </c>
      <c r="D2" s="4" t="s">
        <v>160</v>
      </c>
      <c r="E2" s="2" t="s">
        <v>3</v>
      </c>
      <c r="F2" s="4" t="s">
        <v>488</v>
      </c>
      <c r="G2" s="4" t="s">
        <v>5</v>
      </c>
      <c r="H2" s="4" t="s">
        <v>806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</row>
  </sheetData>
  <pageMargins left="0.7" right="0.7" top="0.75" bottom="0.75" header="0.3" footer="0.3"/>
  <pageSetup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3" sqref="B3"/>
    </sheetView>
  </sheetViews>
  <sheetFormatPr defaultRowHeight="15" x14ac:dyDescent="0.25"/>
  <cols>
    <col min="1" max="1" width="15" bestFit="1" customWidth="1"/>
    <col min="2" max="2" width="14.85546875" bestFit="1" customWidth="1"/>
    <col min="3" max="3" width="30.85546875" bestFit="1" customWidth="1"/>
    <col min="4" max="4" width="15.42578125" bestFit="1" customWidth="1"/>
    <col min="5" max="5" width="11" bestFit="1" customWidth="1"/>
    <col min="6" max="6" width="12.42578125" bestFit="1" customWidth="1"/>
    <col min="8" max="8" width="10.5703125" bestFit="1" customWidth="1"/>
    <col min="9" max="9" width="16.5703125" style="3" bestFit="1" customWidth="1"/>
    <col min="11" max="11" width="28.42578125" bestFit="1" customWidth="1"/>
    <col min="12" max="12" width="10.28515625" bestFit="1" customWidth="1"/>
  </cols>
  <sheetData>
    <row r="1" spans="1:18" x14ac:dyDescent="0.25">
      <c r="A1" s="4" t="s">
        <v>56</v>
      </c>
      <c r="B1" t="s">
        <v>448</v>
      </c>
      <c r="C1" t="s">
        <v>416</v>
      </c>
      <c r="D1" t="s">
        <v>427</v>
      </c>
      <c r="E1" t="s">
        <v>428</v>
      </c>
      <c r="F1" t="s">
        <v>493</v>
      </c>
      <c r="G1" t="s">
        <v>495</v>
      </c>
      <c r="H1" t="s">
        <v>295</v>
      </c>
      <c r="I1" t="s">
        <v>497</v>
      </c>
      <c r="J1" s="4" t="s">
        <v>0</v>
      </c>
      <c r="K1" s="4" t="s">
        <v>9</v>
      </c>
      <c r="L1" s="4" t="s">
        <v>4</v>
      </c>
      <c r="M1" s="4"/>
      <c r="N1" s="4"/>
      <c r="O1" s="4"/>
      <c r="P1" s="4"/>
      <c r="Q1" s="4"/>
      <c r="R1" s="4"/>
    </row>
    <row r="2" spans="1:18" x14ac:dyDescent="0.25">
      <c r="A2" s="4" t="s">
        <v>490</v>
      </c>
      <c r="B2" s="12" t="str">
        <f ca="1">TEXT(NOW(),"YYYY-MM-DD")</f>
        <v>2026-06-24</v>
      </c>
      <c r="C2" s="4" t="s">
        <v>491</v>
      </c>
      <c r="D2" s="4" t="s">
        <v>434</v>
      </c>
      <c r="E2" s="4" t="s">
        <v>492</v>
      </c>
      <c r="F2" s="4" t="s">
        <v>494</v>
      </c>
      <c r="G2" s="4" t="s">
        <v>245</v>
      </c>
      <c r="H2" s="4" t="s">
        <v>301</v>
      </c>
      <c r="I2" s="4" t="s">
        <v>301</v>
      </c>
      <c r="J2" s="2" t="s">
        <v>3</v>
      </c>
      <c r="K2" s="4" t="s">
        <v>496</v>
      </c>
      <c r="L2" s="4" t="s">
        <v>5</v>
      </c>
      <c r="M2" s="4"/>
      <c r="N2" s="4"/>
      <c r="O2" s="4"/>
      <c r="P2" s="4"/>
      <c r="Q2" s="4"/>
      <c r="R2" s="4"/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1" sqref="C11"/>
    </sheetView>
  </sheetViews>
  <sheetFormatPr defaultRowHeight="15" x14ac:dyDescent="0.25"/>
  <cols>
    <col min="2" max="2" width="42.85546875" bestFit="1" customWidth="1"/>
    <col min="3" max="3" width="25.140625" bestFit="1" customWidth="1"/>
  </cols>
  <sheetData>
    <row r="1" spans="1:4" x14ac:dyDescent="0.25">
      <c r="A1" s="3" t="s">
        <v>0</v>
      </c>
      <c r="B1" s="3" t="s">
        <v>9</v>
      </c>
      <c r="C1" s="3" t="s">
        <v>6</v>
      </c>
      <c r="D1" s="3" t="s">
        <v>7</v>
      </c>
    </row>
    <row r="2" spans="1:4" x14ac:dyDescent="0.25">
      <c r="A2" s="9" t="s">
        <v>3</v>
      </c>
      <c r="B2" s="3" t="s">
        <v>498</v>
      </c>
      <c r="C2" s="4" t="s">
        <v>499</v>
      </c>
      <c r="D2" s="3" t="s">
        <v>8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9" sqref="C9"/>
    </sheetView>
  </sheetViews>
  <sheetFormatPr defaultRowHeight="15" x14ac:dyDescent="0.25"/>
  <cols>
    <col min="1" max="1" width="15" bestFit="1" customWidth="1"/>
    <col min="2" max="2" width="14.85546875" bestFit="1" customWidth="1"/>
    <col min="4" max="4" width="28.42578125" bestFit="1" customWidth="1"/>
  </cols>
  <sheetData>
    <row r="1" spans="1:5" x14ac:dyDescent="0.25">
      <c r="A1" t="s">
        <v>56</v>
      </c>
      <c r="B1" t="s">
        <v>448</v>
      </c>
      <c r="C1" s="4" t="s">
        <v>0</v>
      </c>
      <c r="D1" s="4" t="s">
        <v>9</v>
      </c>
      <c r="E1" s="4" t="s">
        <v>4</v>
      </c>
    </row>
    <row r="2" spans="1:5" x14ac:dyDescent="0.25">
      <c r="A2" t="s">
        <v>502</v>
      </c>
      <c r="B2" s="12" t="str">
        <f ca="1">TEXT(NOW(),"YYYY-MM-DD")</f>
        <v>2026-06-24</v>
      </c>
      <c r="C2" s="2" t="s">
        <v>3</v>
      </c>
      <c r="D2" s="4" t="s">
        <v>503</v>
      </c>
      <c r="E2" s="4" t="s">
        <v>5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F7" sqref="F7"/>
    </sheetView>
  </sheetViews>
  <sheetFormatPr defaultRowHeight="15" x14ac:dyDescent="0.25"/>
  <cols>
    <col min="1" max="1" width="16.5703125" bestFit="1" customWidth="1"/>
    <col min="2" max="2" width="18.140625" bestFit="1" customWidth="1"/>
    <col min="3" max="4" width="10.42578125" bestFit="1" customWidth="1"/>
    <col min="6" max="6" width="26.28515625" bestFit="1" customWidth="1"/>
  </cols>
  <sheetData>
    <row r="1" spans="1:9" x14ac:dyDescent="0.25">
      <c r="A1" s="4" t="s">
        <v>56</v>
      </c>
      <c r="B1" s="4" t="s">
        <v>60</v>
      </c>
      <c r="C1" s="4" t="s">
        <v>509</v>
      </c>
      <c r="D1" s="4" t="s">
        <v>510</v>
      </c>
      <c r="E1" s="4" t="s">
        <v>0</v>
      </c>
      <c r="F1" s="4" t="s">
        <v>9</v>
      </c>
      <c r="G1" s="4" t="s">
        <v>4</v>
      </c>
      <c r="H1" s="4" t="s">
        <v>84</v>
      </c>
      <c r="I1" s="4"/>
    </row>
    <row r="2" spans="1:9" x14ac:dyDescent="0.25">
      <c r="A2" s="4" t="s">
        <v>507</v>
      </c>
      <c r="B2" s="4" t="s">
        <v>508</v>
      </c>
      <c r="C2" s="12" t="str">
        <f ca="1">TEXT(NOW()-1,"YYYY-MM-DD")</f>
        <v>2026-06-23</v>
      </c>
      <c r="D2" s="12" t="str">
        <f ca="1">TEXT(NOW(),"YYYY-MM-DD")</f>
        <v>2026-06-24</v>
      </c>
      <c r="E2" s="2" t="s">
        <v>3</v>
      </c>
      <c r="F2" s="4" t="s">
        <v>511</v>
      </c>
      <c r="G2" s="4" t="s">
        <v>5</v>
      </c>
      <c r="H2" s="4" t="s">
        <v>84</v>
      </c>
      <c r="I2" s="4"/>
    </row>
  </sheetData>
  <pageMargins left="0.7" right="0.7" top="0.75" bottom="0.75" header="0.3" footer="0.3"/>
  <pageSetup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E14" sqref="E14"/>
    </sheetView>
  </sheetViews>
  <sheetFormatPr defaultRowHeight="15" x14ac:dyDescent="0.25"/>
  <cols>
    <col min="1" max="1" width="11.28515625" bestFit="1" customWidth="1"/>
    <col min="2" max="2" width="20.5703125" bestFit="1" customWidth="1"/>
    <col min="3" max="3" width="30.28515625" bestFit="1" customWidth="1"/>
    <col min="4" max="4" width="11.42578125" bestFit="1" customWidth="1"/>
    <col min="5" max="6" width="11.42578125" style="3" customWidth="1"/>
    <col min="7" max="7" width="11.42578125" bestFit="1" customWidth="1"/>
    <col min="8" max="8" width="19.28515625" bestFit="1" customWidth="1"/>
    <col min="9" max="9" width="11.7109375" bestFit="1" customWidth="1"/>
    <col min="10" max="10" width="3.28515625" bestFit="1" customWidth="1"/>
    <col min="11" max="11" width="31.85546875" bestFit="1" customWidth="1"/>
    <col min="12" max="12" width="19.28515625" bestFit="1" customWidth="1"/>
    <col min="13" max="13" width="11.28515625" bestFit="1" customWidth="1"/>
    <col min="14" max="14" width="10.28515625" bestFit="1" customWidth="1"/>
  </cols>
  <sheetData>
    <row r="1" spans="1:14" x14ac:dyDescent="0.25">
      <c r="A1" s="4" t="s">
        <v>884</v>
      </c>
      <c r="B1" s="4" t="s">
        <v>885</v>
      </c>
      <c r="C1" s="4" t="s">
        <v>886</v>
      </c>
      <c r="D1" s="4" t="s">
        <v>887</v>
      </c>
      <c r="E1" s="4" t="s">
        <v>243</v>
      </c>
      <c r="F1" s="4" t="s">
        <v>908</v>
      </c>
      <c r="G1" s="4" t="s">
        <v>888</v>
      </c>
      <c r="H1" s="4" t="s">
        <v>889</v>
      </c>
      <c r="I1" s="4" t="s">
        <v>155</v>
      </c>
      <c r="J1" s="4" t="s">
        <v>0</v>
      </c>
      <c r="K1" s="4" t="s">
        <v>9</v>
      </c>
      <c r="L1" s="4" t="s">
        <v>6</v>
      </c>
      <c r="M1" s="4" t="s">
        <v>295</v>
      </c>
      <c r="N1" s="4" t="s">
        <v>4</v>
      </c>
    </row>
    <row r="2" spans="1:14" x14ac:dyDescent="0.25">
      <c r="A2" s="4" t="s">
        <v>894</v>
      </c>
      <c r="B2" s="4" t="s">
        <v>895</v>
      </c>
      <c r="C2" s="4" t="s">
        <v>426</v>
      </c>
      <c r="D2" s="2" t="s">
        <v>65</v>
      </c>
      <c r="E2" s="2" t="s">
        <v>300</v>
      </c>
      <c r="F2" s="2" t="s">
        <v>118</v>
      </c>
      <c r="G2" s="4" t="s">
        <v>118</v>
      </c>
      <c r="H2" s="4" t="s">
        <v>890</v>
      </c>
      <c r="I2" s="2" t="s">
        <v>893</v>
      </c>
      <c r="J2" s="2" t="s">
        <v>3</v>
      </c>
      <c r="K2" s="4" t="s">
        <v>891</v>
      </c>
      <c r="L2" s="4" t="s">
        <v>499</v>
      </c>
      <c r="M2" s="4" t="s">
        <v>892</v>
      </c>
      <c r="N2" s="4" t="s">
        <v>5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C12" sqref="C12"/>
    </sheetView>
  </sheetViews>
  <sheetFormatPr defaultRowHeight="15" x14ac:dyDescent="0.25"/>
  <cols>
    <col min="1" max="1" width="19" style="3" bestFit="1" customWidth="1"/>
    <col min="2" max="2" width="27.140625" style="3" bestFit="1" customWidth="1"/>
    <col min="3" max="5" width="27.140625" style="3" customWidth="1"/>
    <col min="6" max="6" width="3.28515625" style="3" bestFit="1" customWidth="1"/>
    <col min="7" max="7" width="37.28515625" style="3" bestFit="1" customWidth="1"/>
    <col min="8" max="8" width="10.28515625" style="3" bestFit="1" customWidth="1"/>
    <col min="9" max="9" width="19.28515625" style="3" bestFit="1" customWidth="1"/>
    <col min="10" max="10" width="10.5703125" style="3" bestFit="1" customWidth="1"/>
    <col min="11" max="11" width="20.28515625" style="3" bestFit="1" customWidth="1"/>
    <col min="12" max="12" width="5.28515625" style="3" bestFit="1" customWidth="1"/>
    <col min="13" max="13" width="19.5703125" style="3" bestFit="1" customWidth="1"/>
    <col min="14" max="16384" width="9.140625" style="3"/>
  </cols>
  <sheetData>
    <row r="1" spans="1:13" x14ac:dyDescent="0.25">
      <c r="A1" s="3" t="s">
        <v>807</v>
      </c>
      <c r="B1" s="4" t="s">
        <v>808</v>
      </c>
      <c r="C1" s="4" t="s">
        <v>809</v>
      </c>
      <c r="D1" s="4" t="s">
        <v>811</v>
      </c>
      <c r="E1" s="4" t="s">
        <v>815</v>
      </c>
      <c r="F1" s="4" t="s">
        <v>0</v>
      </c>
      <c r="G1" s="4" t="s">
        <v>9</v>
      </c>
      <c r="H1" s="4" t="s">
        <v>4</v>
      </c>
      <c r="I1" s="3" t="s">
        <v>6</v>
      </c>
      <c r="J1" s="3" t="s">
        <v>7</v>
      </c>
      <c r="K1" s="3" t="s">
        <v>413</v>
      </c>
      <c r="L1" s="3" t="s">
        <v>84</v>
      </c>
      <c r="M1" s="3" t="s">
        <v>413</v>
      </c>
    </row>
    <row r="2" spans="1:13" x14ac:dyDescent="0.25">
      <c r="A2" s="3" t="s">
        <v>872</v>
      </c>
      <c r="B2" s="4" t="s">
        <v>119</v>
      </c>
      <c r="C2" s="4" t="s">
        <v>436</v>
      </c>
      <c r="D2" s="4" t="s">
        <v>226</v>
      </c>
      <c r="E2" s="4" t="s">
        <v>746</v>
      </c>
      <c r="F2" s="2" t="s">
        <v>3</v>
      </c>
      <c r="G2" s="4" t="s">
        <v>873</v>
      </c>
      <c r="H2" s="4" t="s">
        <v>5</v>
      </c>
      <c r="I2" s="4" t="s">
        <v>499</v>
      </c>
      <c r="J2" s="3" t="s">
        <v>8</v>
      </c>
      <c r="K2" s="4" t="s">
        <v>445</v>
      </c>
      <c r="L2" s="3" t="s">
        <v>84</v>
      </c>
      <c r="M2" s="4" t="s">
        <v>814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F15" sqref="F15"/>
    </sheetView>
  </sheetViews>
  <sheetFormatPr defaultRowHeight="15" x14ac:dyDescent="0.25"/>
  <cols>
    <col min="1" max="1" width="5.7109375" bestFit="1" customWidth="1"/>
    <col min="2" max="2" width="25.7109375" bestFit="1" customWidth="1"/>
    <col min="3" max="3" width="25.140625" bestFit="1" customWidth="1"/>
    <col min="4" max="4" width="10.5703125" bestFit="1" customWidth="1"/>
  </cols>
  <sheetData>
    <row r="1" spans="1:4" x14ac:dyDescent="0.25">
      <c r="A1" s="4" t="s">
        <v>0</v>
      </c>
      <c r="B1" s="4" t="s">
        <v>9</v>
      </c>
      <c r="C1" s="3" t="s">
        <v>6</v>
      </c>
      <c r="D1" s="3" t="s">
        <v>7</v>
      </c>
    </row>
    <row r="2" spans="1:4" x14ac:dyDescent="0.25">
      <c r="A2" s="19" t="s">
        <v>572</v>
      </c>
      <c r="B2" s="2" t="s">
        <v>914</v>
      </c>
      <c r="C2" s="2" t="s">
        <v>447</v>
      </c>
      <c r="D2" s="3" t="s">
        <v>8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E18" sqref="E18"/>
    </sheetView>
  </sheetViews>
  <sheetFormatPr defaultRowHeight="15" x14ac:dyDescent="0.25"/>
  <cols>
    <col min="1" max="1" width="5.7109375" bestFit="1" customWidth="1"/>
    <col min="2" max="2" width="25.7109375" bestFit="1" customWidth="1"/>
    <col min="3" max="3" width="19.28515625" bestFit="1" customWidth="1"/>
    <col min="4" max="4" width="10.5703125" bestFit="1" customWidth="1"/>
  </cols>
  <sheetData>
    <row r="1" spans="1:4" x14ac:dyDescent="0.25">
      <c r="A1" s="4" t="s">
        <v>0</v>
      </c>
      <c r="B1" s="4" t="s">
        <v>9</v>
      </c>
      <c r="C1" s="3" t="s">
        <v>6</v>
      </c>
      <c r="D1" s="3" t="s">
        <v>7</v>
      </c>
    </row>
    <row r="2" spans="1:4" x14ac:dyDescent="0.25">
      <c r="A2" s="19" t="s">
        <v>572</v>
      </c>
      <c r="B2" s="2" t="s">
        <v>914</v>
      </c>
      <c r="C2" s="2" t="s">
        <v>285</v>
      </c>
      <c r="D2" s="3" t="s">
        <v>8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H11" sqref="H11"/>
    </sheetView>
  </sheetViews>
  <sheetFormatPr defaultRowHeight="15" x14ac:dyDescent="0.25"/>
  <cols>
    <col min="1" max="1" width="5.7109375" bestFit="1" customWidth="1"/>
    <col min="2" max="2" width="27.28515625" bestFit="1" customWidth="1"/>
    <col min="3" max="3" width="22" bestFit="1" customWidth="1"/>
    <col min="4" max="4" width="10.5703125" bestFit="1" customWidth="1"/>
  </cols>
  <sheetData>
    <row r="1" spans="1:4" x14ac:dyDescent="0.25">
      <c r="A1" s="4" t="s">
        <v>0</v>
      </c>
      <c r="B1" s="4" t="s">
        <v>9</v>
      </c>
      <c r="C1" s="3" t="s">
        <v>6</v>
      </c>
      <c r="D1" s="3" t="s">
        <v>7</v>
      </c>
    </row>
    <row r="2" spans="1:4" x14ac:dyDescent="0.25">
      <c r="A2" s="19" t="s">
        <v>572</v>
      </c>
      <c r="B2" s="2" t="s">
        <v>915</v>
      </c>
      <c r="C2" s="2" t="s">
        <v>829</v>
      </c>
      <c r="D2" s="3" t="s">
        <v>8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6" sqref="C16"/>
    </sheetView>
  </sheetViews>
  <sheetFormatPr defaultRowHeight="15" x14ac:dyDescent="0.25"/>
  <cols>
    <col min="1" max="1" width="5.7109375" bestFit="1" customWidth="1"/>
    <col min="2" max="2" width="31.42578125" bestFit="1" customWidth="1"/>
    <col min="3" max="3" width="29.28515625" bestFit="1" customWidth="1"/>
    <col min="4" max="4" width="10.5703125" bestFit="1" customWidth="1"/>
  </cols>
  <sheetData>
    <row r="1" spans="1:4" x14ac:dyDescent="0.25">
      <c r="A1" s="4" t="s">
        <v>0</v>
      </c>
      <c r="B1" s="4" t="s">
        <v>9</v>
      </c>
      <c r="C1" s="3" t="s">
        <v>6</v>
      </c>
      <c r="D1" s="3" t="s">
        <v>7</v>
      </c>
    </row>
    <row r="2" spans="1:4" x14ac:dyDescent="0.25">
      <c r="A2" s="19" t="s">
        <v>572</v>
      </c>
      <c r="B2" s="2" t="s">
        <v>916</v>
      </c>
      <c r="C2" s="2" t="s">
        <v>917</v>
      </c>
      <c r="D2" s="3" t="s">
        <v>8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L15" sqref="L15"/>
    </sheetView>
  </sheetViews>
  <sheetFormatPr defaultRowHeight="15" x14ac:dyDescent="0.25"/>
  <cols>
    <col min="1" max="1" width="5.7109375" bestFit="1" customWidth="1"/>
    <col min="2" max="2" width="27.28515625" bestFit="1" customWidth="1"/>
    <col min="3" max="3" width="22" bestFit="1" customWidth="1"/>
    <col min="4" max="4" width="10.5703125" bestFit="1" customWidth="1"/>
  </cols>
  <sheetData>
    <row r="1" spans="1:4" x14ac:dyDescent="0.25">
      <c r="A1" s="4" t="s">
        <v>0</v>
      </c>
      <c r="B1" s="4" t="s">
        <v>9</v>
      </c>
      <c r="C1" s="3" t="s">
        <v>6</v>
      </c>
      <c r="D1" s="3" t="s">
        <v>7</v>
      </c>
    </row>
    <row r="2" spans="1:4" x14ac:dyDescent="0.25">
      <c r="A2" s="19" t="s">
        <v>572</v>
      </c>
      <c r="B2" s="2" t="s">
        <v>915</v>
      </c>
      <c r="C2" s="2" t="s">
        <v>829</v>
      </c>
      <c r="D2" s="3" t="s">
        <v>8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G14" sqref="G14"/>
    </sheetView>
  </sheetViews>
  <sheetFormatPr defaultRowHeight="15" x14ac:dyDescent="0.25"/>
  <cols>
    <col min="1" max="1" width="5.7109375" bestFit="1" customWidth="1"/>
    <col min="2" max="2" width="28" bestFit="1" customWidth="1"/>
    <col min="3" max="3" width="19.85546875" bestFit="1" customWidth="1"/>
    <col min="4" max="4" width="10.5703125" bestFit="1" customWidth="1"/>
  </cols>
  <sheetData>
    <row r="1" spans="1:4" x14ac:dyDescent="0.25">
      <c r="A1" s="4" t="s">
        <v>0</v>
      </c>
      <c r="B1" s="4" t="s">
        <v>9</v>
      </c>
      <c r="C1" s="3" t="s">
        <v>6</v>
      </c>
      <c r="D1" s="3" t="s">
        <v>7</v>
      </c>
    </row>
    <row r="2" spans="1:4" x14ac:dyDescent="0.25">
      <c r="A2" s="19" t="s">
        <v>572</v>
      </c>
      <c r="B2" s="2" t="s">
        <v>918</v>
      </c>
      <c r="C2" s="2" t="s">
        <v>278</v>
      </c>
      <c r="D2" s="3" t="s">
        <v>8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H14" sqref="H14"/>
    </sheetView>
  </sheetViews>
  <sheetFormatPr defaultRowHeight="15" x14ac:dyDescent="0.25"/>
  <cols>
    <col min="1" max="1" width="19" bestFit="1" customWidth="1"/>
    <col min="2" max="2" width="27.140625" bestFit="1" customWidth="1"/>
    <col min="3" max="5" width="27.140625" style="3" customWidth="1"/>
    <col min="6" max="6" width="3.28515625" bestFit="1" customWidth="1"/>
    <col min="7" max="7" width="37.28515625" bestFit="1" customWidth="1"/>
    <col min="8" max="8" width="10.28515625" bestFit="1" customWidth="1"/>
    <col min="9" max="9" width="19.28515625" bestFit="1" customWidth="1"/>
    <col min="10" max="10" width="10.5703125" bestFit="1" customWidth="1"/>
    <col min="11" max="11" width="20.28515625" bestFit="1" customWidth="1"/>
    <col min="12" max="12" width="5.28515625" bestFit="1" customWidth="1"/>
    <col min="13" max="13" width="19.5703125" bestFit="1" customWidth="1"/>
  </cols>
  <sheetData>
    <row r="1" spans="1:13" x14ac:dyDescent="0.25">
      <c r="A1" s="3" t="s">
        <v>807</v>
      </c>
      <c r="B1" s="4" t="s">
        <v>808</v>
      </c>
      <c r="C1" s="4" t="s">
        <v>809</v>
      </c>
      <c r="D1" s="4" t="s">
        <v>811</v>
      </c>
      <c r="E1" s="4" t="s">
        <v>815</v>
      </c>
      <c r="F1" s="4" t="s">
        <v>0</v>
      </c>
      <c r="G1" s="4" t="s">
        <v>9</v>
      </c>
      <c r="H1" s="4" t="s">
        <v>4</v>
      </c>
      <c r="I1" s="3" t="s">
        <v>6</v>
      </c>
      <c r="J1" s="3" t="s">
        <v>7</v>
      </c>
      <c r="K1" s="3" t="s">
        <v>413</v>
      </c>
      <c r="L1" s="3" t="s">
        <v>84</v>
      </c>
      <c r="M1" s="3" t="s">
        <v>413</v>
      </c>
    </row>
    <row r="2" spans="1:13" x14ac:dyDescent="0.25">
      <c r="A2" s="3" t="s">
        <v>872</v>
      </c>
      <c r="B2" s="4" t="s">
        <v>119</v>
      </c>
      <c r="C2" s="4" t="s">
        <v>436</v>
      </c>
      <c r="D2" s="4" t="s">
        <v>226</v>
      </c>
      <c r="E2" s="4" t="s">
        <v>746</v>
      </c>
      <c r="F2" s="2" t="s">
        <v>3</v>
      </c>
      <c r="G2" s="4" t="s">
        <v>873</v>
      </c>
      <c r="H2" s="4" t="s">
        <v>5</v>
      </c>
      <c r="I2" s="4" t="s">
        <v>499</v>
      </c>
      <c r="J2" s="3" t="s">
        <v>8</v>
      </c>
      <c r="K2" s="4" t="s">
        <v>445</v>
      </c>
      <c r="L2" s="3" t="s">
        <v>84</v>
      </c>
      <c r="M2" s="4" t="s">
        <v>814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O25" sqref="O25"/>
    </sheetView>
  </sheetViews>
  <sheetFormatPr defaultRowHeight="15" x14ac:dyDescent="0.25"/>
  <cols>
    <col min="1" max="2" width="10.42578125" bestFit="1" customWidth="1"/>
    <col min="4" max="4" width="34.5703125" bestFit="1" customWidth="1"/>
    <col min="5" max="5" width="10.28515625" bestFit="1" customWidth="1"/>
    <col min="6" max="6" width="11.5703125" bestFit="1" customWidth="1"/>
  </cols>
  <sheetData>
    <row r="1" spans="1:6" x14ac:dyDescent="0.25">
      <c r="A1" s="11" t="s">
        <v>509</v>
      </c>
      <c r="B1" s="11" t="s">
        <v>510</v>
      </c>
      <c r="C1" s="4" t="s">
        <v>0</v>
      </c>
      <c r="D1" s="4" t="s">
        <v>9</v>
      </c>
      <c r="E1" s="4" t="s">
        <v>4</v>
      </c>
      <c r="F1" s="4" t="s">
        <v>21</v>
      </c>
    </row>
    <row r="2" spans="1:6" x14ac:dyDescent="0.25">
      <c r="A2" s="12" t="str">
        <f ca="1">TEXT(NOW()-1,"YYYY-MM-DD")</f>
        <v>2026-06-23</v>
      </c>
      <c r="B2" s="12" t="str">
        <f ca="1">TEXT(NOW(),"YYYY-MM-DD")</f>
        <v>2026-06-24</v>
      </c>
      <c r="C2" s="2" t="s">
        <v>3</v>
      </c>
      <c r="D2" s="4" t="s">
        <v>512</v>
      </c>
      <c r="E2" s="4" t="s">
        <v>5</v>
      </c>
      <c r="F2" s="4" t="s">
        <v>84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E6" sqref="E6"/>
    </sheetView>
  </sheetViews>
  <sheetFormatPr defaultRowHeight="15" x14ac:dyDescent="0.25"/>
  <cols>
    <col min="1" max="1" width="13.42578125" style="3" bestFit="1" customWidth="1"/>
    <col min="2" max="2" width="11.5703125" style="3" bestFit="1" customWidth="1"/>
    <col min="3" max="3" width="11" style="3" bestFit="1" customWidth="1"/>
    <col min="4" max="4" width="10.5703125" style="3" bestFit="1" customWidth="1"/>
    <col min="5" max="6" width="9.140625" style="3"/>
    <col min="7" max="7" width="37.7109375" style="3" bestFit="1" customWidth="1"/>
    <col min="8" max="8" width="16.28515625" style="3" bestFit="1" customWidth="1"/>
    <col min="9" max="9" width="63.85546875" style="3" bestFit="1" customWidth="1"/>
    <col min="10" max="16384" width="9.140625" style="3"/>
  </cols>
  <sheetData>
    <row r="1" spans="1:11" x14ac:dyDescent="0.25">
      <c r="A1" s="3" t="s">
        <v>289</v>
      </c>
      <c r="B1" s="3" t="s">
        <v>284</v>
      </c>
      <c r="C1" s="3" t="s">
        <v>305</v>
      </c>
      <c r="D1" s="3" t="s">
        <v>727</v>
      </c>
      <c r="E1" s="3" t="s">
        <v>24</v>
      </c>
      <c r="F1" s="3" t="s">
        <v>0</v>
      </c>
      <c r="G1" s="3" t="s">
        <v>9</v>
      </c>
      <c r="H1" s="3" t="s">
        <v>527</v>
      </c>
      <c r="I1" s="3" t="s">
        <v>6</v>
      </c>
      <c r="J1" s="3" t="s">
        <v>7</v>
      </c>
      <c r="K1" s="3" t="s">
        <v>4</v>
      </c>
    </row>
    <row r="2" spans="1:11" x14ac:dyDescent="0.25">
      <c r="B2" s="3" t="s">
        <v>21</v>
      </c>
      <c r="C2" s="3" t="s">
        <v>84</v>
      </c>
      <c r="D2" s="3" t="s">
        <v>158</v>
      </c>
      <c r="E2" s="3" t="s">
        <v>65</v>
      </c>
      <c r="F2" s="9" t="s">
        <v>3</v>
      </c>
      <c r="G2" s="3" t="s">
        <v>728</v>
      </c>
      <c r="H2" s="3" t="s">
        <v>528</v>
      </c>
      <c r="J2" s="3" t="s">
        <v>526</v>
      </c>
      <c r="K2" s="3" t="s">
        <v>5</v>
      </c>
    </row>
    <row r="3" spans="1:11" x14ac:dyDescent="0.25">
      <c r="A3" s="3" t="str">
        <f ca="1">CONCATENATE("Auto",TEXT(NOW(),"YYDDMMss"))</f>
        <v>Auto26243402</v>
      </c>
      <c r="C3" s="3" t="s">
        <v>84</v>
      </c>
      <c r="D3" s="3" t="s">
        <v>158</v>
      </c>
      <c r="E3" s="3" t="s">
        <v>65</v>
      </c>
      <c r="F3" s="9" t="s">
        <v>543</v>
      </c>
      <c r="G3" s="3" t="s">
        <v>730</v>
      </c>
      <c r="H3" s="3" t="s">
        <v>528</v>
      </c>
      <c r="J3" s="3" t="s">
        <v>526</v>
      </c>
      <c r="K3" s="3" t="s">
        <v>5</v>
      </c>
    </row>
    <row r="4" spans="1:11" x14ac:dyDescent="0.25">
      <c r="A4" s="3" t="str">
        <f ca="1">CONCATENATE("Auto",TEXT(NOW(),"YYDDMMss"))</f>
        <v>Auto26243402</v>
      </c>
      <c r="B4" s="3" t="s">
        <v>21</v>
      </c>
      <c r="C4" s="3" t="s">
        <v>84</v>
      </c>
      <c r="E4" s="3" t="s">
        <v>65</v>
      </c>
      <c r="F4" s="9" t="s">
        <v>410</v>
      </c>
      <c r="G4" s="3" t="s">
        <v>731</v>
      </c>
      <c r="H4" s="3" t="s">
        <v>528</v>
      </c>
      <c r="J4" s="3" t="s">
        <v>526</v>
      </c>
      <c r="K4" s="3" t="s">
        <v>5</v>
      </c>
    </row>
    <row r="5" spans="1:11" x14ac:dyDescent="0.25">
      <c r="A5" s="3" t="str">
        <f ca="1">CONCATENATE("Auto",TEXT(NOW(),"DDMMss"))</f>
        <v>Auto243402</v>
      </c>
      <c r="B5" s="3" t="s">
        <v>21</v>
      </c>
      <c r="C5" s="3" t="s">
        <v>84</v>
      </c>
      <c r="D5" s="3" t="s">
        <v>158</v>
      </c>
      <c r="E5" s="3" t="s">
        <v>65</v>
      </c>
      <c r="F5" s="9" t="s">
        <v>544</v>
      </c>
      <c r="G5" s="3" t="s">
        <v>732</v>
      </c>
      <c r="H5" s="9" t="s">
        <v>579</v>
      </c>
      <c r="I5" s="3" t="s">
        <v>733</v>
      </c>
      <c r="J5" s="3" t="s">
        <v>526</v>
      </c>
      <c r="K5" s="3" t="s">
        <v>5</v>
      </c>
    </row>
    <row r="6" spans="1:11" x14ac:dyDescent="0.25">
      <c r="A6" s="3" t="str">
        <f ca="1">CONCATENATE("Auto",TEXT(NOW(),"YYDDMMss"))</f>
        <v>Auto26243402</v>
      </c>
      <c r="B6" s="3" t="s">
        <v>21</v>
      </c>
      <c r="C6" s="3" t="s">
        <v>84</v>
      </c>
      <c r="D6" s="3" t="s">
        <v>158</v>
      </c>
      <c r="E6" s="3" t="s">
        <v>65</v>
      </c>
      <c r="F6" s="9" t="s">
        <v>545</v>
      </c>
      <c r="G6" s="3" t="s">
        <v>729</v>
      </c>
      <c r="H6" s="9" t="s">
        <v>579</v>
      </c>
      <c r="I6" s="3" t="s">
        <v>285</v>
      </c>
      <c r="J6" s="3" t="s">
        <v>8</v>
      </c>
      <c r="K6" s="3" t="s">
        <v>5</v>
      </c>
    </row>
  </sheetData>
  <pageMargins left="0.7" right="0.7" top="0.75" bottom="0.75" header="0.3" footer="0.3"/>
  <pageSetup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G9" sqref="G9"/>
    </sheetView>
  </sheetViews>
  <sheetFormatPr defaultRowHeight="15" x14ac:dyDescent="0.25"/>
  <cols>
    <col min="1" max="1" width="13.42578125" bestFit="1" customWidth="1"/>
    <col min="2" max="2" width="11.5703125" bestFit="1" customWidth="1"/>
    <col min="3" max="3" width="11" bestFit="1" customWidth="1"/>
    <col min="4" max="4" width="10.5703125" bestFit="1" customWidth="1"/>
    <col min="7" max="7" width="37.7109375" bestFit="1" customWidth="1"/>
    <col min="8" max="8" width="16.28515625" bestFit="1" customWidth="1"/>
    <col min="9" max="9" width="63.85546875" bestFit="1" customWidth="1"/>
  </cols>
  <sheetData>
    <row r="1" spans="1:11" x14ac:dyDescent="0.25">
      <c r="A1" s="3" t="s">
        <v>289</v>
      </c>
      <c r="B1" s="3" t="s">
        <v>284</v>
      </c>
      <c r="C1" s="3" t="s">
        <v>305</v>
      </c>
      <c r="D1" s="3" t="s">
        <v>727</v>
      </c>
      <c r="E1" s="3" t="s">
        <v>24</v>
      </c>
      <c r="F1" s="3" t="s">
        <v>0</v>
      </c>
      <c r="G1" s="3" t="s">
        <v>9</v>
      </c>
      <c r="H1" s="3" t="s">
        <v>527</v>
      </c>
      <c r="I1" s="3" t="s">
        <v>6</v>
      </c>
      <c r="J1" s="3" t="s">
        <v>7</v>
      </c>
      <c r="K1" s="3" t="s">
        <v>4</v>
      </c>
    </row>
    <row r="2" spans="1:11" s="3" customFormat="1" x14ac:dyDescent="0.25">
      <c r="A2" s="3" t="str">
        <f ca="1">CONCATENATE("Auto",TEXT(NOW(),"YYDDMMss"))</f>
        <v>Auto26243402</v>
      </c>
      <c r="B2" s="3" t="s">
        <v>21</v>
      </c>
      <c r="C2" s="3" t="s">
        <v>84</v>
      </c>
      <c r="D2" s="3" t="s">
        <v>158</v>
      </c>
      <c r="E2" s="3" t="s">
        <v>65</v>
      </c>
      <c r="F2" s="9" t="s">
        <v>3</v>
      </c>
      <c r="G2" s="3" t="s">
        <v>729</v>
      </c>
      <c r="H2" s="9" t="s">
        <v>579</v>
      </c>
      <c r="I2" s="3" t="s">
        <v>285</v>
      </c>
      <c r="J2" s="3" t="s">
        <v>8</v>
      </c>
      <c r="K2" s="3" t="s">
        <v>5</v>
      </c>
    </row>
  </sheetData>
  <pageMargins left="0.7" right="0.7" top="0.75" bottom="0.75" header="0.3" footer="0.3"/>
  <pageSetup orientation="portrait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M14" sqref="M14"/>
    </sheetView>
  </sheetViews>
  <sheetFormatPr defaultRowHeight="15" x14ac:dyDescent="0.25"/>
  <cols>
    <col min="1" max="1" width="11.140625" style="3" bestFit="1" customWidth="1"/>
  </cols>
  <sheetData>
    <row r="1" spans="1:5" x14ac:dyDescent="0.25">
      <c r="A1" s="3" t="s">
        <v>899</v>
      </c>
      <c r="B1" s="4" t="s">
        <v>289</v>
      </c>
      <c r="C1" s="4" t="s">
        <v>735</v>
      </c>
      <c r="D1" s="3" t="s">
        <v>698</v>
      </c>
      <c r="E1" s="4" t="s">
        <v>0</v>
      </c>
    </row>
    <row r="2" spans="1:5" x14ac:dyDescent="0.25">
      <c r="A2" s="2" t="s">
        <v>900</v>
      </c>
      <c r="B2" s="4" t="s">
        <v>751</v>
      </c>
      <c r="C2" s="4" t="s">
        <v>751</v>
      </c>
      <c r="D2" s="2" t="s">
        <v>736</v>
      </c>
      <c r="E2" s="2" t="s">
        <v>3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L20" sqref="L20"/>
    </sheetView>
  </sheetViews>
  <sheetFormatPr defaultRowHeight="15" x14ac:dyDescent="0.25"/>
  <cols>
    <col min="1" max="1" width="9.42578125" style="3" bestFit="1" customWidth="1"/>
    <col min="2" max="16384" width="9.140625" style="3"/>
  </cols>
  <sheetData>
    <row r="1" spans="1:2" x14ac:dyDescent="0.25">
      <c r="A1" s="3" t="s">
        <v>901</v>
      </c>
      <c r="B1" s="3" t="s">
        <v>0</v>
      </c>
    </row>
    <row r="2" spans="1:2" x14ac:dyDescent="0.25">
      <c r="A2" s="4">
        <v>15108843</v>
      </c>
      <c r="B2" s="9" t="s">
        <v>3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J13" sqref="J13"/>
    </sheetView>
  </sheetViews>
  <sheetFormatPr defaultRowHeight="15" x14ac:dyDescent="0.25"/>
  <cols>
    <col min="1" max="1" width="9.42578125" style="3" bestFit="1" customWidth="1"/>
    <col min="2" max="2" width="5.5703125" style="3" bestFit="1" customWidth="1"/>
    <col min="4" max="4" width="16" style="3" bestFit="1" customWidth="1"/>
    <col min="5" max="5" width="16" style="3" customWidth="1"/>
    <col min="6" max="8" width="9.140625" style="3"/>
  </cols>
  <sheetData>
    <row r="1" spans="1:9" x14ac:dyDescent="0.25">
      <c r="A1" s="3" t="s">
        <v>901</v>
      </c>
      <c r="B1" s="3" t="s">
        <v>289</v>
      </c>
      <c r="C1" t="s">
        <v>735</v>
      </c>
      <c r="D1" s="3" t="s">
        <v>920</v>
      </c>
      <c r="E1" s="3" t="s">
        <v>959</v>
      </c>
      <c r="F1" s="3" t="s">
        <v>84</v>
      </c>
      <c r="G1" s="3" t="s">
        <v>698</v>
      </c>
      <c r="H1" s="3" t="s">
        <v>737</v>
      </c>
      <c r="I1" t="s">
        <v>0</v>
      </c>
    </row>
    <row r="2" spans="1:9" x14ac:dyDescent="0.25">
      <c r="A2" s="4">
        <v>15108843</v>
      </c>
      <c r="B2" s="2" t="s">
        <v>750</v>
      </c>
      <c r="C2">
        <v>20061858</v>
      </c>
      <c r="D2" s="4" t="s">
        <v>909</v>
      </c>
      <c r="E2" s="4" t="s">
        <v>960</v>
      </c>
      <c r="F2" s="3" t="s">
        <v>748</v>
      </c>
      <c r="G2" s="9" t="s">
        <v>3</v>
      </c>
      <c r="H2" s="9" t="s">
        <v>749</v>
      </c>
      <c r="I2" s="9" t="s">
        <v>3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E6" sqref="E6:F6"/>
    </sheetView>
  </sheetViews>
  <sheetFormatPr defaultRowHeight="15" x14ac:dyDescent="0.25"/>
  <sheetData>
    <row r="1" spans="1:10" x14ac:dyDescent="0.25">
      <c r="A1" s="4" t="s">
        <v>924</v>
      </c>
      <c r="B1" s="4" t="s">
        <v>797</v>
      </c>
      <c r="C1" s="4" t="s">
        <v>427</v>
      </c>
      <c r="D1" s="4" t="s">
        <v>428</v>
      </c>
      <c r="E1" s="4" t="s">
        <v>493</v>
      </c>
      <c r="F1" s="4" t="s">
        <v>295</v>
      </c>
      <c r="G1" s="4" t="s">
        <v>925</v>
      </c>
      <c r="H1" s="4" t="s">
        <v>0</v>
      </c>
      <c r="I1" s="4" t="s">
        <v>9</v>
      </c>
      <c r="J1" s="4" t="s">
        <v>4</v>
      </c>
    </row>
    <row r="2" spans="1:10" x14ac:dyDescent="0.25">
      <c r="A2" s="4" t="s">
        <v>1</v>
      </c>
      <c r="B2" s="4" t="s">
        <v>926</v>
      </c>
      <c r="C2" s="4" t="s">
        <v>872</v>
      </c>
      <c r="D2" s="4" t="s">
        <v>119</v>
      </c>
      <c r="E2" s="4" t="s">
        <v>927</v>
      </c>
      <c r="F2" s="4" t="s">
        <v>928</v>
      </c>
      <c r="G2" s="4">
        <v>100</v>
      </c>
      <c r="H2" s="9" t="s">
        <v>3</v>
      </c>
      <c r="I2" s="2" t="s">
        <v>929</v>
      </c>
      <c r="J2" s="4" t="s">
        <v>5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Q12" sqref="Q12"/>
    </sheetView>
  </sheetViews>
  <sheetFormatPr defaultRowHeight="15" x14ac:dyDescent="0.25"/>
  <sheetData>
    <row r="1" spans="1:12" x14ac:dyDescent="0.25">
      <c r="A1" s="4" t="s">
        <v>930</v>
      </c>
      <c r="B1" s="4" t="s">
        <v>931</v>
      </c>
      <c r="C1" s="4" t="s">
        <v>932</v>
      </c>
      <c r="D1" s="4" t="s">
        <v>933</v>
      </c>
      <c r="E1" s="4" t="s">
        <v>0</v>
      </c>
      <c r="F1" s="4" t="s">
        <v>9</v>
      </c>
      <c r="G1" s="3" t="s">
        <v>4</v>
      </c>
      <c r="H1" s="12" t="s">
        <v>934</v>
      </c>
      <c r="I1" s="12" t="s">
        <v>935</v>
      </c>
      <c r="J1" s="4" t="s">
        <v>936</v>
      </c>
      <c r="K1" s="1" t="s">
        <v>6</v>
      </c>
      <c r="L1" s="1" t="s">
        <v>7</v>
      </c>
    </row>
    <row r="2" spans="1:12" x14ac:dyDescent="0.25">
      <c r="A2" s="4" t="s">
        <v>479</v>
      </c>
      <c r="B2" s="20">
        <v>5</v>
      </c>
      <c r="C2" s="20" t="s">
        <v>937</v>
      </c>
      <c r="D2" s="4">
        <v>1</v>
      </c>
      <c r="E2" s="19" t="s">
        <v>572</v>
      </c>
      <c r="F2" s="2" t="s">
        <v>938</v>
      </c>
      <c r="G2" s="12" t="s">
        <v>5</v>
      </c>
      <c r="H2" s="13" t="s">
        <v>939</v>
      </c>
      <c r="I2" s="13" t="s">
        <v>940</v>
      </c>
      <c r="J2" s="4" t="s">
        <v>5</v>
      </c>
      <c r="K2" s="3"/>
      <c r="L2" s="3" t="s">
        <v>8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F12" sqref="F12"/>
    </sheetView>
  </sheetViews>
  <sheetFormatPr defaultRowHeight="15" x14ac:dyDescent="0.25"/>
  <sheetData>
    <row r="1" spans="1:10" x14ac:dyDescent="0.25">
      <c r="A1" s="9" t="s">
        <v>0</v>
      </c>
      <c r="B1" s="9" t="s">
        <v>9</v>
      </c>
      <c r="C1" s="9" t="s">
        <v>941</v>
      </c>
      <c r="D1" s="9" t="s">
        <v>4</v>
      </c>
      <c r="E1" s="9" t="s">
        <v>935</v>
      </c>
      <c r="F1" s="9" t="s">
        <v>942</v>
      </c>
      <c r="G1" s="9" t="s">
        <v>943</v>
      </c>
      <c r="H1" s="9" t="s">
        <v>944</v>
      </c>
      <c r="I1" s="4" t="s">
        <v>936</v>
      </c>
      <c r="J1" s="3" t="s">
        <v>84</v>
      </c>
    </row>
    <row r="2" spans="1:10" x14ac:dyDescent="0.25">
      <c r="A2" s="9" t="s">
        <v>3</v>
      </c>
      <c r="B2" s="2" t="s">
        <v>945</v>
      </c>
      <c r="C2" s="9" t="s">
        <v>946</v>
      </c>
      <c r="D2" s="9" t="s">
        <v>5</v>
      </c>
      <c r="E2" s="9" t="s">
        <v>947</v>
      </c>
      <c r="F2" s="2" t="s">
        <v>948</v>
      </c>
      <c r="G2" s="9" t="s">
        <v>949</v>
      </c>
      <c r="H2" s="9" t="s">
        <v>950</v>
      </c>
      <c r="I2" s="4" t="s">
        <v>951</v>
      </c>
      <c r="J2" s="3" t="s">
        <v>952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15" sqref="F15"/>
    </sheetView>
  </sheetViews>
  <sheetFormatPr defaultRowHeight="15" x14ac:dyDescent="0.25"/>
  <cols>
    <col min="1" max="1" width="11" bestFit="1" customWidth="1"/>
    <col min="2" max="2" width="14.85546875" bestFit="1" customWidth="1"/>
    <col min="3" max="3" width="11" bestFit="1" customWidth="1"/>
    <col min="4" max="4" width="3.28515625" bestFit="1" customWidth="1"/>
    <col min="5" max="5" width="31.85546875" bestFit="1" customWidth="1"/>
    <col min="6" max="6" width="19.28515625" bestFit="1" customWidth="1"/>
    <col min="7" max="7" width="10.5703125" bestFit="1" customWidth="1"/>
    <col min="8" max="8" width="5.28515625" bestFit="1" customWidth="1"/>
  </cols>
  <sheetData>
    <row r="1" spans="1:8" x14ac:dyDescent="0.25">
      <c r="A1" s="3" t="s">
        <v>953</v>
      </c>
      <c r="B1" s="3" t="s">
        <v>954</v>
      </c>
      <c r="C1" s="3" t="s">
        <v>801</v>
      </c>
      <c r="D1" s="4" t="s">
        <v>0</v>
      </c>
      <c r="E1" s="4" t="s">
        <v>9</v>
      </c>
      <c r="F1" s="3" t="s">
        <v>6</v>
      </c>
      <c r="G1" s="4" t="s">
        <v>7</v>
      </c>
      <c r="H1" s="3" t="s">
        <v>84</v>
      </c>
    </row>
    <row r="2" spans="1:8" x14ac:dyDescent="0.25">
      <c r="A2" s="9" t="s">
        <v>955</v>
      </c>
      <c r="B2" s="9" t="s">
        <v>956</v>
      </c>
      <c r="C2" s="9" t="s">
        <v>877</v>
      </c>
      <c r="D2" s="19" t="s">
        <v>3</v>
      </c>
      <c r="E2" s="19" t="s">
        <v>957</v>
      </c>
      <c r="F2" s="21"/>
      <c r="G2" s="3" t="s">
        <v>8</v>
      </c>
      <c r="H2" s="3" t="s">
        <v>952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12" sqref="J12"/>
    </sheetView>
  </sheetViews>
  <sheetFormatPr defaultRowHeight="15" x14ac:dyDescent="0.25"/>
  <sheetData>
    <row r="1" spans="1:4" x14ac:dyDescent="0.25">
      <c r="A1" s="3" t="s">
        <v>0</v>
      </c>
      <c r="B1" s="3" t="s">
        <v>9</v>
      </c>
      <c r="C1" s="3" t="s">
        <v>6</v>
      </c>
      <c r="D1" s="3" t="s">
        <v>7</v>
      </c>
    </row>
    <row r="2" spans="1:4" x14ac:dyDescent="0.25">
      <c r="A2" s="9" t="s">
        <v>3</v>
      </c>
      <c r="B2" s="4" t="s">
        <v>958</v>
      </c>
      <c r="C2" s="3" t="s">
        <v>499</v>
      </c>
      <c r="D2" s="3" t="s">
        <v>8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G15" sqref="G15"/>
    </sheetView>
  </sheetViews>
  <sheetFormatPr defaultRowHeight="15" x14ac:dyDescent="0.25"/>
  <cols>
    <col min="1" max="1" width="18.5703125" bestFit="1" customWidth="1"/>
  </cols>
  <sheetData>
    <row r="1" spans="1:2" x14ac:dyDescent="0.25">
      <c r="A1" s="17" t="s">
        <v>738</v>
      </c>
      <c r="B1" s="3" t="s">
        <v>739</v>
      </c>
    </row>
    <row r="2" spans="1:2" x14ac:dyDescent="0.25">
      <c r="A2" s="3" t="s">
        <v>740</v>
      </c>
      <c r="B2" s="9" t="s">
        <v>741</v>
      </c>
    </row>
    <row r="3" spans="1:2" x14ac:dyDescent="0.25">
      <c r="A3" s="3" t="s">
        <v>742</v>
      </c>
      <c r="B3" s="3" t="s">
        <v>743</v>
      </c>
    </row>
    <row r="4" spans="1:2" x14ac:dyDescent="0.25">
      <c r="A4" s="3" t="s">
        <v>744</v>
      </c>
      <c r="B4" s="9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207</vt:i4>
      </vt:variant>
    </vt:vector>
  </HeadingPairs>
  <TitlesOfParts>
    <vt:vector size="207" baseType="lpstr">
      <vt:lpstr>DSR Profile, Demographics BD</vt:lpstr>
      <vt:lpstr>DSR ProfileAdress Comp BD</vt:lpstr>
      <vt:lpstr>DSR ProfileAddress Busi BD</vt:lpstr>
      <vt:lpstr>DSR ProfileAddress,Resi BD</vt:lpstr>
      <vt:lpstr>DSR Profile Document BD</vt:lpstr>
      <vt:lpstr>DSR Profile Qualification BD</vt:lpstr>
      <vt:lpstr>DSR Profile Prev Exp BD</vt:lpstr>
      <vt:lpstr>DSR Profile Device BD</vt:lpstr>
      <vt:lpstr>DSR Profile DemoForward BD</vt:lpstr>
      <vt:lpstr>DSR Profile, Demographics</vt:lpstr>
      <vt:lpstr>DSR Profile, Demographics2</vt:lpstr>
      <vt:lpstr>DSR Profile, Address</vt:lpstr>
      <vt:lpstr>DSR_Profile_Address_ASSR</vt:lpstr>
      <vt:lpstr>DSR ProfileAddress,Business</vt:lpstr>
      <vt:lpstr>DSR_Profile_Busniess_ASSR</vt:lpstr>
      <vt:lpstr>DSR ProfileAddress,Residenc(3)</vt:lpstr>
      <vt:lpstr>DSR ProfileAddress,Residence</vt:lpstr>
      <vt:lpstr>DSR Profile, Documents (2)</vt:lpstr>
      <vt:lpstr>DSR Profile, Documents</vt:lpstr>
      <vt:lpstr>DSR Profile, Qualification</vt:lpstr>
      <vt:lpstr>DSR_Profile, Qualification_ASSR</vt:lpstr>
      <vt:lpstr>DSR,Previous Experience (2)</vt:lpstr>
      <vt:lpstr>DSR,Previous Experience</vt:lpstr>
      <vt:lpstr>DSR Profile, Device</vt:lpstr>
      <vt:lpstr>DSR_Profile, Device_ASSR</vt:lpstr>
      <vt:lpstr>DSR Profile,DemoForward</vt:lpstr>
      <vt:lpstr>DSR Approval</vt:lpstr>
      <vt:lpstr>DSR Profile, Demographics HQ</vt:lpstr>
      <vt:lpstr>DSR Profile, Address HQ</vt:lpstr>
      <vt:lpstr>DSR_Profile_AddressHQ_ASSR</vt:lpstr>
      <vt:lpstr>DSR ProfileAddress,Business HQ</vt:lpstr>
      <vt:lpstr>DSR_Profile_BusniessHQ_ASSR</vt:lpstr>
      <vt:lpstr>DSR ProfileAddress,Other HQ</vt:lpstr>
      <vt:lpstr>DSR ProfileAddress,Other HQ (3</vt:lpstr>
      <vt:lpstr>DSR Profile, Documents HQ (2)</vt:lpstr>
      <vt:lpstr>DSR Profile, Documents HQ</vt:lpstr>
      <vt:lpstr>DSR Profile, Qualification HQ</vt:lpstr>
      <vt:lpstr>DSR_Profile, QualificatiHQ_ASSR</vt:lpstr>
      <vt:lpstr>DSR,Previous Experience HQ (2)</vt:lpstr>
      <vt:lpstr>DSR,Previous Experience HQ</vt:lpstr>
      <vt:lpstr>DSR Profile, Device HQ</vt:lpstr>
      <vt:lpstr>DSR_Profile, DeviceHQ_ASSR</vt:lpstr>
      <vt:lpstr>DSR Profile,DemoForward HQ</vt:lpstr>
      <vt:lpstr>DSR Profile, Demographics PH</vt:lpstr>
      <vt:lpstr>DSR Profile, Address PH</vt:lpstr>
      <vt:lpstr>DSR_Profile_AddressPH_ASSR</vt:lpstr>
      <vt:lpstr>DSR ProfileAddress,Business PH</vt:lpstr>
      <vt:lpstr>DSR_Profile_BusniessPH_ASSR</vt:lpstr>
      <vt:lpstr>DSR ProfileAddress,Other PH</vt:lpstr>
      <vt:lpstr>DSR Profile, Documents PH</vt:lpstr>
      <vt:lpstr>DSR Profile, Qualification PH</vt:lpstr>
      <vt:lpstr>DSR_Profile, QualificatiPH_ASSR</vt:lpstr>
      <vt:lpstr>DSR,Previous Experience PH</vt:lpstr>
      <vt:lpstr>DSR Profile, Device PH</vt:lpstr>
      <vt:lpstr>DSR_Profile, DevicePH_ASSR</vt:lpstr>
      <vt:lpstr>DSR Profile,DemoForward PH</vt:lpstr>
      <vt:lpstr>Change Track DSR</vt:lpstr>
      <vt:lpstr>Change Track DSR Document</vt:lpstr>
      <vt:lpstr>Change Track Outlet profile</vt:lpstr>
      <vt:lpstr>ChangeTrack_Outlet_profile_ASSR</vt:lpstr>
      <vt:lpstr>Change Track Outlet Oper Info</vt:lpstr>
      <vt:lpstr>Change Track Outlet Document</vt:lpstr>
      <vt:lpstr>Frequency</vt:lpstr>
      <vt:lpstr>Frequency_ASSR</vt:lpstr>
      <vt:lpstr>Segment Setup</vt:lpstr>
      <vt:lpstr>USER LOGIN</vt:lpstr>
      <vt:lpstr>Segment Setup_ASSR</vt:lpstr>
      <vt:lpstr>Section PH</vt:lpstr>
      <vt:lpstr>Section Allowable PH</vt:lpstr>
      <vt:lpstr>Section Forward PH</vt:lpstr>
      <vt:lpstr>Section Reject PH</vt:lpstr>
      <vt:lpstr>Section Setup</vt:lpstr>
      <vt:lpstr>Section Creation HQ</vt:lpstr>
      <vt:lpstr>PJP Creation BG</vt:lpstr>
      <vt:lpstr>PJP Creation HQ</vt:lpstr>
      <vt:lpstr>PJP Configuration HQ</vt:lpstr>
      <vt:lpstr>PJP Creation Forward HQ</vt:lpstr>
      <vt:lpstr>PJP Creation DT</vt:lpstr>
      <vt:lpstr>PJP Configuration DT</vt:lpstr>
      <vt:lpstr>PJP Creation Forward DT</vt:lpstr>
      <vt:lpstr>OutletProfile,Demographics</vt:lpstr>
      <vt:lpstr>OutletProfile,Demographics2</vt:lpstr>
      <vt:lpstr>OutletProfile,Operative Info</vt:lpstr>
      <vt:lpstr>OutletProfile,Operative Info2</vt:lpstr>
      <vt:lpstr>OutletProfile-Address</vt:lpstr>
      <vt:lpstr>OutletProfile_Address_ASSR</vt:lpstr>
      <vt:lpstr>OutletProfile-Address,Business</vt:lpstr>
      <vt:lpstr>Outlet_Address_Business_ASSR</vt:lpstr>
      <vt:lpstr>OutletProfile-Address,Residence</vt:lpstr>
      <vt:lpstr>OutletProfile,Documents (2)</vt:lpstr>
      <vt:lpstr>OutletProfile,Documents</vt:lpstr>
      <vt:lpstr>OutletProfile, Bank2</vt:lpstr>
      <vt:lpstr>OutletProfile, Bank</vt:lpstr>
      <vt:lpstr>OutletProfile,ContactPersonDet3</vt:lpstr>
      <vt:lpstr>OutletProfile,ContactPersonDet</vt:lpstr>
      <vt:lpstr>OutletProfile, CreditLimit3</vt:lpstr>
      <vt:lpstr>OutletProfile, CreditLimit</vt:lpstr>
      <vt:lpstr>outlet Prof,DemographicsForward</vt:lpstr>
      <vt:lpstr>Outlet Approval</vt:lpstr>
      <vt:lpstr>OutletProfile,Demographics HQ</vt:lpstr>
      <vt:lpstr>OutletProfile,Operative Info HQ</vt:lpstr>
      <vt:lpstr>OutletProfile-Address HQ</vt:lpstr>
      <vt:lpstr>OutletProfile_AddressHQ_ASSR</vt:lpstr>
      <vt:lpstr>OutletProfile-Address,BusinesHQ</vt:lpstr>
      <vt:lpstr>Outlet_Address_BusinessHQ_ASSR</vt:lpstr>
      <vt:lpstr>OutletProfileAddressResidenceHQ</vt:lpstr>
      <vt:lpstr>OutletProfile,Documents HQ</vt:lpstr>
      <vt:lpstr>OutletProfile, Bank HQ</vt:lpstr>
      <vt:lpstr>OutletProfileContPersonDet HQ</vt:lpstr>
      <vt:lpstr>OutletProfile, CreditLimit HQ</vt:lpstr>
      <vt:lpstr>OutletProfDemographicsForwardHQ</vt:lpstr>
      <vt:lpstr>Prospect Outlet Demogra</vt:lpstr>
      <vt:lpstr>Prospect_Outlet_Demogra_ASSR</vt:lpstr>
      <vt:lpstr>Prospect Outlet OperInfo</vt:lpstr>
      <vt:lpstr>Prospect_Outlet_OperInfo_ASSR</vt:lpstr>
      <vt:lpstr>Prosoect Outlet Add Other</vt:lpstr>
      <vt:lpstr>Prosoect_Outlet_Add_Other_ASSR</vt:lpstr>
      <vt:lpstr>ProspectOutlet,Documents</vt:lpstr>
      <vt:lpstr>Prospect_Outlet_Documents_ASSR</vt:lpstr>
      <vt:lpstr>Prospect Outlet Approval</vt:lpstr>
      <vt:lpstr>ProspectOutletProfDemo Forward</vt:lpstr>
      <vt:lpstr>Daily Visit Plan</vt:lpstr>
      <vt:lpstr>Daily Visit Plan 2</vt:lpstr>
      <vt:lpstr>PJP Daily</vt:lpstr>
      <vt:lpstr>Distributor,DemographicsDT</vt:lpstr>
      <vt:lpstr>Distributor,Operati,InfoDT (2)</vt:lpstr>
      <vt:lpstr>Distributor,Operati,InfoDT</vt:lpstr>
      <vt:lpstr>Distributor,Other Info1</vt:lpstr>
      <vt:lpstr>Distributor, Address1</vt:lpstr>
      <vt:lpstr>Distributor,Demographics (2)</vt:lpstr>
      <vt:lpstr>Distributor,Demographics</vt:lpstr>
      <vt:lpstr>Distributor,Demographics3</vt:lpstr>
      <vt:lpstr>Distributor,Operative Info</vt:lpstr>
      <vt:lpstr>Distributor_Profile_ASSR</vt:lpstr>
      <vt:lpstr>Distributor,Other Info</vt:lpstr>
      <vt:lpstr>Distributor, Address</vt:lpstr>
      <vt:lpstr>Distributor-Address,Business_DT</vt:lpstr>
      <vt:lpstr>Distributor-Address,Business</vt:lpstr>
      <vt:lpstr>Distributor-Address,Reside_DT</vt:lpstr>
      <vt:lpstr>Distributor-Address,Residence</vt:lpstr>
      <vt:lpstr>Distributor, DocumentsDT</vt:lpstr>
      <vt:lpstr>Distributor, Documents</vt:lpstr>
      <vt:lpstr>Distributor, BankDT</vt:lpstr>
      <vt:lpstr>Distributor, Bank</vt:lpstr>
      <vt:lpstr>Distributor,ContactPersonDetail</vt:lpstr>
      <vt:lpstr>Distributor,ContactPersonDetai2</vt:lpstr>
      <vt:lpstr>Location</vt:lpstr>
      <vt:lpstr>Sheet1</vt:lpstr>
      <vt:lpstr>Location_Classification</vt:lpstr>
      <vt:lpstr>Location Other Info</vt:lpstr>
      <vt:lpstr>Warehouse Profile (2)</vt:lpstr>
      <vt:lpstr>Warehouse Profile</vt:lpstr>
      <vt:lpstr>Transaction Inquiry</vt:lpstr>
      <vt:lpstr>Product Configuration</vt:lpstr>
      <vt:lpstr>Produc_Configuration_ASSR</vt:lpstr>
      <vt:lpstr>Product_Analysis_ASSR</vt:lpstr>
      <vt:lpstr>Other_Info_ASSR</vt:lpstr>
      <vt:lpstr>User</vt:lpstr>
      <vt:lpstr>User2</vt:lpstr>
      <vt:lpstr>User Profile</vt:lpstr>
      <vt:lpstr>Vehicle Profile</vt:lpstr>
      <vt:lpstr>Vehicle Profile2</vt:lpstr>
      <vt:lpstr>Vehicle Color</vt:lpstr>
      <vt:lpstr>Vehicle Make</vt:lpstr>
      <vt:lpstr>Section (2)</vt:lpstr>
      <vt:lpstr>Section</vt:lpstr>
      <vt:lpstr>Section Allowable</vt:lpstr>
      <vt:lpstr>Section Forward</vt:lpstr>
      <vt:lpstr>Section Approval</vt:lpstr>
      <vt:lpstr>PJP Creation</vt:lpstr>
      <vt:lpstr>PJP Configuration</vt:lpstr>
      <vt:lpstr>PJP Creation2</vt:lpstr>
      <vt:lpstr>Approval Screen</vt:lpstr>
      <vt:lpstr>Return Advice</vt:lpstr>
      <vt:lpstr>Return_Advice_ASSR</vt:lpstr>
      <vt:lpstr>Return Advice Detail</vt:lpstr>
      <vt:lpstr>Return_Advice_Detail_ASSR</vt:lpstr>
      <vt:lpstr>Return Advice Forward</vt:lpstr>
      <vt:lpstr>Stock Adjustment SAN</vt:lpstr>
      <vt:lpstr>Stock Adjustment SAN Detail2</vt:lpstr>
      <vt:lpstr>Stock Adjustment SAN Forward</vt:lpstr>
      <vt:lpstr>Stock Inquiry</vt:lpstr>
      <vt:lpstr>Debits Credit Note</vt:lpstr>
      <vt:lpstr>Debits_Credit_Note_ASSR</vt:lpstr>
      <vt:lpstr>Stock Master Inquiry</vt:lpstr>
      <vt:lpstr>GIN GRN Inquiry</vt:lpstr>
      <vt:lpstr>PJP Change Request</vt:lpstr>
      <vt:lpstr>Change Track PJP Request</vt:lpstr>
      <vt:lpstr>Saved_assertion</vt:lpstr>
      <vt:lpstr>Save_assertion</vt:lpstr>
      <vt:lpstr>Forward_assertion</vt:lpstr>
      <vt:lpstr>Process_ASSR</vt:lpstr>
      <vt:lpstr>Forward_ASSR</vt:lpstr>
      <vt:lpstr>Update_assertion</vt:lpstr>
      <vt:lpstr>Change Track PJP Config</vt:lpstr>
      <vt:lpstr>Credit Debit Note Inquiry</vt:lpstr>
      <vt:lpstr>Selling Category (2)</vt:lpstr>
      <vt:lpstr>Selling Category</vt:lpstr>
      <vt:lpstr>Company Mapping</vt:lpstr>
      <vt:lpstr>DSR Mapping HQ</vt:lpstr>
      <vt:lpstr>Distributor Mapping</vt:lpstr>
      <vt:lpstr>DMS_Order_Booking</vt:lpstr>
      <vt:lpstr>DMS_Order_Booking_Detail</vt:lpstr>
      <vt:lpstr>DMS_Order_Booking_Detail2</vt:lpstr>
      <vt:lpstr>Delivery Man Shuffling</vt:lpstr>
      <vt:lpstr>DM_Shuffling_ASSR</vt:lpstr>
      <vt:lpstr>GLOBAL-REPO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Hussain</dc:creator>
  <cp:lastModifiedBy>Huzaifa Saad</cp:lastModifiedBy>
  <dcterms:created xsi:type="dcterms:W3CDTF">2006-09-16T00:00:00Z</dcterms:created>
  <dcterms:modified xsi:type="dcterms:W3CDTF">2026-06-24T07:33:45Z</dcterms:modified>
</cp:coreProperties>
</file>