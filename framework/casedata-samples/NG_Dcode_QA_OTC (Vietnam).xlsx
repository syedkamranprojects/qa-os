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lenium\Automation\VN_QA\casedata\"/>
    </mc:Choice>
  </mc:AlternateContent>
  <bookViews>
    <workbookView xWindow="0" yWindow="0" windowWidth="24000" windowHeight="9510" tabRatio="923" activeTab="5"/>
  </bookViews>
  <sheets>
    <sheet name="Dispatch Advice VN" sheetId="228" r:id="rId1"/>
    <sheet name="Dispatch Advice_ASSR" sheetId="229" r:id="rId2"/>
    <sheet name="Dispatch Advice Detail VN" sheetId="231" r:id="rId3"/>
    <sheet name="Dispatch Advice Detail2 VN" sheetId="233" r:id="rId4"/>
    <sheet name="Dispatch Advice Loss VN" sheetId="234" r:id="rId5"/>
    <sheet name="DA Amount Val R2 VN" sheetId="255" r:id="rId6"/>
    <sheet name="Dispatch Advice Grid VN" sheetId="235" r:id="rId7"/>
    <sheet name="Dispatch Advice Delete" sheetId="236" r:id="rId8"/>
    <sheet name="Dispatch_Advice_Delete_ASSR" sheetId="224" r:id="rId9"/>
    <sheet name="DA_FORWARD_ASSR" sheetId="225" r:id="rId10"/>
    <sheet name="Dispatch Advice Approval VN" sheetId="226" r:id="rId11"/>
    <sheet name="DA Loss Approval R2 VN" sheetId="227" r:id="rId12"/>
    <sheet name="DA_LOSS_APPROVALFRWD_ASSR" sheetId="249" r:id="rId13"/>
    <sheet name="Order Booking_R2 (4)" sheetId="7" r:id="rId14"/>
    <sheet name="Order Booking_R2_VN" sheetId="153" r:id="rId15"/>
    <sheet name="Order Booking Detail_R2_VN" sheetId="8" r:id="rId16"/>
    <sheet name="Order Booking Detail2_R2_VN" sheetId="45" r:id="rId17"/>
    <sheet name="ORD_BOOK_SAVE_ASSR" sheetId="49" r:id="rId18"/>
    <sheet name="Order Editing_R2 VN" sheetId="29" r:id="rId19"/>
    <sheet name="Order Editing Detail_R2 VN" sheetId="30" r:id="rId20"/>
    <sheet name="Order Editing Detail3_R2 VN" sheetId="47" r:id="rId21"/>
    <sheet name="ORD_EDIT_VALD_ASSR" sheetId="51" r:id="rId22"/>
    <sheet name="ORD_EDIT_SAVE_ASSR" sheetId="52" r:id="rId23"/>
    <sheet name="Order_Cancellation_R2_VN" sheetId="27" r:id="rId24"/>
    <sheet name="Order_Cancellation_Detail_R2_VN" sheetId="28" r:id="rId25"/>
    <sheet name="Order_Cancel_Detail_Val_R2_VN" sheetId="144" r:id="rId26"/>
    <sheet name="Approval Screen" sheetId="39" r:id="rId27"/>
    <sheet name="Goods Issue Note R2 VN" sheetId="9" r:id="rId28"/>
    <sheet name="GIN CM Selection R2 VN" sheetId="61" r:id="rId29"/>
    <sheet name="GIN Detail R2 VN" sheetId="10" r:id="rId30"/>
    <sheet name="GIN Forward R2 VN" sheetId="60" r:id="rId31"/>
    <sheet name="Goods Issue Note Detail (2)" sheetId="101" r:id="rId32"/>
    <sheet name="GIN_DTL_SAVE_ASSR" sheetId="53" r:id="rId33"/>
    <sheet name="GIN_FORWARD_ASSR" sheetId="54" r:id="rId34"/>
    <sheet name="Goods Issue Note App R2 VN" sheetId="75" r:id="rId35"/>
    <sheet name="GIN_APPROVAL_SAVE_ASSR" sheetId="71" r:id="rId36"/>
    <sheet name="Order Editing After GIN R2 VN" sheetId="237" r:id="rId37"/>
    <sheet name="Order Editing Det Aft GIN R2 VN" sheetId="238" r:id="rId38"/>
    <sheet name="Order Editing Det2 AftGIN R2 VN" sheetId="239" r:id="rId39"/>
    <sheet name="Order Cancel after GIN R2 VN" sheetId="240" r:id="rId40"/>
    <sheet name="Odr Cancel after GIN det R2 VN" sheetId="241" r:id="rId41"/>
    <sheet name="Odr_Can_afterGINDetail_Val_R2VN" sheetId="242" r:id="rId42"/>
    <sheet name="Distributor selection" sheetId="140" r:id="rId43"/>
    <sheet name="Sales Return R2 VN" sheetId="13" r:id="rId44"/>
    <sheet name="Sales Return Detail R2 VN" sheetId="14" r:id="rId45"/>
    <sheet name="Sales Return Validation R2 VN" sheetId="139" r:id="rId46"/>
    <sheet name="Sales_Retur" sheetId="146" r:id="rId47"/>
    <sheet name="SaleRetDTL_Valid_ASSR" sheetId="56" r:id="rId48"/>
    <sheet name="SaleRetDTL_SAVE_ASSR" sheetId="55" r:id="rId49"/>
    <sheet name="Sales Ret Status Change R2 VN" sheetId="17" r:id="rId50"/>
    <sheet name="Sales Ret Status Change2 R2 VN" sheetId="18" r:id="rId51"/>
    <sheet name="Sales R Status Change Val R2 VN" sheetId="147" r:id="rId52"/>
    <sheet name="SR_StatsChang_DTL_SAVE_ASSR" sheetId="58" r:id="rId53"/>
    <sheet name="Sales Return View R2 VN" sheetId="15" r:id="rId54"/>
    <sheet name="Sales Return View Det Val R2 VN" sheetId="142" r:id="rId55"/>
    <sheet name="SaleRetrunView_ASSR" sheetId="57" r:id="rId56"/>
    <sheet name="Sales Return View App R2 VN" sheetId="16" r:id="rId57"/>
    <sheet name="SaleRetrunViewApprval_ASSR" sheetId="64" r:id="rId58"/>
    <sheet name="Goods Return Note R2 VN" sheetId="23" r:id="rId59"/>
    <sheet name="GRN Detail R2 VN" sheetId="24" r:id="rId60"/>
    <sheet name="GRN Detail Validation R2 VN" sheetId="141" r:id="rId61"/>
    <sheet name="GRN_DTL_SAVE_ASSR" sheetId="72" r:id="rId62"/>
    <sheet name="GRN Forward R2 VN" sheetId="46" r:id="rId63"/>
    <sheet name="GRN_FORWARD_ASSR" sheetId="73" r:id="rId64"/>
    <sheet name="Goods Return Note App R2 VN" sheetId="76" r:id="rId65"/>
    <sheet name="GRN_APPROVAL_ASSR" sheetId="74" r:id="rId66"/>
    <sheet name="Deposit Slip Multi Chq R2 VN" sheetId="19" r:id="rId67"/>
    <sheet name="Deposit Slip Multi Chq1 R2 VN" sheetId="88" r:id="rId68"/>
    <sheet name="DEPOSIT_SAVE_ASSR" sheetId="68" r:id="rId69"/>
    <sheet name="Deposit Slip Chq R2 VN" sheetId="251" r:id="rId70"/>
    <sheet name="Deposit Slip Chq2 R2 VN" sheetId="20" r:id="rId71"/>
    <sheet name="Deposit Slip Cash R2 VN" sheetId="90" r:id="rId72"/>
    <sheet name="Deposit Slip Cash2 R2 VN" sheetId="91" r:id="rId73"/>
    <sheet name="Cheque Status R2 VN" sheetId="86" r:id="rId74"/>
    <sheet name="Cheque_Status_ASSR" sheetId="87" r:id="rId75"/>
    <sheet name="Route Settlement R2 VN" sheetId="41" r:id="rId76"/>
    <sheet name="Route Settlement Val R2 VN" sheetId="149" r:id="rId77"/>
    <sheet name="Route Settlement Val1 R2 VN" sheetId="150" r:id="rId78"/>
    <sheet name="Route Settlement Val2 R2 VN" sheetId="151" r:id="rId79"/>
    <sheet name="Route Settlement Val3 R2 VN" sheetId="152" r:id="rId80"/>
    <sheet name="DSR Adjustment Amount R2 VN" sheetId="21" r:id="rId81"/>
    <sheet name="DSR Adjustment Amount,Det R2 VN" sheetId="22" r:id="rId82"/>
    <sheet name="DSR_ADJ_AMOUNT_ASSR" sheetId="59" r:id="rId83"/>
    <sheet name="GLOBAL-REPO" sheetId="42" r:id="rId84"/>
    <sheet name="DEPOSIT_DTL_SAVE_ASSR" sheetId="67" r:id="rId85"/>
    <sheet name="Deposit Slip,Forward" sheetId="43" r:id="rId86"/>
    <sheet name="Deposit Slip,Approval" sheetId="82" r:id="rId87"/>
    <sheet name="DEPOSITSLIP_FWD_ASSR" sheetId="69" r:id="rId88"/>
    <sheet name="Deposit Slip Update" sheetId="81" r:id="rId89"/>
    <sheet name="Cashmemo Status R2 VN" sheetId="12" r:id="rId90"/>
    <sheet name="ORD_STATUS_SAVE_ASSR" sheetId="62" r:id="rId91"/>
    <sheet name="Stock Allocation" sheetId="36" r:id="rId92"/>
    <sheet name="Stock_Allocation_ASSR" sheetId="84" r:id="rId93"/>
    <sheet name="Stock Unallocation" sheetId="83" r:id="rId94"/>
    <sheet name="Unallocated_ASSR" sheetId="63" r:id="rId95"/>
    <sheet name="Transaction Inquiry" sheetId="37" r:id="rId96"/>
    <sheet name="Delivery Date Change" sheetId="11" r:id="rId97"/>
    <sheet name="DELIVERYDATE_CHNG_ASSR" sheetId="70" r:id="rId98"/>
    <sheet name="Stock Inquiry" sheetId="38" r:id="rId99"/>
    <sheet name="PJP Daily R2 VN" sheetId="77" r:id="rId100"/>
    <sheet name="PJP Daily2 R2 VN" sheetId="78" r:id="rId101"/>
    <sheet name="PJP_Inquiry_ASSR" sheetId="85" r:id="rId102"/>
    <sheet name="Cashmemo Reschedule" sheetId="89" r:id="rId103"/>
    <sheet name="Reschedule_ASSR" sheetId="148" r:id="rId104"/>
    <sheet name="FRESH_SALES_RET_Partial_R2" sheetId="92" r:id="rId105"/>
    <sheet name="FRESH_SALES_RETURN_ASSR" sheetId="93" r:id="rId106"/>
    <sheet name="FRESH_SALES_RET_DTL Partial_R2" sheetId="94" r:id="rId107"/>
    <sheet name="FRESH_SALES_RETURN Val Partial" sheetId="137" r:id="rId108"/>
    <sheet name="FRESH_SALES_RET_Full_R2" sheetId="97" r:id="rId109"/>
    <sheet name="FRESH_SALES_RET_DTL_Full_R2" sheetId="95" r:id="rId110"/>
    <sheet name="FRESH_SALES_RETURN Val_Full" sheetId="138" r:id="rId111"/>
    <sheet name="FRESH_SALES_RETURN_Full_ASSR" sheetId="98" r:id="rId112"/>
    <sheet name="Stock_Val_after_DA_R2_VN" sheetId="103" r:id="rId113"/>
    <sheet name="Stock_Val_after_DA_2_R2_VN" sheetId="106" r:id="rId114"/>
    <sheet name="Stock_Val_after_DA_3_R2_VN" sheetId="104" r:id="rId115"/>
    <sheet name="Stock_Val_after_GIN_R2_VN" sheetId="109" r:id="rId116"/>
    <sheet name="Stock_Val_after_GIN_2_R2_VN" sheetId="110" r:id="rId117"/>
    <sheet name="Stock_Val_after_GIN_3_R2_VN" sheetId="111" r:id="rId118"/>
    <sheet name="Stock_Val_after_GRN_R2_VN" sheetId="112" r:id="rId119"/>
    <sheet name="Stock_Val_after_GRN_2_R2_VN" sheetId="113" r:id="rId120"/>
    <sheet name="Stock_Val_after_GRN_3_R2_VN" sheetId="114" r:id="rId121"/>
    <sheet name="Open_Close_Stock_Val_R2_VN" sheetId="115" r:id="rId122"/>
    <sheet name="Open_Close_Stock_Val2_R2_VN" sheetId="116" r:id="rId123"/>
    <sheet name="Open_Close_Stock_Val3_R2_VN" sheetId="117" r:id="rId124"/>
    <sheet name="screenshot_ASSR" sheetId="105" r:id="rId125"/>
    <sheet name="SAN Admin R2 VN" sheetId="119" r:id="rId126"/>
    <sheet name="SAN Admin Detail R2 VN" sheetId="120" r:id="rId127"/>
    <sheet name="SAN Admin Forward R2 VN" sheetId="121" r:id="rId128"/>
    <sheet name="SAN Ware2Ware R2 VN" sheetId="122" r:id="rId129"/>
    <sheet name="SAN W2W DetailR2 VN" sheetId="123" r:id="rId130"/>
    <sheet name="SAN W2W Forward R2 VN" sheetId="124" r:id="rId131"/>
    <sheet name="SAN Entry R2 VN" sheetId="212" r:id="rId132"/>
    <sheet name="SAN Entry Detail R2 VN" sheetId="213" r:id="rId133"/>
    <sheet name="SAN Entry Forward R2 VN" sheetId="214" r:id="rId134"/>
    <sheet name="SAN_FWD_ASSR" sheetId="125" r:id="rId135"/>
    <sheet name="SAN APP R2 VN" sheetId="154" r:id="rId136"/>
    <sheet name="SAN_APP_ASSR" sheetId="127" r:id="rId137"/>
    <sheet name="Stock_Val_after_SAN_admin_VN" sheetId="128" r:id="rId138"/>
    <sheet name="Stock_Val_after_SAN_admin2_VN" sheetId="129" r:id="rId139"/>
    <sheet name="Stock_Val_after_SAN_admin3_VN" sheetId="130" r:id="rId140"/>
    <sheet name="Stock_Val_after_SAN_W2W_VN" sheetId="131" r:id="rId141"/>
    <sheet name="Stock_Val_after_SAN_W2W2_VN" sheetId="132" r:id="rId142"/>
    <sheet name="Stock_Val_after_SAN_W2W3_VN" sheetId="133" r:id="rId143"/>
    <sheet name="Stock_Val_after_SAN_entry_VN" sheetId="215" r:id="rId144"/>
    <sheet name="Stock_Val_after_SAN_entry2_VN" sheetId="216" r:id="rId145"/>
    <sheet name="Stock_Val_after_SAN_entry3_VN" sheetId="217" r:id="rId146"/>
    <sheet name="OTC Stock Out R2 VN" sheetId="134" r:id="rId147"/>
    <sheet name="OTC Stock Out Det R2 VN" sheetId="135" r:id="rId148"/>
    <sheet name="OTC Stock Out Fwd R2 VN" sheetId="136" r:id="rId149"/>
    <sheet name="Amount_Val_Aft_Order_Edit_R2_VN" sheetId="243" r:id="rId150"/>
    <sheet name="Amt_Val_After_Edit_detail_R2_VN" sheetId="244" r:id="rId151"/>
    <sheet name="Amt_Val_Aft_Edit_tot_off1_R2_VN" sheetId="245" r:id="rId152"/>
    <sheet name="Amt_Val_Aft_Edit_tot_off2_R2_VN" sheetId="252" r:id="rId153"/>
    <sheet name="Amt_Val_Aft_Edit_tot_tax_R2_VN" sheetId="246" r:id="rId154"/>
    <sheet name="Amt_Val_Aft_Edit_add_chrg_R2_VN" sheetId="247" r:id="rId155"/>
    <sheet name="Amt_Val_After_Edit_header_R2_VN" sheetId="248" r:id="rId156"/>
    <sheet name="Transaction_inquiry_val_R2" sheetId="163" r:id="rId157"/>
    <sheet name="Trans_inq_detail_val_R2" sheetId="156" r:id="rId158"/>
    <sheet name="Trans_inq_totalOffer_val_R2_1" sheetId="158" r:id="rId159"/>
    <sheet name="Trans_inq_totalOffer_val_R2_2" sheetId="166" r:id="rId160"/>
    <sheet name="Trans_inq_header_val_R2" sheetId="157" r:id="rId161"/>
    <sheet name="Trans_inq_total_tax_val_R2" sheetId="159" r:id="rId162"/>
    <sheet name="Trans_inq_add_charges_val_R2" sheetId="190" r:id="rId163"/>
    <sheet name="ReceivedAmt_Val_TransInq_R2_1" sheetId="164" r:id="rId164"/>
    <sheet name="ReceivedAmt_Val_TransInq_R2_2" sheetId="165" r:id="rId165"/>
    <sheet name="Charges_Val_Transaction_Inq_R2" sheetId="169" r:id="rId166"/>
    <sheet name="Charges_Val_Total_Tax_R2" sheetId="170" r:id="rId167"/>
    <sheet name="Charges_Val_Header_R2" sheetId="171" r:id="rId168"/>
    <sheet name="Amt_Val_AfterGIN_Odr_Edit_R2_VN" sheetId="173" r:id="rId169"/>
    <sheet name="Amt_Val_AftGIN_Edit_detail_R2VN" sheetId="219" r:id="rId170"/>
    <sheet name="Amt_Val_Aft_GIN_Edt_tot_offR2VN" sheetId="191" r:id="rId171"/>
    <sheet name="Amt_Val_AftGIN_Edt_tot_tax_R2VN" sheetId="174" r:id="rId172"/>
    <sheet name="Amt_Val_AftGIN_Edt_addchargR2VN" sheetId="193" r:id="rId173"/>
    <sheet name="Amt_Val_AfTGIN_Edit_header_R2VN" sheetId="175" r:id="rId174"/>
    <sheet name="Amount_after_Sale_return_R2_VN" sheetId="176" r:id="rId175"/>
    <sheet name="Amt_after_SaleRet_detail_R2_VN" sheetId="220" r:id="rId176"/>
    <sheet name="Amt_aftr_SaleRet_TotalTax_R2_VN" sheetId="177" r:id="rId177"/>
    <sheet name="Amt_aft_SaleRet_TotOff_1_R2_VN" sheetId="194" r:id="rId178"/>
    <sheet name="Amt_aft_SaleRet_TotOff_2_R2_VN" sheetId="196" r:id="rId179"/>
    <sheet name="Amt_aft_SaleRet_AddCharge_R2_VN" sheetId="195" r:id="rId180"/>
    <sheet name="Amt_after_SaleRet_Header_R2_VN" sheetId="178" r:id="rId181"/>
    <sheet name="Deposit_Slip_Cash_Full_1_R2_VN" sheetId="179" r:id="rId182"/>
    <sheet name="Deposit_Slip_Cash_Full_2_R2_VN" sheetId="180" r:id="rId183"/>
    <sheet name="Deposit_Slip_Cheq_Full_1_R2_VN" sheetId="181" r:id="rId184"/>
    <sheet name="Deposit_Slip_Cheq_Full_2_R2_VN" sheetId="182" r:id="rId185"/>
    <sheet name="Deposit_Slip_Creation_R2" sheetId="183" r:id="rId186"/>
    <sheet name="Deposit_Slip_Cashmemo_Save_R2" sheetId="184" r:id="rId187"/>
    <sheet name="Deposit_Slip_UnPosted_Val_R2" sheetId="185" r:id="rId188"/>
    <sheet name="DepSlip_ReceivedAmount_Val_1_R2" sheetId="186" r:id="rId189"/>
    <sheet name="DepSlip_ReceivedAmount_Val_2_R2" sheetId="187" r:id="rId190"/>
    <sheet name="DepSlip_Balance0_Val_R2" sheetId="254" r:id="rId191"/>
    <sheet name="Cash_DepSlip_Bal_0_Val_R2_VN" sheetId="188" r:id="rId192"/>
    <sheet name="Cheque_DepSlip_Bal_0_Val_R2_VN" sheetId="189" r:id="rId193"/>
    <sheet name="Amt_Val_Full_Fresh_return_R2" sheetId="198" r:id="rId194"/>
    <sheet name="Amt_Val_F_FreshRet_detail_R2" sheetId="221" r:id="rId195"/>
    <sheet name="Amt_Val_F_FreshRet_TotalTax_R2" sheetId="199" r:id="rId196"/>
    <sheet name="Amt_Val_F_FreshRe_TotalOff_1_R2" sheetId="200" r:id="rId197"/>
    <sheet name="Amt_Val_F_FreshRe_TotalOff_2_R2" sheetId="201" r:id="rId198"/>
    <sheet name="Amt_Val_F_FreshRe_AddCharges_R2" sheetId="202" r:id="rId199"/>
    <sheet name="Amt_Val_F_FreshRet_Header_R2" sheetId="203" r:id="rId200"/>
    <sheet name="Amt_Val_Partial_Fresh_return_R2" sheetId="205" r:id="rId201"/>
    <sheet name="Amt_Val_P_FreshRet_detail_R2" sheetId="222" r:id="rId202"/>
    <sheet name="Amt_Val_P_FreshRet_TotalTax_R2" sheetId="206" r:id="rId203"/>
    <sheet name="Amt_Val_P_FreshRe_TotalOff_1_R2" sheetId="207" r:id="rId204"/>
    <sheet name="Amt_Val_P_FreshRe_TotalOff_2_R2" sheetId="208" r:id="rId205"/>
    <sheet name="Amt_Val_P_FreshRe_AddCharges_R2" sheetId="209" r:id="rId206"/>
    <sheet name="Amt_Val_P_FreshRet_Header_R2" sheetId="210" r:id="rId207"/>
  </sheets>
  <calcPr calcId="162913"/>
</workbook>
</file>

<file path=xl/calcChain.xml><?xml version="1.0" encoding="utf-8"?>
<calcChain xmlns="http://schemas.openxmlformats.org/spreadsheetml/2006/main">
  <c r="B2" i="86" l="1"/>
  <c r="D7" i="169" l="1"/>
  <c r="D6" i="169"/>
  <c r="D5" i="169"/>
  <c r="D4" i="169"/>
  <c r="D3" i="169"/>
  <c r="D2" i="169"/>
  <c r="C7" i="169"/>
  <c r="C6" i="169"/>
  <c r="C5" i="169"/>
  <c r="C4" i="169"/>
  <c r="C3" i="169"/>
  <c r="C2" i="169"/>
  <c r="C2" i="164"/>
  <c r="E2" i="78"/>
  <c r="C2" i="198"/>
  <c r="C2" i="176"/>
  <c r="B2" i="17"/>
  <c r="B2" i="16"/>
  <c r="E2" i="237" l="1"/>
  <c r="D2" i="27"/>
  <c r="A2" i="226" l="1"/>
  <c r="C2" i="228" l="1"/>
  <c r="C2" i="173"/>
  <c r="D2" i="243"/>
  <c r="C2" i="243"/>
  <c r="E2" i="240" l="1"/>
  <c r="F2" i="237"/>
  <c r="D2" i="205" l="1"/>
  <c r="D2" i="198"/>
  <c r="B2" i="182"/>
  <c r="D2" i="176"/>
  <c r="D2" i="173"/>
  <c r="D2" i="164"/>
  <c r="F2" i="215"/>
  <c r="F2" i="131"/>
  <c r="F2" i="128"/>
  <c r="F2" i="115"/>
  <c r="F2" i="112"/>
  <c r="F2" i="109"/>
  <c r="F2" i="103"/>
  <c r="C2" i="97"/>
  <c r="B2" i="97"/>
  <c r="C2" i="92"/>
  <c r="B2" i="92"/>
  <c r="A2" i="77"/>
  <c r="B2" i="11"/>
  <c r="A2" i="11"/>
  <c r="A2" i="83"/>
  <c r="A2" i="36"/>
  <c r="B2" i="22"/>
  <c r="A2" i="22"/>
  <c r="A2" i="41"/>
  <c r="B2" i="20"/>
  <c r="C2" i="16"/>
  <c r="C2" i="15"/>
  <c r="B2" i="15"/>
  <c r="C2" i="13"/>
  <c r="B2" i="13"/>
  <c r="E2" i="27"/>
  <c r="F2" i="29"/>
  <c r="E2" i="29"/>
  <c r="D2" i="163"/>
  <c r="C2" i="163"/>
  <c r="J2" i="228" l="1"/>
  <c r="H2" i="228"/>
  <c r="F2" i="228"/>
  <c r="B2" i="89" l="1"/>
  <c r="H2" i="9" l="1"/>
  <c r="A2" i="89" l="1"/>
  <c r="D2" i="38"/>
  <c r="C2" i="37"/>
  <c r="D2" i="37"/>
  <c r="B3" i="88" l="1"/>
  <c r="B4" i="88"/>
  <c r="B5" i="88"/>
  <c r="B2" i="88" l="1"/>
</calcChain>
</file>

<file path=xl/sharedStrings.xml><?xml version="1.0" encoding="utf-8"?>
<sst xmlns="http://schemas.openxmlformats.org/spreadsheetml/2006/main" count="3411" uniqueCount="649">
  <si>
    <t>Order Booker/Spot Seller</t>
  </si>
  <si>
    <t>PJP</t>
  </si>
  <si>
    <t>Selling Category</t>
  </si>
  <si>
    <t>Section</t>
  </si>
  <si>
    <t>Outlet Name</t>
  </si>
  <si>
    <t>Comments</t>
  </si>
  <si>
    <t>PK</t>
  </si>
  <si>
    <t>Order Booker</t>
  </si>
  <si>
    <t>OrderCS</t>
  </si>
  <si>
    <t>OrderPC</t>
  </si>
  <si>
    <t>0</t>
  </si>
  <si>
    <t>Delivery Man PJP</t>
  </si>
  <si>
    <t>Delivery Man DSR</t>
  </si>
  <si>
    <t>Warehouse</t>
  </si>
  <si>
    <t>Vehicle</t>
  </si>
  <si>
    <t>Suggested Type</t>
  </si>
  <si>
    <t>Delivery Date</t>
  </si>
  <si>
    <t>Cashmemo List</t>
  </si>
  <si>
    <t>74 - Sect to Locus</t>
  </si>
  <si>
    <t>Actual CS</t>
  </si>
  <si>
    <t>Actual DZ</t>
  </si>
  <si>
    <t>Actual PC</t>
  </si>
  <si>
    <t>Order Date</t>
  </si>
  <si>
    <t>PJP Number</t>
  </si>
  <si>
    <t>Date From</t>
  </si>
  <si>
    <t>Date To</t>
  </si>
  <si>
    <t>Reason Type</t>
  </si>
  <si>
    <t>PC</t>
  </si>
  <si>
    <t>Shop Closed</t>
  </si>
  <si>
    <t>PJP-DSR</t>
  </si>
  <si>
    <t>Type</t>
  </si>
  <si>
    <t>Bank</t>
  </si>
  <si>
    <t>Bank Branch</t>
  </si>
  <si>
    <t>Deposit Amount</t>
  </si>
  <si>
    <t>Cheque No</t>
  </si>
  <si>
    <t>Cheque Date</t>
  </si>
  <si>
    <t>Bank_Name</t>
  </si>
  <si>
    <t>1234567</t>
  </si>
  <si>
    <t>Amount</t>
  </si>
  <si>
    <t>AUTO</t>
  </si>
  <si>
    <t>Start Date</t>
  </si>
  <si>
    <t>End Date</t>
  </si>
  <si>
    <t>CS</t>
  </si>
  <si>
    <t>1</t>
  </si>
  <si>
    <t>Date</t>
  </si>
  <si>
    <t>01</t>
  </si>
  <si>
    <t>Cancellation Reason</t>
  </si>
  <si>
    <t>Reference Number</t>
  </si>
  <si>
    <t>STPONERR</t>
  </si>
  <si>
    <t>N</t>
  </si>
  <si>
    <t>OrderDZ</t>
  </si>
  <si>
    <t>Selling category</t>
  </si>
  <si>
    <t>Product</t>
  </si>
  <si>
    <t>Stock Type</t>
  </si>
  <si>
    <t>Batch</t>
  </si>
  <si>
    <t>CS2</t>
  </si>
  <si>
    <t>Sound</t>
  </si>
  <si>
    <t>1-1</t>
  </si>
  <si>
    <t>50</t>
  </si>
  <si>
    <t>12</t>
  </si>
  <si>
    <t>45</t>
  </si>
  <si>
    <t>11</t>
  </si>
  <si>
    <t>Stock</t>
  </si>
  <si>
    <t>comments</t>
  </si>
  <si>
    <t>Search record name</t>
  </si>
  <si>
    <t>Auto</t>
  </si>
  <si>
    <t>Document Type</t>
  </si>
  <si>
    <t>Document Status</t>
  </si>
  <si>
    <t>Document Date From</t>
  </si>
  <si>
    <t>Document Date To</t>
  </si>
  <si>
    <t>Sales</t>
  </si>
  <si>
    <t>All</t>
  </si>
  <si>
    <t>Period Type</t>
  </si>
  <si>
    <t>Balance Date</t>
  </si>
  <si>
    <t>DAILY</t>
  </si>
  <si>
    <t>distributors</t>
  </si>
  <si>
    <t>SO Number</t>
  </si>
  <si>
    <t>ProductDesc</t>
  </si>
  <si>
    <t>02</t>
  </si>
  <si>
    <t>03</t>
  </si>
  <si>
    <t>Automation Approval</t>
  </si>
  <si>
    <t>01-01</t>
  </si>
  <si>
    <t>01-02</t>
  </si>
  <si>
    <t>60</t>
  </si>
  <si>
    <t>Lost</t>
  </si>
  <si>
    <t>2</t>
  </si>
  <si>
    <t>4</t>
  </si>
  <si>
    <t>04</t>
  </si>
  <si>
    <t>REPOID</t>
  </si>
  <si>
    <t>REPOVALUE</t>
  </si>
  <si>
    <t>REPO_ORGA</t>
  </si>
  <si>
    <t>Document Date</t>
  </si>
  <si>
    <t>55</t>
  </si>
  <si>
    <t>Automation_Testing_Section</t>
  </si>
  <si>
    <t>Outlet Code</t>
  </si>
  <si>
    <t>comments1</t>
  </si>
  <si>
    <t>Approval</t>
  </si>
  <si>
    <t>REPO_REF_ORDER_NO</t>
  </si>
  <si>
    <t>101020304050 - Automation_Testing_Section</t>
  </si>
  <si>
    <t>Gross Amount</t>
  </si>
  <si>
    <t>Discount</t>
  </si>
  <si>
    <t>Tax</t>
  </si>
  <si>
    <t>Net Amount</t>
  </si>
  <si>
    <t>REPO_CMDOCTYPE</t>
  </si>
  <si>
    <t>CM-01</t>
  </si>
  <si>
    <t>Trade Price</t>
  </si>
  <si>
    <t>02-01</t>
  </si>
  <si>
    <t>02-02</t>
  </si>
  <si>
    <t>03-01</t>
  </si>
  <si>
    <t>03-02</t>
  </si>
  <si>
    <t>04-01</t>
  </si>
  <si>
    <t>04-02</t>
  </si>
  <si>
    <t>Selling Category 001</t>
  </si>
  <si>
    <t>Automation Positive 01</t>
  </si>
  <si>
    <t>Automation Positive 04</t>
  </si>
  <si>
    <t>Automation Positive 03</t>
  </si>
  <si>
    <t>Automation Positive 02</t>
  </si>
  <si>
    <t>Automation Positive 05</t>
  </si>
  <si>
    <t>Automation Positive 06</t>
  </si>
  <si>
    <t>05</t>
  </si>
  <si>
    <t>06</t>
  </si>
  <si>
    <t>05-01</t>
  </si>
  <si>
    <t>05-02</t>
  </si>
  <si>
    <t>06-01</t>
  </si>
  <si>
    <t>06-02</t>
  </si>
  <si>
    <t>07-01</t>
  </si>
  <si>
    <t>07-02</t>
  </si>
  <si>
    <t>EXPECTED_MESSAGE</t>
  </si>
  <si>
    <t>CASE_TYPE</t>
  </si>
  <si>
    <t>TN</t>
  </si>
  <si>
    <t>Order Save successfully</t>
  </si>
  <si>
    <t>Saved successfully</t>
  </si>
  <si>
    <t>Forwarded successfully</t>
  </si>
  <si>
    <t>PK_DESC</t>
  </si>
  <si>
    <t>DA Positive Case 01</t>
  </si>
  <si>
    <t>OB Positive 01</t>
  </si>
  <si>
    <t>OB Positive 03</t>
  </si>
  <si>
    <t>OB Positive 05</t>
  </si>
  <si>
    <t>OB Positive 06</t>
  </si>
  <si>
    <t>OB Positive 02</t>
  </si>
  <si>
    <t>OB Positive 01-01</t>
  </si>
  <si>
    <t>OB Positive 02-01</t>
  </si>
  <si>
    <t>OB Positive 02-02</t>
  </si>
  <si>
    <t>OB Positive 03-01</t>
  </si>
  <si>
    <t>OB Positive 03-02</t>
  </si>
  <si>
    <t>OB Positive 04-01</t>
  </si>
  <si>
    <t>OB Positive 04-02</t>
  </si>
  <si>
    <t>OB Positive 05-01</t>
  </si>
  <si>
    <t>OB Positive 05-02</t>
  </si>
  <si>
    <t>OB Positive 06-01</t>
  </si>
  <si>
    <t>OB Positive 06-02</t>
  </si>
  <si>
    <t>OB Positive 07-01</t>
  </si>
  <si>
    <t>OB Positive 07-02</t>
  </si>
  <si>
    <t>OB Positive 01-02</t>
  </si>
  <si>
    <t>OB Positive Validation 01</t>
  </si>
  <si>
    <t>OB Positive Validation 02</t>
  </si>
  <si>
    <t>OB Positive Validation 03</t>
  </si>
  <si>
    <t>OB Positive Validation 04</t>
  </si>
  <si>
    <t>OB Positive Validation 05</t>
  </si>
  <si>
    <t>OB Positive Validation 06</t>
  </si>
  <si>
    <t>OB Positive Assertion 01</t>
  </si>
  <si>
    <t>OB Positive Assertion 02</t>
  </si>
  <si>
    <t>OB Positive Assertion 03</t>
  </si>
  <si>
    <t>OB Positive Assertion 04</t>
  </si>
  <si>
    <t>OB Positive Assertion 05</t>
  </si>
  <si>
    <t>OB Positive Assertion 06</t>
  </si>
  <si>
    <t>Order Editing Positive 01</t>
  </si>
  <si>
    <t>OB Positive 04 For Edition Bf GIN</t>
  </si>
  <si>
    <t>Order Editing Assertion Validation 01</t>
  </si>
  <si>
    <t>Order Editing Assertion Save 01</t>
  </si>
  <si>
    <t>Validation successfully</t>
  </si>
  <si>
    <t>Order Cancelled Successfully</t>
  </si>
  <si>
    <t>EXPECTED_INPUT</t>
  </si>
  <si>
    <t>Saved Succesfully.</t>
  </si>
  <si>
    <t>GIN Save Positive</t>
  </si>
  <si>
    <t>GIN Forward Positive</t>
  </si>
  <si>
    <t>Record Saved Successfully!</t>
  </si>
  <si>
    <t>Save successfully</t>
  </si>
  <si>
    <t>SR Detail Validation Positive</t>
  </si>
  <si>
    <t>SR  Detail Save Positive</t>
  </si>
  <si>
    <t>SR Status Change Save Positive</t>
  </si>
  <si>
    <t>Aautomation_Outlet_05</t>
  </si>
  <si>
    <t>1000000004-Aautomation_Outlet_04</t>
  </si>
  <si>
    <t>Aautomation</t>
  </si>
  <si>
    <t>1000000005-Aautomation_Outlet_05</t>
  </si>
  <si>
    <t>1000000001-Aautomation_Outlet_01</t>
  </si>
  <si>
    <t>1000000002-Aautomation_Outlet_02</t>
  </si>
  <si>
    <t>1000000003-Aautomation_Outlet_03</t>
  </si>
  <si>
    <t>Order Cancel Positive 01</t>
  </si>
  <si>
    <t>Aauto</t>
  </si>
  <si>
    <t>Record Saved Successfully</t>
  </si>
  <si>
    <t>DSR Name</t>
  </si>
  <si>
    <t>Success</t>
  </si>
  <si>
    <t>Updated successfully</t>
  </si>
  <si>
    <t>Cashmemo Status Save Positive</t>
  </si>
  <si>
    <t>Process completed successfully</t>
  </si>
  <si>
    <t>Stock unallocate Positive</t>
  </si>
  <si>
    <t>SR View Approval Save Positive</t>
  </si>
  <si>
    <t>Deposit Slip Detail Save Positive</t>
  </si>
  <si>
    <t>Deposit Slip Save Positive</t>
  </si>
  <si>
    <t>Deposit Slip Forward Positive</t>
  </si>
  <si>
    <t>Delivery Date Change Positive</t>
  </si>
  <si>
    <t>GIN Approval Positive</t>
  </si>
  <si>
    <t>GRN Forward Positive</t>
  </si>
  <si>
    <t>GRN Approval Positive</t>
  </si>
  <si>
    <t>Record saved successfully!</t>
  </si>
  <si>
    <t>Delivery Date has been changed successfully, processed orders: #</t>
  </si>
  <si>
    <t>Y</t>
  </si>
  <si>
    <t>Check_Validation</t>
  </si>
  <si>
    <t>REPO_DISTRIBUTOR</t>
  </si>
  <si>
    <t>PCOL25010842</t>
  </si>
  <si>
    <t>Working Date</t>
  </si>
  <si>
    <t>DSR Files Status</t>
  </si>
  <si>
    <t>End Of Day</t>
  </si>
  <si>
    <t>DSR</t>
  </si>
  <si>
    <t>CHECK_VALIDATION</t>
  </si>
  <si>
    <t>Complete</t>
  </si>
  <si>
    <t>Cheque</t>
  </si>
  <si>
    <t>Citi Bank N.A</t>
  </si>
  <si>
    <t>1000000006-Aautomation_Outlet_06</t>
  </si>
  <si>
    <t>DEPOSIT Slip Positive</t>
  </si>
  <si>
    <t>Mark Status</t>
  </si>
  <si>
    <t>Record Updated Successfully</t>
  </si>
  <si>
    <t>Cheque Status Positive</t>
  </si>
  <si>
    <t>Auto1</t>
  </si>
  <si>
    <t>Cheque. No</t>
  </si>
  <si>
    <t>500</t>
  </si>
  <si>
    <t>12222</t>
  </si>
  <si>
    <t>Auto2</t>
  </si>
  <si>
    <t>08-01</t>
  </si>
  <si>
    <t>OB Positive 08-01</t>
  </si>
  <si>
    <t>40</t>
  </si>
  <si>
    <t>800</t>
  </si>
  <si>
    <t>22337</t>
  </si>
  <si>
    <t>12444</t>
  </si>
  <si>
    <t>01-03</t>
  </si>
  <si>
    <t>01-04</t>
  </si>
  <si>
    <t>Cash</t>
  </si>
  <si>
    <t>010206</t>
  </si>
  <si>
    <t>06108843</t>
  </si>
  <si>
    <t>06108843~IBRAHIM TRADERS</t>
  </si>
  <si>
    <t>Loss Reason</t>
  </si>
  <si>
    <t>Actual CS2</t>
  </si>
  <si>
    <t>Loss Reason2</t>
  </si>
  <si>
    <t>CS1</t>
  </si>
  <si>
    <t>Good Return Note Detail Positive 01</t>
  </si>
  <si>
    <t>Good Return Note Detail Positive 02</t>
  </si>
  <si>
    <t>Stock Out</t>
  </si>
  <si>
    <t>Damaged</t>
  </si>
  <si>
    <t>23</t>
  </si>
  <si>
    <t>Owner Not Available</t>
  </si>
  <si>
    <t>Damage Stock</t>
  </si>
  <si>
    <t>100</t>
  </si>
  <si>
    <t>200</t>
  </si>
  <si>
    <t>Automation_Outlet_02</t>
  </si>
  <si>
    <t>Auto_thai_</t>
  </si>
  <si>
    <t>Auto_Thai_DM</t>
  </si>
  <si>
    <t>0022-Auto_Thai_DM</t>
  </si>
  <si>
    <t>0011-Auto_Thai_OB</t>
  </si>
  <si>
    <t>Aautomation_Outlet_01</t>
  </si>
  <si>
    <t>Stock Validation After DA</t>
  </si>
  <si>
    <t>Category</t>
  </si>
  <si>
    <t>Brand</t>
  </si>
  <si>
    <t>Stock Validation After DA Inquiry</t>
  </si>
  <si>
    <t>In CS</t>
  </si>
  <si>
    <t>Out CS</t>
  </si>
  <si>
    <t>Automation</t>
  </si>
  <si>
    <t>In PC</t>
  </si>
  <si>
    <t>Out PC</t>
  </si>
  <si>
    <t>C0000000048-Automation</t>
  </si>
  <si>
    <t>Opening CS</t>
  </si>
  <si>
    <t>Closing CS</t>
  </si>
  <si>
    <t>1000000006</t>
  </si>
  <si>
    <t>5</t>
  </si>
  <si>
    <t>SAN Type</t>
  </si>
  <si>
    <t>From Warehouse</t>
  </si>
  <si>
    <t>SAN_TYPE</t>
  </si>
  <si>
    <t>Stock Adjustment Admin</t>
  </si>
  <si>
    <t>Stock Adjustment SAN (Admin)</t>
  </si>
  <si>
    <t/>
  </si>
  <si>
    <t>01-Sound</t>
  </si>
  <si>
    <t>To Warehouse</t>
  </si>
  <si>
    <t>Warehouse To Warehouse Transfer</t>
  </si>
  <si>
    <t>Stock Adjustment SAN (Warehouse to Warehouse)</t>
  </si>
  <si>
    <t>Warehouse To Warehouse</t>
  </si>
  <si>
    <t>Stock Adjustment SAN ASSR</t>
  </si>
  <si>
    <t>Stock Adjustment SAN Approval ASSR</t>
  </si>
  <si>
    <t>Stock Validation After SAN Admin</t>
  </si>
  <si>
    <t>SAN Warehouse B</t>
  </si>
  <si>
    <t>Stock Validation After SAN Warehouse to Warehouse</t>
  </si>
  <si>
    <t>SAN Warehouse</t>
  </si>
  <si>
    <t>In CS2</t>
  </si>
  <si>
    <t>Out CS2</t>
  </si>
  <si>
    <t>SAN Warehouse A</t>
  </si>
  <si>
    <t>OTC Stock Out</t>
  </si>
  <si>
    <t>FRESH_SALES_RETURN Val Partial' Validation 01</t>
  </si>
  <si>
    <t>FRESH_SALES_RETURN Val_Full' Validation 01</t>
  </si>
  <si>
    <t>Sales Return Validation 01</t>
  </si>
  <si>
    <t>Saved successfully.</t>
  </si>
  <si>
    <t>Distributor</t>
  </si>
  <si>
    <t>Rate</t>
  </si>
  <si>
    <t>Good Return Note Detail_Validation 01</t>
  </si>
  <si>
    <t>Area Closed</t>
  </si>
  <si>
    <t>Sales Return View_Validation 01</t>
  </si>
  <si>
    <t>Markup</t>
  </si>
  <si>
    <t>NIV</t>
  </si>
  <si>
    <t>1000000004</t>
  </si>
  <si>
    <t>Order Cancellation Detail_Val Positive 01</t>
  </si>
  <si>
    <t>Weight (Kg)</t>
  </si>
  <si>
    <t>Sales R Status Change Validation 01</t>
  </si>
  <si>
    <t>125.42</t>
  </si>
  <si>
    <t>200.00</t>
  </si>
  <si>
    <t>20.00</t>
  </si>
  <si>
    <t>Sale Value</t>
  </si>
  <si>
    <t>Adjusted Credit Note Amount</t>
  </si>
  <si>
    <t>Fresh Return Value</t>
  </si>
  <si>
    <t>Route Settlement Validation Positive 02</t>
  </si>
  <si>
    <t>Route Settlement Validation1 Positive 03</t>
  </si>
  <si>
    <t>Payable Amount</t>
  </si>
  <si>
    <t>Received Amount</t>
  </si>
  <si>
    <t>Received Amount1</t>
  </si>
  <si>
    <t>Cash Shortage</t>
  </si>
  <si>
    <t>Route Settlement Validation3 t Positive 05</t>
  </si>
  <si>
    <t>1,254.17</t>
  </si>
  <si>
    <t xml:space="preserve"> </t>
  </si>
  <si>
    <t>105.89</t>
  </si>
  <si>
    <t>1,164.75</t>
  </si>
  <si>
    <t>320.73</t>
  </si>
  <si>
    <t>102.20</t>
  </si>
  <si>
    <t>11.78</t>
  </si>
  <si>
    <t>129.58</t>
  </si>
  <si>
    <t>Automation approval</t>
  </si>
  <si>
    <t>SAN Approval Case '01</t>
  </si>
  <si>
    <t>01-05</t>
  </si>
  <si>
    <t>Tax Amount</t>
  </si>
  <si>
    <t>Charges Amount</t>
  </si>
  <si>
    <t>Sa</t>
  </si>
  <si>
    <t>Validating Received Amount (Positive)</t>
  </si>
  <si>
    <t>Entering Required Details (Positive)</t>
  </si>
  <si>
    <t>1000000001</t>
  </si>
  <si>
    <t>1000000002</t>
  </si>
  <si>
    <t>1000000003</t>
  </si>
  <si>
    <t>1000000005</t>
  </si>
  <si>
    <t>0001 - Value Added Tax Positive 01</t>
  </si>
  <si>
    <t>Tax Amount Validation from Header Positive 01</t>
  </si>
  <si>
    <t>Sales Return</t>
  </si>
  <si>
    <t>Sale Return After Heder Tax Positive 01</t>
  </si>
  <si>
    <t>1122233</t>
  </si>
  <si>
    <t>DEPOSIT Slip Unposted Positive</t>
  </si>
  <si>
    <t>Un Posted Amount</t>
  </si>
  <si>
    <t>Deposit Selip Val Unpostedl_Validation 01</t>
  </si>
  <si>
    <t>Deposit Selip Val Unpostedl_Validation 02</t>
  </si>
  <si>
    <t>Depopsit slip cash after order removal Positive</t>
  </si>
  <si>
    <t>Depopsit slip cheque after order removal Positive</t>
  </si>
  <si>
    <t>Transaction Inquiry Val After OB Additional Charges Positive 01</t>
  </si>
  <si>
    <t>Transaction Inquiry Val After OB Total Tax Positive 01</t>
  </si>
  <si>
    <t>Transaction Inquiry Val After OB Total Offering Positive 01</t>
  </si>
  <si>
    <t>Transaction Inquiry Val After OB Header Positive 01</t>
  </si>
  <si>
    <t>Transaction Inquiry Val After OB Total Offering Positive 04</t>
  </si>
  <si>
    <t>Transaction Inquiry Val After OB Total Offering Positive 03</t>
  </si>
  <si>
    <t>Transaction Inquiry Val After OB Total Offering Positive 02</t>
  </si>
  <si>
    <t>Transaction Inquiry Val After OB Total Offering Positive 05</t>
  </si>
  <si>
    <t>Transaction Inquiry Val After OB Total Offering Positive 06</t>
  </si>
  <si>
    <t>Transaction Inquiry Val After OB Detail Positive 01</t>
  </si>
  <si>
    <t>Transaction Inquiry Val After OB Detail Positive 02</t>
  </si>
  <si>
    <t>THB 110.42</t>
  </si>
  <si>
    <t>Fresh Sales Return</t>
  </si>
  <si>
    <t>Total Offering Validation after Fresh Sales Return Positive 01</t>
  </si>
  <si>
    <t>Additional Charges Validation after Fresh Sales Return Positive 01</t>
  </si>
  <si>
    <t>Fresh Sale Return After Heder Tax Positive 01</t>
  </si>
  <si>
    <t>THB -105.89</t>
  </si>
  <si>
    <t>THB 2</t>
  </si>
  <si>
    <t>THB 5</t>
  </si>
  <si>
    <t>THB 150</t>
  </si>
  <si>
    <t>THB 13.73</t>
  </si>
  <si>
    <t>THB -125.42</t>
  </si>
  <si>
    <t>THB -11.78</t>
  </si>
  <si>
    <t>Total Offering Validation after Partial Fresh Sales Return Positive 01</t>
  </si>
  <si>
    <t>THB 50</t>
  </si>
  <si>
    <t>THB 2.2</t>
  </si>
  <si>
    <t>THB -20</t>
  </si>
  <si>
    <t>Additional Charges Validation after Partial Fresh Sales Return Positive 01</t>
  </si>
  <si>
    <t>Partial Fresh Sale Return After Heder Tax Positive 01</t>
  </si>
  <si>
    <t>01-07-2026</t>
  </si>
  <si>
    <t>Stock Adjustment SAN (Entry)</t>
  </si>
  <si>
    <t>Stock Adjustment Entry</t>
  </si>
  <si>
    <t>Stock Validation After SAN Entry</t>
  </si>
  <si>
    <t>10</t>
  </si>
  <si>
    <t>-10</t>
  </si>
  <si>
    <t>In CS - Sound</t>
  </si>
  <si>
    <t>Out CS - Sound</t>
  </si>
  <si>
    <t>In CS - Damaged</t>
  </si>
  <si>
    <t>Out CS - Damaged</t>
  </si>
  <si>
    <t>SAN Entry for Sound</t>
  </si>
  <si>
    <t>SAN Entry for Damaged</t>
  </si>
  <si>
    <t>Amount Validation from Header Positive 01</t>
  </si>
  <si>
    <t>Transaction Inquiry Val After Order Editing Additional Charges Positive 01</t>
  </si>
  <si>
    <t>Transaction Inquiry Val After Order Editing Total Offering Positive 02</t>
  </si>
  <si>
    <t>Transaction Inquiry Val After Order Editing Total Offering Positive 01</t>
  </si>
  <si>
    <t>Transaction Inquiry Val After Order Editing Total Offering Positive 03</t>
  </si>
  <si>
    <t>Transaction Inquiry Val After Order Editing Total Offering Positive 04</t>
  </si>
  <si>
    <t>Transaction Inquiry Val After Order Editing Total Offering Positive 05</t>
  </si>
  <si>
    <t>Transaction Inquiry Val After Sales Return Additional Charges Positive 01</t>
  </si>
  <si>
    <t>Transaction Inquiry Val After Sales Return Total Offering Positive 06</t>
  </si>
  <si>
    <t>Transaction Inquiry Val After Sales Return Total Offering Positive 02</t>
  </si>
  <si>
    <t>Transaction Inquiry Val After Sales Return Total Offering Positive 01</t>
  </si>
  <si>
    <t>Transaction Inquiry Val After Sales Return Total Offering Positive 03</t>
  </si>
  <si>
    <t>Transaction Inquiry Val After Sales Return Total Offering Positive 04</t>
  </si>
  <si>
    <t>Transaction Inquiry Val After Sales Return Total Offering Positive 05</t>
  </si>
  <si>
    <t>THB -1,254.17</t>
  </si>
  <si>
    <t>THB 320.73</t>
  </si>
  <si>
    <t>-1,058.86</t>
  </si>
  <si>
    <t>THB -1,164.75</t>
  </si>
  <si>
    <t>THB -200</t>
  </si>
  <si>
    <t>THB 102.2</t>
  </si>
  <si>
    <t>-117.8</t>
  </si>
  <si>
    <t>THB -129.58</t>
  </si>
  <si>
    <t>THB -504.17</t>
  </si>
  <si>
    <t>THB -50.42</t>
  </si>
  <si>
    <t>THB 128.13</t>
  </si>
  <si>
    <t>THB -42.65</t>
  </si>
  <si>
    <t>THB -469.1</t>
  </si>
  <si>
    <t>-426.45</t>
  </si>
  <si>
    <t>THB -750</t>
  </si>
  <si>
    <t>THB -75</t>
  </si>
  <si>
    <t>THB 192.59</t>
  </si>
  <si>
    <t>THB -63.24</t>
  </si>
  <si>
    <t>THB -695.65</t>
  </si>
  <si>
    <t>-632.41</t>
  </si>
  <si>
    <t>THB 65.65</t>
  </si>
  <si>
    <t>THB -15.43</t>
  </si>
  <si>
    <t>THB -169.78</t>
  </si>
  <si>
    <t>-154.35</t>
  </si>
  <si>
    <t>THB 36.55</t>
  </si>
  <si>
    <t>THB 3.65</t>
  </si>
  <si>
    <t>THB 40.2</t>
  </si>
  <si>
    <t>36.55</t>
  </si>
  <si>
    <t>Product 1 Detail Tab Val After Partial Fresh Sales Return Positive 01</t>
  </si>
  <si>
    <t>Product 2 Detail Tab Val After Partial Fresh Sales Return Positive 01</t>
  </si>
  <si>
    <t>Product 1 Detail Tab Val After Order Editing Positive 01</t>
  </si>
  <si>
    <t>Product 2 Detail Tab Val After Order Editing Positive 01</t>
  </si>
  <si>
    <t>Product 2 Detail Tab Val After Full Fresh Sales Return Positive 01</t>
  </si>
  <si>
    <t>Product 1 Detail Tab Val After Full Fresh Sales Return Positive 01</t>
  </si>
  <si>
    <t>Product 2 Detail Tab Val After Sales Return Positive 01</t>
  </si>
  <si>
    <t>Product 1 Detail Tab Val After Sales Return Positive 01</t>
  </si>
  <si>
    <t>Child record exists for the record being deleted.</t>
  </si>
  <si>
    <t>Vendor Code</t>
  </si>
  <si>
    <t>Shipment No</t>
  </si>
  <si>
    <t>Deliver No</t>
  </si>
  <si>
    <t>Invoice Due Date</t>
  </si>
  <si>
    <t>Tax Invoice Number</t>
  </si>
  <si>
    <t>Recieved Date</t>
  </si>
  <si>
    <t>Reference Date</t>
  </si>
  <si>
    <t>Reference No</t>
  </si>
  <si>
    <t>DA Type</t>
  </si>
  <si>
    <t>UPL WH</t>
  </si>
  <si>
    <t>123</t>
  </si>
  <si>
    <t>12312</t>
  </si>
  <si>
    <t>Positive_QA_Automation_01</t>
  </si>
  <si>
    <t>1115</t>
  </si>
  <si>
    <t>Dispatch Advice</t>
  </si>
  <si>
    <t>Deleted successfully</t>
  </si>
  <si>
    <t>Delete successfully'</t>
  </si>
  <si>
    <t>01011-Auto_VietnamOB</t>
  </si>
  <si>
    <t>Automation Selling Category</t>
  </si>
  <si>
    <t>20252551</t>
  </si>
  <si>
    <t>VND 8</t>
  </si>
  <si>
    <t>VND 18</t>
  </si>
  <si>
    <t>VND 3,128</t>
  </si>
  <si>
    <t>VND 312.8</t>
  </si>
  <si>
    <t>01011~Auto_VietnamOB</t>
  </si>
  <si>
    <t>01011 - Auto_VietnamOB</t>
  </si>
  <si>
    <t>2026-07-27</t>
  </si>
  <si>
    <t>01012-Auto_VietnamDM</t>
  </si>
  <si>
    <t>01012-AutoDSR_VietnamDM</t>
  </si>
  <si>
    <t>Order Cancel after GIN Positive 01</t>
  </si>
  <si>
    <t>Order Cancellation after GIN Detail_Val Positive 01</t>
  </si>
  <si>
    <t>Order Editing after GIN Positive 01</t>
  </si>
  <si>
    <t>Auto Vietnam Warehouse</t>
  </si>
  <si>
    <t>64892989</t>
  </si>
  <si>
    <t>Expired</t>
  </si>
  <si>
    <t>Short of Cash</t>
  </si>
  <si>
    <t>Rat Bitten</t>
  </si>
  <si>
    <t>VND 3,440.8</t>
  </si>
  <si>
    <t>OB Positive 04</t>
  </si>
  <si>
    <t>OrderSU</t>
  </si>
  <si>
    <t>8</t>
  </si>
  <si>
    <t>6,336</t>
  </si>
  <si>
    <t>537.97</t>
  </si>
  <si>
    <t>4,899</t>
  </si>
  <si>
    <t>-1,974.69</t>
  </si>
  <si>
    <t>VND 2,016</t>
  </si>
  <si>
    <t>VND 4,320</t>
  </si>
  <si>
    <t>4,361.31</t>
  </si>
  <si>
    <t>9</t>
  </si>
  <si>
    <t>VND 4,899</t>
  </si>
  <si>
    <t>5,904</t>
  </si>
  <si>
    <t>-1,370.5</t>
  </si>
  <si>
    <t>4,533.5</t>
  </si>
  <si>
    <t>524.9</t>
  </si>
  <si>
    <t>5,058</t>
  </si>
  <si>
    <t>49</t>
  </si>
  <si>
    <t>VND 10,080</t>
  </si>
  <si>
    <t>1,368.13</t>
  </si>
  <si>
    <t>Aautomation_Outlet_03</t>
  </si>
  <si>
    <t>SU</t>
  </si>
  <si>
    <t>01012 - Auto_VietnamDM</t>
  </si>
  <si>
    <t>DT Bank</t>
  </si>
  <si>
    <t>In SU</t>
  </si>
  <si>
    <t>Out SU</t>
  </si>
  <si>
    <t>94</t>
  </si>
  <si>
    <t>01012</t>
  </si>
  <si>
    <t>Stock Opening &amp; Closing Validation</t>
  </si>
  <si>
    <t>Opening SU</t>
  </si>
  <si>
    <t>Closing SU</t>
  </si>
  <si>
    <t>Deposit Slip Received Amount Validation (Positive)</t>
  </si>
  <si>
    <t>6,144</t>
  </si>
  <si>
    <t>-1,968.59</t>
  </si>
  <si>
    <t>4,175.41</t>
  </si>
  <si>
    <t>518.96</t>
  </si>
  <si>
    <t>4,694</t>
  </si>
  <si>
    <t>VND -1,382.8</t>
  </si>
  <si>
    <t>VND 365.03</t>
  </si>
  <si>
    <t>VND 3,302.23</t>
  </si>
  <si>
    <t>2,937.2</t>
  </si>
  <si>
    <t>VND 1,824</t>
  </si>
  <si>
    <t>VND -585.79</t>
  </si>
  <si>
    <t>VND 153.93</t>
  </si>
  <si>
    <t>VND 1,392.14</t>
  </si>
  <si>
    <t>1,238.21</t>
  </si>
  <si>
    <t>VND -2</t>
  </si>
  <si>
    <t>VND -900</t>
  </si>
  <si>
    <t>VND -114.17</t>
  </si>
  <si>
    <t>VND -1,345.06</t>
  </si>
  <si>
    <t>VND 366.93</t>
  </si>
  <si>
    <t>2,974.94</t>
  </si>
  <si>
    <t>VND 3,341.87</t>
  </si>
  <si>
    <t>VND -629.63</t>
  </si>
  <si>
    <t>VND 171.04</t>
  </si>
  <si>
    <t>1,386.37</t>
  </si>
  <si>
    <t>VND 1,557.4</t>
  </si>
  <si>
    <t>VND 6,336</t>
  </si>
  <si>
    <t>VND -1,974.69</t>
  </si>
  <si>
    <t>VND 537.97</t>
  </si>
  <si>
    <t>VND -118.35</t>
  </si>
  <si>
    <t>VND -54.34</t>
  </si>
  <si>
    <t>VND 3,888</t>
  </si>
  <si>
    <t>01-06</t>
  </si>
  <si>
    <t>VND 96</t>
  </si>
  <si>
    <t>VND 3.05</t>
  </si>
  <si>
    <t>VND 9.5</t>
  </si>
  <si>
    <t>VND 102</t>
  </si>
  <si>
    <t>Sales Return View Save Positive</t>
  </si>
  <si>
    <t>Gross Amount: VND 96</t>
  </si>
  <si>
    <t>Markup: VND 0.00</t>
  </si>
  <si>
    <t>Discount: VND 3.05</t>
  </si>
  <si>
    <t>Tax: VND 9.50</t>
  </si>
  <si>
    <t>Net Amount: VND 102</t>
  </si>
  <si>
    <t>VND -18.58</t>
  </si>
  <si>
    <t>VND -0.93</t>
  </si>
  <si>
    <t>-18.58</t>
  </si>
  <si>
    <t>VND -19.52</t>
  </si>
  <si>
    <t>VND -96</t>
  </si>
  <si>
    <t>VND 21.63</t>
  </si>
  <si>
    <t>-74.37</t>
  </si>
  <si>
    <t>VND -8.57</t>
  </si>
  <si>
    <t>VND -82.94</t>
  </si>
  <si>
    <t>VND 2.09</t>
  </si>
  <si>
    <t>VND 0.96</t>
  </si>
  <si>
    <t>VND -9.5</t>
  </si>
  <si>
    <t>VND -102</t>
  </si>
  <si>
    <t>-92.95</t>
  </si>
  <si>
    <t>0158-Auto Vechile</t>
  </si>
  <si>
    <t>C0000000017-Auto Vietnam Warehouse</t>
  </si>
  <si>
    <t>104</t>
  </si>
  <si>
    <t>VND 518.96</t>
  </si>
  <si>
    <t>VND 6,144</t>
  </si>
  <si>
    <t>VND -1,968.59</t>
  </si>
  <si>
    <t>VND 4,694</t>
  </si>
  <si>
    <t>VND -901.25</t>
  </si>
  <si>
    <t>VND 345.79</t>
  </si>
  <si>
    <t>VND 3,332.55</t>
  </si>
  <si>
    <t>2,986.75</t>
  </si>
  <si>
    <t>VND -469.25</t>
  </si>
  <si>
    <t>VND 179.1</t>
  </si>
  <si>
    <t>VND 1,725.85</t>
  </si>
  <si>
    <t>1,546.75</t>
  </si>
  <si>
    <t>5058</t>
  </si>
  <si>
    <t>899</t>
  </si>
  <si>
    <t>4000</t>
  </si>
  <si>
    <t>VND 19,550</t>
  </si>
  <si>
    <t>VND 1,008</t>
  </si>
  <si>
    <t>VND 899</t>
  </si>
  <si>
    <t>VND 4,000</t>
  </si>
  <si>
    <t>Total Payable Amount</t>
  </si>
  <si>
    <t>Total Received Amount</t>
  </si>
  <si>
    <t>VND 5,904</t>
  </si>
  <si>
    <t>VND -1,370.5</t>
  </si>
  <si>
    <t>VND 524.9</t>
  </si>
  <si>
    <t>VND 5,058</t>
  </si>
  <si>
    <t>Deposit Slip</t>
  </si>
  <si>
    <t>REPO_Deposit_Slip</t>
  </si>
  <si>
    <t>-1</t>
  </si>
  <si>
    <t>In SU2</t>
  </si>
  <si>
    <t>Out SU2</t>
  </si>
  <si>
    <t>In SU - Sound</t>
  </si>
  <si>
    <t>Out SU - Sound</t>
  </si>
  <si>
    <t>In SU - Damaged</t>
  </si>
  <si>
    <t>Out SU - Damaged</t>
  </si>
  <si>
    <t>Price Difference</t>
  </si>
  <si>
    <t>Previous Cash</t>
  </si>
  <si>
    <t>Today Cash</t>
  </si>
  <si>
    <t>Total Cash</t>
  </si>
  <si>
    <t>Previous Cheque</t>
  </si>
  <si>
    <t>Today Cheque</t>
  </si>
  <si>
    <t>Total Cheque</t>
  </si>
  <si>
    <t>Stock Shortage Payable Amt</t>
  </si>
  <si>
    <t>Stock shortage Received Amt</t>
  </si>
  <si>
    <t>96.00</t>
  </si>
  <si>
    <t>0.00</t>
  </si>
  <si>
    <t>3.05</t>
  </si>
  <si>
    <t>9.50</t>
  </si>
  <si>
    <t>102.00</t>
  </si>
  <si>
    <t>VND 200</t>
  </si>
  <si>
    <t>VND 300</t>
  </si>
  <si>
    <t>VND 400</t>
  </si>
  <si>
    <t>Val</t>
  </si>
  <si>
    <t>No data</t>
  </si>
  <si>
    <t>4552</t>
  </si>
  <si>
    <t>VND -600</t>
  </si>
  <si>
    <t>VND -115.48</t>
  </si>
  <si>
    <t>VND 103.42</t>
  </si>
  <si>
    <t>VND -51.1</t>
  </si>
  <si>
    <t>01-02-02</t>
  </si>
  <si>
    <t>01-02-03</t>
  </si>
  <si>
    <t>01-03-03</t>
  </si>
  <si>
    <t>VND 5,458</t>
  </si>
  <si>
    <t>VND 500</t>
  </si>
  <si>
    <t>VND 5,399</t>
  </si>
  <si>
    <t>VND 11,865</t>
  </si>
  <si>
    <t>VND 100</t>
  </si>
  <si>
    <t>01-07</t>
  </si>
  <si>
    <t>01-08</t>
  </si>
  <si>
    <t>Route Settlement Validation2 Positive 04</t>
  </si>
  <si>
    <t>61</t>
  </si>
  <si>
    <t>-42</t>
  </si>
  <si>
    <t>Purchase Price</t>
  </si>
  <si>
    <t>Dispatch Advice Validation 01</t>
  </si>
  <si>
    <t>VND 10,368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</si>
</sst>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/d/yy\ h:mm\ AM/P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484848"/>
      <name val="Arial"/>
      <family val="2"/>
    </font>
    <font>
      <sz val="11"/>
      <color rgb="FF000000"/>
      <name val="Calibri"/>
      <family val="2"/>
      <scheme val="minor"/>
    </font>
    <font>
      <sz val="10"/>
      <color rgb="FF31313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quotePrefix="1" applyNumberFormat="1"/>
    <xf numFmtId="0" fontId="0" fillId="0" borderId="0" xfId="0" applyAlignment="1">
      <alignment vertical="center"/>
    </xf>
    <xf numFmtId="0" fontId="0" fillId="0" borderId="0" xfId="0" quotePrefix="1"/>
    <xf numFmtId="49" fontId="0" fillId="0" borderId="0" xfId="0" quotePrefix="1" applyNumberFormat="1" applyAlignment="1">
      <alignment horizontal="left"/>
    </xf>
    <xf numFmtId="16" fontId="0" fillId="0" borderId="0" xfId="0" quotePrefix="1" applyNumberFormat="1"/>
    <xf numFmtId="0" fontId="0" fillId="0" borderId="0" xfId="0" applyFont="1"/>
    <xf numFmtId="0" fontId="0" fillId="0" borderId="0" xfId="0" quotePrefix="1" applyNumberFormat="1"/>
    <xf numFmtId="0" fontId="0" fillId="0" borderId="0" xfId="0"/>
    <xf numFmtId="49" fontId="0" fillId="0" borderId="0" xfId="0" applyNumberFormat="1"/>
    <xf numFmtId="49" fontId="0" fillId="0" borderId="0" xfId="0" quotePrefix="1" applyNumberFormat="1" applyAlignment="1">
      <alignment horizontal="left"/>
    </xf>
    <xf numFmtId="0" fontId="3" fillId="0" borderId="0" xfId="0" applyFont="1"/>
    <xf numFmtId="14" fontId="0" fillId="0" borderId="0" xfId="0" applyNumberFormat="1"/>
    <xf numFmtId="164" fontId="0" fillId="0" borderId="0" xfId="0" applyNumberFormat="1"/>
    <xf numFmtId="49" fontId="4" fillId="0" borderId="0" xfId="0" applyNumberFormat="1" applyFont="1"/>
    <xf numFmtId="4" fontId="0" fillId="0" borderId="0" xfId="0" quotePrefix="1" applyNumberFormat="1"/>
    <xf numFmtId="14" fontId="0" fillId="0" borderId="0" xfId="0" quotePrefix="1" applyNumberFormat="1"/>
    <xf numFmtId="49" fontId="0" fillId="0" borderId="0" xfId="0" applyNumberFormat="1" applyFont="1"/>
    <xf numFmtId="49" fontId="0" fillId="0" borderId="0" xfId="0" quotePrefix="1" applyNumberFormat="1" applyFont="1"/>
    <xf numFmtId="3" fontId="0" fillId="0" borderId="0" xfId="0" quotePrefix="1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208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styles" Target="styles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calcChain" Target="calcChain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workbookViewId="0">
      <selection activeCell="M3" sqref="M3"/>
    </sheetView>
  </sheetViews>
  <sheetFormatPr defaultRowHeight="15" x14ac:dyDescent="0.25"/>
  <cols>
    <col min="1" max="1" width="20.7109375" style="14" bestFit="1" customWidth="1"/>
    <col min="2" max="2" width="12.5703125" style="14" bestFit="1" customWidth="1"/>
    <col min="3" max="3" width="22.42578125" style="14" bestFit="1" customWidth="1"/>
    <col min="4" max="4" width="9.140625" style="14"/>
    <col min="5" max="5" width="10.42578125" style="14" bestFit="1" customWidth="1"/>
    <col min="6" max="6" width="16.140625" style="14" bestFit="1" customWidth="1"/>
    <col min="7" max="7" width="18.85546875" style="14" bestFit="1" customWidth="1"/>
    <col min="8" max="8" width="13.85546875" style="14" bestFit="1" customWidth="1"/>
    <col min="9" max="9" width="27" style="14" bestFit="1" customWidth="1"/>
    <col min="10" max="10" width="14.85546875" style="14" bestFit="1" customWidth="1"/>
    <col min="11" max="11" width="13.28515625" style="14" bestFit="1" customWidth="1"/>
    <col min="12" max="12" width="20.42578125" style="14" customWidth="1"/>
    <col min="13" max="13" width="9.140625" style="14"/>
    <col min="14" max="14" width="18.42578125" style="14" bestFit="1" customWidth="1"/>
    <col min="15" max="15" width="10.28515625" style="14" bestFit="1" customWidth="1"/>
    <col min="16" max="16" width="19.28515625" style="14" bestFit="1" customWidth="1"/>
    <col min="17" max="17" width="19.28515625" style="14" customWidth="1"/>
    <col min="18" max="18" width="10.5703125" style="14" bestFit="1" customWidth="1"/>
    <col min="19" max="16384" width="9.140625" style="14"/>
  </cols>
  <sheetData>
    <row r="1" spans="1:30" x14ac:dyDescent="0.25">
      <c r="A1" s="14" t="s">
        <v>13</v>
      </c>
      <c r="B1" s="14" t="s">
        <v>446</v>
      </c>
      <c r="C1" s="14" t="s">
        <v>76</v>
      </c>
      <c r="D1" s="14" t="s">
        <v>447</v>
      </c>
      <c r="E1" s="14" t="s">
        <v>448</v>
      </c>
      <c r="F1" s="14" t="s">
        <v>449</v>
      </c>
      <c r="G1" s="14" t="s">
        <v>450</v>
      </c>
      <c r="H1" s="14" t="s">
        <v>451</v>
      </c>
      <c r="I1" s="14" t="s">
        <v>5</v>
      </c>
      <c r="J1" s="14" t="s">
        <v>452</v>
      </c>
      <c r="K1" s="14" t="s">
        <v>453</v>
      </c>
      <c r="L1" s="14" t="s">
        <v>454</v>
      </c>
      <c r="M1" s="14" t="s">
        <v>6</v>
      </c>
      <c r="N1" s="14" t="s">
        <v>133</v>
      </c>
      <c r="O1" s="14" t="s">
        <v>48</v>
      </c>
      <c r="P1" s="15" t="s">
        <v>172</v>
      </c>
      <c r="Q1" s="14" t="s">
        <v>127</v>
      </c>
      <c r="R1" s="14" t="s">
        <v>128</v>
      </c>
      <c r="AD1" s="15"/>
    </row>
    <row r="2" spans="1:30" x14ac:dyDescent="0.25">
      <c r="A2" s="15" t="s">
        <v>478</v>
      </c>
      <c r="B2" s="15" t="s">
        <v>455</v>
      </c>
      <c r="C2" s="8" t="str">
        <f ca="1">CONCATENATE("Automation_",TEXT(NOW(),"YYYY-MM-DD"))</f>
        <v>Automation_2026-09-03</v>
      </c>
      <c r="D2" s="15" t="s">
        <v>456</v>
      </c>
      <c r="E2" s="15" t="s">
        <v>457</v>
      </c>
      <c r="F2" s="6" t="str">
        <f ca="1">TEXT(NOW(),"YYYY-MM-DD")</f>
        <v>2026-09-03</v>
      </c>
      <c r="G2" s="15" t="s">
        <v>456</v>
      </c>
      <c r="H2" s="6" t="str">
        <f ca="1">TEXT(NOW(),"YYYY-MM-DD")</f>
        <v>2026-09-03</v>
      </c>
      <c r="I2" s="15" t="s">
        <v>458</v>
      </c>
      <c r="J2" s="6" t="str">
        <f ca="1">TEXT(NOW(),"YYYY-MM-DD")</f>
        <v>2026-09-03</v>
      </c>
      <c r="K2" s="15" t="s">
        <v>459</v>
      </c>
      <c r="L2" s="15" t="s">
        <v>460</v>
      </c>
      <c r="M2" s="9" t="s">
        <v>45</v>
      </c>
      <c r="N2" s="7" t="s">
        <v>134</v>
      </c>
      <c r="O2" s="15" t="s">
        <v>49</v>
      </c>
      <c r="Q2" s="15" t="s">
        <v>131</v>
      </c>
      <c r="R2" s="14" t="s">
        <v>129</v>
      </c>
      <c r="S2" s="15"/>
      <c r="T2" s="6"/>
      <c r="U2" s="15"/>
      <c r="V2" s="6"/>
      <c r="W2" s="15"/>
      <c r="X2" s="6"/>
      <c r="Y2" s="15"/>
      <c r="Z2" s="15"/>
      <c r="AA2" s="9"/>
      <c r="AB2" s="7"/>
      <c r="AC2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A4" sqref="A4"/>
    </sheetView>
  </sheetViews>
  <sheetFormatPr defaultRowHeight="15" x14ac:dyDescent="0.25"/>
  <cols>
    <col min="1" max="1" width="10.140625" style="14" customWidth="1"/>
    <col min="2" max="2" width="22.85546875" style="14" bestFit="1" customWidth="1"/>
    <col min="3" max="3" width="22.140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4" t="s">
        <v>128</v>
      </c>
    </row>
    <row r="2" spans="1:4" x14ac:dyDescent="0.25">
      <c r="A2" s="16" t="s">
        <v>81</v>
      </c>
      <c r="B2" s="7" t="s">
        <v>160</v>
      </c>
      <c r="C2" s="15" t="s">
        <v>130</v>
      </c>
      <c r="D2" s="14" t="s">
        <v>129</v>
      </c>
    </row>
    <row r="3" spans="1:4" x14ac:dyDescent="0.25">
      <c r="A3" s="16" t="s">
        <v>81</v>
      </c>
      <c r="B3" s="7" t="s">
        <v>161</v>
      </c>
      <c r="C3" s="15" t="s">
        <v>193</v>
      </c>
      <c r="D3" s="14" t="s">
        <v>129</v>
      </c>
    </row>
    <row r="4" spans="1:4" x14ac:dyDescent="0.25">
      <c r="A4" s="16" t="s">
        <v>81</v>
      </c>
      <c r="B4" s="7" t="s">
        <v>162</v>
      </c>
      <c r="C4" s="15" t="s">
        <v>461</v>
      </c>
      <c r="D4" s="14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H4" sqref="H4"/>
    </sheetView>
  </sheetViews>
  <sheetFormatPr defaultRowHeight="15" x14ac:dyDescent="0.25"/>
  <cols>
    <col min="1" max="1" width="9.140625" style="14"/>
    <col min="2" max="2" width="10.42578125" style="14" bestFit="1" customWidth="1"/>
    <col min="3" max="8" width="9.140625" style="14"/>
    <col min="9" max="9" width="10.28515625" style="14" bestFit="1" customWidth="1"/>
    <col min="10" max="10" width="16.28515625" style="14" bestFit="1" customWidth="1"/>
    <col min="11" max="11" width="10.5703125" style="14" bestFit="1" customWidth="1"/>
    <col min="12" max="16384" width="9.140625" style="14"/>
  </cols>
  <sheetData>
    <row r="1" spans="1:11" x14ac:dyDescent="0.25">
      <c r="A1" s="15" t="s">
        <v>52</v>
      </c>
      <c r="B1" s="15" t="s">
        <v>53</v>
      </c>
      <c r="C1" s="15" t="s">
        <v>54</v>
      </c>
      <c r="D1" s="15" t="s">
        <v>42</v>
      </c>
      <c r="E1" s="15" t="s">
        <v>27</v>
      </c>
      <c r="F1" s="15" t="s">
        <v>55</v>
      </c>
      <c r="G1" s="15" t="s">
        <v>27</v>
      </c>
      <c r="H1" s="3" t="s">
        <v>6</v>
      </c>
      <c r="I1" s="14" t="s">
        <v>48</v>
      </c>
      <c r="J1" s="14" t="s">
        <v>127</v>
      </c>
      <c r="K1" s="15" t="s">
        <v>128</v>
      </c>
    </row>
    <row r="2" spans="1:11" x14ac:dyDescent="0.25">
      <c r="A2" s="7" t="s">
        <v>465</v>
      </c>
      <c r="B2" s="15" t="s">
        <v>56</v>
      </c>
      <c r="C2" s="15" t="s">
        <v>57</v>
      </c>
      <c r="D2" s="15" t="s">
        <v>83</v>
      </c>
      <c r="E2" s="15" t="s">
        <v>59</v>
      </c>
      <c r="F2" s="15" t="s">
        <v>60</v>
      </c>
      <c r="G2" s="15" t="s">
        <v>61</v>
      </c>
      <c r="H2" s="9" t="s">
        <v>82</v>
      </c>
      <c r="I2" s="15" t="s">
        <v>49</v>
      </c>
      <c r="K2" s="15" t="s">
        <v>129</v>
      </c>
    </row>
    <row r="3" spans="1:11" x14ac:dyDescent="0.25">
      <c r="A3" s="7" t="s">
        <v>479</v>
      </c>
      <c r="B3" s="15" t="s">
        <v>56</v>
      </c>
      <c r="C3" s="15" t="s">
        <v>57</v>
      </c>
      <c r="D3" s="15" t="s">
        <v>83</v>
      </c>
      <c r="E3" s="15" t="s">
        <v>43</v>
      </c>
      <c r="F3" s="15" t="s">
        <v>92</v>
      </c>
      <c r="G3" s="15" t="s">
        <v>43</v>
      </c>
      <c r="H3" s="9" t="s">
        <v>235</v>
      </c>
      <c r="I3" s="15" t="s">
        <v>49</v>
      </c>
      <c r="K3" s="15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E4" sqref="E4"/>
    </sheetView>
  </sheetViews>
  <sheetFormatPr defaultRowHeight="15" x14ac:dyDescent="0.25"/>
  <cols>
    <col min="1" max="1" width="9.140625" style="14"/>
    <col min="2" max="2" width="10.42578125" style="14" bestFit="1" customWidth="1"/>
    <col min="3" max="5" width="9.140625" style="14"/>
    <col min="6" max="6" width="10.28515625" style="14" bestFit="1" customWidth="1"/>
    <col min="7" max="7" width="19.28515625" style="14" bestFit="1" customWidth="1"/>
    <col min="8" max="8" width="10.5703125" style="14" bestFit="1" customWidth="1"/>
    <col min="9" max="16384" width="9.140625" style="14"/>
  </cols>
  <sheetData>
    <row r="1" spans="1:8" x14ac:dyDescent="0.25">
      <c r="A1" s="15" t="s">
        <v>52</v>
      </c>
      <c r="B1" s="15" t="s">
        <v>53</v>
      </c>
      <c r="C1" s="15" t="s">
        <v>54</v>
      </c>
      <c r="D1" s="15" t="s">
        <v>42</v>
      </c>
      <c r="E1" s="3" t="s">
        <v>6</v>
      </c>
      <c r="F1" s="14" t="s">
        <v>48</v>
      </c>
      <c r="G1" s="14" t="s">
        <v>127</v>
      </c>
      <c r="H1" s="15" t="s">
        <v>128</v>
      </c>
    </row>
    <row r="2" spans="1:8" x14ac:dyDescent="0.25">
      <c r="A2" s="7" t="s">
        <v>465</v>
      </c>
      <c r="B2" s="15" t="s">
        <v>56</v>
      </c>
      <c r="C2" s="15" t="s">
        <v>57</v>
      </c>
      <c r="D2" s="15" t="s">
        <v>231</v>
      </c>
      <c r="E2" s="9" t="s">
        <v>81</v>
      </c>
      <c r="F2" s="15" t="s">
        <v>49</v>
      </c>
      <c r="H2" s="15" t="s">
        <v>129</v>
      </c>
    </row>
    <row r="3" spans="1:8" x14ac:dyDescent="0.25">
      <c r="A3" s="7" t="s">
        <v>479</v>
      </c>
      <c r="B3" s="15" t="s">
        <v>56</v>
      </c>
      <c r="C3" s="15" t="s">
        <v>57</v>
      </c>
      <c r="D3" s="15" t="s">
        <v>231</v>
      </c>
      <c r="E3" s="9" t="s">
        <v>82</v>
      </c>
      <c r="F3" s="15" t="s">
        <v>49</v>
      </c>
      <c r="H3" s="15" t="s">
        <v>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J5" sqref="J5"/>
    </sheetView>
  </sheetViews>
  <sheetFormatPr defaultRowHeight="15" x14ac:dyDescent="0.25"/>
  <cols>
    <col min="1" max="1" width="9.140625" style="14"/>
    <col min="2" max="2" width="19" style="14" bestFit="1" customWidth="1"/>
    <col min="3" max="6" width="9.140625" style="14"/>
    <col min="7" max="7" width="19.28515625" style="14" bestFit="1" customWidth="1"/>
    <col min="8" max="8" width="10.5703125" style="14" bestFit="1" customWidth="1"/>
    <col min="9" max="16384" width="9.140625" style="14"/>
  </cols>
  <sheetData>
    <row r="1" spans="1:8" x14ac:dyDescent="0.25">
      <c r="A1" s="15" t="s">
        <v>62</v>
      </c>
      <c r="B1" s="15" t="s">
        <v>241</v>
      </c>
      <c r="C1" s="15" t="s">
        <v>42</v>
      </c>
      <c r="D1" s="15" t="s">
        <v>27</v>
      </c>
      <c r="E1" s="3" t="s">
        <v>6</v>
      </c>
      <c r="F1" s="14" t="s">
        <v>48</v>
      </c>
      <c r="G1" s="14" t="s">
        <v>127</v>
      </c>
      <c r="H1" s="15" t="s">
        <v>128</v>
      </c>
    </row>
    <row r="2" spans="1:8" x14ac:dyDescent="0.25">
      <c r="A2" s="15" t="s">
        <v>480</v>
      </c>
      <c r="B2" s="15" t="s">
        <v>481</v>
      </c>
      <c r="C2" s="15" t="s">
        <v>86</v>
      </c>
      <c r="D2" s="15" t="s">
        <v>10</v>
      </c>
      <c r="E2" s="9" t="s">
        <v>633</v>
      </c>
      <c r="F2" s="15" t="s">
        <v>49</v>
      </c>
      <c r="H2" s="15" t="s">
        <v>129</v>
      </c>
    </row>
    <row r="3" spans="1:8" x14ac:dyDescent="0.25">
      <c r="A3" s="14" t="s">
        <v>84</v>
      </c>
      <c r="B3" s="15" t="s">
        <v>302</v>
      </c>
      <c r="C3" s="15" t="s">
        <v>85</v>
      </c>
      <c r="D3" s="15" t="s">
        <v>10</v>
      </c>
      <c r="E3" s="11" t="s">
        <v>634</v>
      </c>
      <c r="F3" s="15" t="s">
        <v>49</v>
      </c>
      <c r="H3" s="15" t="s">
        <v>129</v>
      </c>
    </row>
    <row r="4" spans="1:8" x14ac:dyDescent="0.25">
      <c r="A4" s="15" t="s">
        <v>248</v>
      </c>
      <c r="B4" s="15" t="s">
        <v>482</v>
      </c>
      <c r="C4" s="15" t="s">
        <v>86</v>
      </c>
      <c r="D4" s="15" t="s">
        <v>10</v>
      </c>
      <c r="E4" s="9" t="s">
        <v>635</v>
      </c>
      <c r="F4" s="15" t="s">
        <v>49</v>
      </c>
      <c r="H4" s="15" t="s">
        <v>129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zoomScaleNormal="100" workbookViewId="0">
      <selection activeCell="J3" sqref="J3"/>
    </sheetView>
  </sheetViews>
  <sheetFormatPr defaultRowHeight="15" x14ac:dyDescent="0.25"/>
  <cols>
    <col min="1" max="1" width="3.28515625" style="14" bestFit="1" customWidth="1"/>
    <col min="2" max="2" width="27.5703125" style="14" bestFit="1" customWidth="1"/>
    <col min="3" max="3" width="10.28515625" style="14" bestFit="1" customWidth="1"/>
    <col min="4" max="4" width="13.5703125" style="14" bestFit="1" customWidth="1"/>
    <col min="5" max="5" width="7.7109375" style="14" bestFit="1" customWidth="1"/>
    <col min="6" max="6" width="8.7109375" style="14" bestFit="1" customWidth="1"/>
    <col min="7" max="7" width="4.5703125" style="14" bestFit="1" customWidth="1"/>
    <col min="8" max="8" width="11.85546875" style="14" bestFit="1" customWidth="1"/>
    <col min="9" max="9" width="19" style="14" bestFit="1" customWidth="1"/>
    <col min="10" max="10" width="10.5703125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9" t="s">
        <v>6</v>
      </c>
      <c r="B1" s="9" t="s">
        <v>133</v>
      </c>
      <c r="C1" s="9" t="s">
        <v>48</v>
      </c>
      <c r="D1" s="9" t="s">
        <v>646</v>
      </c>
      <c r="E1" s="9" t="s">
        <v>99</v>
      </c>
      <c r="F1" s="9" t="s">
        <v>100</v>
      </c>
      <c r="G1" s="9" t="s">
        <v>101</v>
      </c>
      <c r="H1" s="9" t="s">
        <v>102</v>
      </c>
      <c r="I1" s="15" t="s">
        <v>215</v>
      </c>
      <c r="J1" s="14" t="s">
        <v>128</v>
      </c>
      <c r="K1" s="2" t="s">
        <v>127</v>
      </c>
    </row>
    <row r="2" spans="1:11" x14ac:dyDescent="0.25">
      <c r="A2" s="9" t="s">
        <v>45</v>
      </c>
      <c r="B2" s="7" t="s">
        <v>647</v>
      </c>
      <c r="C2" s="9" t="s">
        <v>49</v>
      </c>
      <c r="D2" s="7" t="s">
        <v>466</v>
      </c>
      <c r="E2" s="7" t="s">
        <v>648</v>
      </c>
      <c r="F2" s="7" t="s">
        <v>10</v>
      </c>
      <c r="G2" s="7" t="s">
        <v>10</v>
      </c>
      <c r="H2" s="7" t="s">
        <v>648</v>
      </c>
      <c r="I2" s="15" t="s">
        <v>207</v>
      </c>
      <c r="J2" s="14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zoomScaleNormal="100" workbookViewId="0">
      <selection activeCell="B3" sqref="B3"/>
    </sheetView>
  </sheetViews>
  <sheetFormatPr defaultRowHeight="15" x14ac:dyDescent="0.25"/>
  <cols>
    <col min="1" max="1" width="20.28515625" style="14" bestFit="1" customWidth="1"/>
    <col min="2" max="16384" width="9.140625" style="14"/>
  </cols>
  <sheetData>
    <row r="1" spans="1:2" x14ac:dyDescent="0.25">
      <c r="A1" s="14" t="s">
        <v>65</v>
      </c>
      <c r="B1" s="14" t="s">
        <v>6</v>
      </c>
    </row>
    <row r="2" spans="1:2" x14ac:dyDescent="0.25">
      <c r="A2" s="14" t="s">
        <v>80</v>
      </c>
      <c r="B2" s="9" t="s">
        <v>45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3" sqref="A3"/>
    </sheetView>
  </sheetViews>
  <sheetFormatPr defaultRowHeight="15" x14ac:dyDescent="0.25"/>
  <cols>
    <col min="1" max="1" width="7.5703125" style="14" customWidth="1"/>
    <col min="2" max="2" width="22" style="14" bestFit="1" customWidth="1"/>
    <col min="3" max="16384" width="9.140625" style="14"/>
  </cols>
  <sheetData>
    <row r="1" spans="1:3" x14ac:dyDescent="0.25">
      <c r="A1" s="15" t="s">
        <v>6</v>
      </c>
      <c r="B1" s="14" t="s">
        <v>127</v>
      </c>
      <c r="C1" s="14" t="s">
        <v>128</v>
      </c>
    </row>
    <row r="2" spans="1:3" x14ac:dyDescent="0.25">
      <c r="A2" s="16" t="s">
        <v>45</v>
      </c>
      <c r="B2" s="7" t="s">
        <v>462</v>
      </c>
      <c r="C2" s="14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3" sqref="A3"/>
    </sheetView>
  </sheetViews>
  <sheetFormatPr defaultRowHeight="15" x14ac:dyDescent="0.25"/>
  <cols>
    <col min="1" max="1" width="9.140625" style="14"/>
    <col min="2" max="2" width="44.42578125" style="14" bestFit="1" customWidth="1"/>
    <col min="3" max="16384" width="9.140625" style="14"/>
  </cols>
  <sheetData>
    <row r="1" spans="1:3" x14ac:dyDescent="0.25">
      <c r="A1" s="15" t="s">
        <v>6</v>
      </c>
      <c r="B1" s="14" t="s">
        <v>127</v>
      </c>
      <c r="C1" s="14" t="s">
        <v>128</v>
      </c>
    </row>
    <row r="2" spans="1:3" x14ac:dyDescent="0.25">
      <c r="A2" s="16" t="s">
        <v>45</v>
      </c>
      <c r="B2" s="15" t="s">
        <v>445</v>
      </c>
      <c r="C2" s="14" t="s">
        <v>129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3" sqref="A3"/>
    </sheetView>
  </sheetViews>
  <sheetFormatPr defaultRowHeight="15" x14ac:dyDescent="0.25"/>
  <cols>
    <col min="1" max="1" width="10.42578125" style="14" bestFit="1" customWidth="1"/>
    <col min="2" max="2" width="22" style="14" bestFit="1" customWidth="1"/>
    <col min="3" max="16384" width="9.140625" style="14"/>
  </cols>
  <sheetData>
    <row r="1" spans="1:3" x14ac:dyDescent="0.25">
      <c r="A1" s="15" t="s">
        <v>6</v>
      </c>
      <c r="B1" s="14" t="s">
        <v>127</v>
      </c>
      <c r="C1" s="14" t="s">
        <v>128</v>
      </c>
    </row>
    <row r="2" spans="1:3" x14ac:dyDescent="0.25">
      <c r="A2" s="16" t="s">
        <v>45</v>
      </c>
      <c r="B2" s="15" t="s">
        <v>132</v>
      </c>
      <c r="C2" s="14" t="s">
        <v>129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2" sqref="E2"/>
    </sheetView>
  </sheetViews>
  <sheetFormatPr defaultRowHeight="15" x14ac:dyDescent="0.25"/>
  <cols>
    <col min="1" max="1" width="23.140625" style="14" bestFit="1" customWidth="1"/>
    <col min="2" max="2" width="20.28515625" style="14" bestFit="1" customWidth="1"/>
    <col min="3" max="3" width="10.28515625" style="14" bestFit="1" customWidth="1"/>
    <col min="4" max="4" width="9.140625" style="14"/>
    <col min="5" max="5" width="18.42578125" style="14" bestFit="1" customWidth="1"/>
    <col min="6" max="16384" width="9.140625" style="14"/>
  </cols>
  <sheetData>
    <row r="1" spans="1:5" x14ac:dyDescent="0.25">
      <c r="A1" s="14" t="s">
        <v>76</v>
      </c>
      <c r="B1" s="14" t="s">
        <v>224</v>
      </c>
      <c r="C1" s="14" t="s">
        <v>48</v>
      </c>
      <c r="D1" s="14" t="s">
        <v>6</v>
      </c>
      <c r="E1" s="14" t="s">
        <v>133</v>
      </c>
    </row>
    <row r="2" spans="1:5" x14ac:dyDescent="0.25">
      <c r="A2" s="8" t="str">
        <f ca="1">CONCATENATE("Automation_",TEXT(NOW(),"YYYY-MM-DD"))</f>
        <v>Automation_2026-09-03</v>
      </c>
      <c r="B2" s="14" t="s">
        <v>80</v>
      </c>
      <c r="C2" s="15" t="s">
        <v>49</v>
      </c>
      <c r="D2" s="9" t="s">
        <v>45</v>
      </c>
      <c r="E2" s="7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cols>
    <col min="1" max="1" width="20.28515625" style="14" bestFit="1" customWidth="1"/>
    <col min="2" max="16384" width="9.140625" style="14"/>
  </cols>
  <sheetData>
    <row r="1" spans="1:2" x14ac:dyDescent="0.25">
      <c r="A1" s="14" t="s">
        <v>63</v>
      </c>
      <c r="B1" s="14" t="s">
        <v>48</v>
      </c>
    </row>
    <row r="2" spans="1:2" x14ac:dyDescent="0.25">
      <c r="A2" s="14" t="s">
        <v>80</v>
      </c>
      <c r="B2" s="15" t="s">
        <v>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RowHeight="15" x14ac:dyDescent="0.25"/>
  <cols>
    <col min="1" max="1" width="10.42578125" style="14" bestFit="1" customWidth="1"/>
    <col min="2" max="2" width="22" style="14" bestFit="1" customWidth="1"/>
    <col min="3" max="16384" width="9.140625" style="14"/>
  </cols>
  <sheetData>
    <row r="1" spans="1:3" x14ac:dyDescent="0.25">
      <c r="A1" s="15" t="s">
        <v>6</v>
      </c>
      <c r="B1" s="14" t="s">
        <v>127</v>
      </c>
      <c r="C1" s="14" t="s">
        <v>128</v>
      </c>
    </row>
    <row r="2" spans="1:3" x14ac:dyDescent="0.25">
      <c r="A2" s="16" t="s">
        <v>45</v>
      </c>
      <c r="B2" s="15" t="s">
        <v>132</v>
      </c>
      <c r="C2" s="14" t="s">
        <v>129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activeCell="E15" sqref="E15"/>
    </sheetView>
  </sheetViews>
  <sheetFormatPr defaultRowHeight="15" x14ac:dyDescent="0.25"/>
  <cols>
    <col min="1" max="1" width="23.7109375" bestFit="1" customWidth="1"/>
    <col min="2" max="2" width="21.140625" bestFit="1" customWidth="1"/>
    <col min="3" max="3" width="19.5703125" customWidth="1"/>
    <col min="4" max="4" width="27.140625" bestFit="1" customWidth="1"/>
    <col min="5" max="5" width="33.85546875" bestFit="1" customWidth="1"/>
    <col min="6" max="6" width="26.7109375" customWidth="1"/>
    <col min="7" max="7" width="18.140625" bestFit="1" customWidth="1"/>
    <col min="9" max="9" width="13.7109375" style="14" bestFit="1" customWidth="1"/>
    <col min="10" max="10" width="10.28515625" bestFit="1" customWidth="1"/>
  </cols>
  <sheetData>
    <row r="1" spans="1:10" x14ac:dyDescent="0.25">
      <c r="A1" s="15" t="s">
        <v>0</v>
      </c>
      <c r="B1" s="1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47</v>
      </c>
      <c r="H1" s="15" t="s">
        <v>6</v>
      </c>
      <c r="I1" s="15" t="s">
        <v>133</v>
      </c>
      <c r="J1" s="15" t="s">
        <v>48</v>
      </c>
    </row>
    <row r="2" spans="1:10" x14ac:dyDescent="0.25">
      <c r="A2" s="6" t="s">
        <v>7</v>
      </c>
      <c r="B2" s="6" t="s">
        <v>258</v>
      </c>
      <c r="C2" s="6" t="s">
        <v>112</v>
      </c>
      <c r="D2" s="6" t="s">
        <v>93</v>
      </c>
      <c r="E2" s="6" t="s">
        <v>185</v>
      </c>
      <c r="F2" s="1" t="s">
        <v>113</v>
      </c>
      <c r="G2" s="1">
        <v>100</v>
      </c>
      <c r="H2" s="9" t="s">
        <v>45</v>
      </c>
      <c r="I2" s="7" t="s">
        <v>135</v>
      </c>
      <c r="J2" s="1" t="s">
        <v>49</v>
      </c>
    </row>
    <row r="3" spans="1:10" x14ac:dyDescent="0.25">
      <c r="A3" t="s">
        <v>7</v>
      </c>
      <c r="B3" s="1" t="s">
        <v>258</v>
      </c>
      <c r="C3" s="1" t="s">
        <v>112</v>
      </c>
      <c r="D3" s="1" t="s">
        <v>93</v>
      </c>
      <c r="E3" t="s">
        <v>187</v>
      </c>
      <c r="F3" s="1" t="s">
        <v>115</v>
      </c>
      <c r="H3" s="9" t="s">
        <v>79</v>
      </c>
      <c r="I3" s="7" t="s">
        <v>136</v>
      </c>
      <c r="J3" t="s">
        <v>49</v>
      </c>
    </row>
    <row r="4" spans="1:10" x14ac:dyDescent="0.25">
      <c r="A4" t="s">
        <v>7</v>
      </c>
      <c r="B4" s="1" t="s">
        <v>258</v>
      </c>
      <c r="C4" s="1" t="s">
        <v>112</v>
      </c>
      <c r="D4" s="1" t="s">
        <v>93</v>
      </c>
      <c r="E4" t="s">
        <v>182</v>
      </c>
      <c r="F4" s="1" t="s">
        <v>114</v>
      </c>
      <c r="H4" s="9" t="s">
        <v>87</v>
      </c>
      <c r="I4" s="7" t="s">
        <v>167</v>
      </c>
      <c r="J4" t="s">
        <v>49</v>
      </c>
    </row>
    <row r="5" spans="1:10" x14ac:dyDescent="0.25">
      <c r="A5" t="s">
        <v>7</v>
      </c>
      <c r="B5" s="1" t="s">
        <v>258</v>
      </c>
      <c r="C5" s="1" t="s">
        <v>112</v>
      </c>
      <c r="D5" s="1" t="s">
        <v>93</v>
      </c>
      <c r="E5" t="s">
        <v>184</v>
      </c>
      <c r="F5" s="1" t="s">
        <v>117</v>
      </c>
      <c r="H5" s="9" t="s">
        <v>119</v>
      </c>
      <c r="I5" s="7" t="s">
        <v>137</v>
      </c>
      <c r="J5" t="s">
        <v>49</v>
      </c>
    </row>
    <row r="6" spans="1:10" x14ac:dyDescent="0.25">
      <c r="A6" t="s">
        <v>7</v>
      </c>
      <c r="B6" s="1" t="s">
        <v>258</v>
      </c>
      <c r="C6" s="1" t="s">
        <v>112</v>
      </c>
      <c r="D6" s="1" t="s">
        <v>93</v>
      </c>
      <c r="E6" t="s">
        <v>219</v>
      </c>
      <c r="F6" s="1" t="s">
        <v>118</v>
      </c>
      <c r="H6" s="9" t="s">
        <v>120</v>
      </c>
      <c r="I6" s="7" t="s">
        <v>138</v>
      </c>
      <c r="J6" t="s">
        <v>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E3" sqref="E3"/>
    </sheetView>
  </sheetViews>
  <sheetFormatPr defaultRowHeight="15" x14ac:dyDescent="0.25"/>
  <cols>
    <col min="1" max="1" width="23.7109375" style="14" bestFit="1" customWidth="1"/>
    <col min="2" max="2" width="22.5703125" style="14" bestFit="1" customWidth="1"/>
    <col min="3" max="3" width="26.85546875" style="14" bestFit="1" customWidth="1"/>
    <col min="4" max="4" width="27.140625" style="14" bestFit="1" customWidth="1"/>
    <col min="5" max="5" width="33.85546875" style="14" bestFit="1" customWidth="1"/>
    <col min="6" max="6" width="22" style="14" bestFit="1" customWidth="1"/>
    <col min="7" max="7" width="18.140625" style="14" bestFit="1" customWidth="1"/>
    <col min="8" max="8" width="3.28515625" style="14" bestFit="1" customWidth="1"/>
    <col min="9" max="9" width="30.28515625" style="14" bestFit="1" customWidth="1"/>
    <col min="10" max="10" width="10.28515625" style="14" bestFit="1" customWidth="1"/>
    <col min="11" max="16384" width="9.140625" style="14"/>
  </cols>
  <sheetData>
    <row r="1" spans="1:10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47</v>
      </c>
      <c r="H1" s="15" t="s">
        <v>6</v>
      </c>
      <c r="I1" s="15" t="s">
        <v>133</v>
      </c>
      <c r="J1" s="15" t="s">
        <v>48</v>
      </c>
    </row>
    <row r="2" spans="1:10" x14ac:dyDescent="0.25">
      <c r="A2" s="6" t="s">
        <v>7</v>
      </c>
      <c r="B2" s="6" t="s">
        <v>463</v>
      </c>
      <c r="C2" s="6" t="s">
        <v>464</v>
      </c>
      <c r="D2" s="6" t="s">
        <v>93</v>
      </c>
      <c r="E2" s="6" t="s">
        <v>185</v>
      </c>
      <c r="F2" s="15" t="s">
        <v>113</v>
      </c>
      <c r="G2" s="15">
        <v>100</v>
      </c>
      <c r="H2" s="9" t="s">
        <v>45</v>
      </c>
      <c r="I2" s="7" t="s">
        <v>135</v>
      </c>
      <c r="J2" s="15" t="s">
        <v>49</v>
      </c>
    </row>
    <row r="3" spans="1:10" x14ac:dyDescent="0.25">
      <c r="A3" s="14" t="s">
        <v>7</v>
      </c>
      <c r="B3" s="6" t="s">
        <v>463</v>
      </c>
      <c r="C3" s="6" t="s">
        <v>464</v>
      </c>
      <c r="D3" s="15" t="s">
        <v>93</v>
      </c>
      <c r="E3" s="14" t="s">
        <v>186</v>
      </c>
      <c r="F3" s="15" t="s">
        <v>116</v>
      </c>
      <c r="H3" s="9" t="s">
        <v>78</v>
      </c>
      <c r="I3" s="7" t="s">
        <v>139</v>
      </c>
      <c r="J3" s="14" t="s">
        <v>49</v>
      </c>
    </row>
    <row r="4" spans="1:10" x14ac:dyDescent="0.25">
      <c r="A4" s="14" t="s">
        <v>7</v>
      </c>
      <c r="B4" s="6" t="s">
        <v>463</v>
      </c>
      <c r="C4" s="6" t="s">
        <v>464</v>
      </c>
      <c r="D4" s="15" t="s">
        <v>93</v>
      </c>
      <c r="E4" s="14" t="s">
        <v>187</v>
      </c>
      <c r="F4" s="15" t="s">
        <v>115</v>
      </c>
      <c r="H4" s="9" t="s">
        <v>79</v>
      </c>
      <c r="I4" s="7" t="s">
        <v>136</v>
      </c>
      <c r="J4" s="14" t="s">
        <v>49</v>
      </c>
    </row>
    <row r="5" spans="1:10" x14ac:dyDescent="0.25">
      <c r="A5" s="14" t="s">
        <v>7</v>
      </c>
      <c r="B5" s="6" t="s">
        <v>463</v>
      </c>
      <c r="C5" s="6" t="s">
        <v>464</v>
      </c>
      <c r="D5" s="15" t="s">
        <v>93</v>
      </c>
      <c r="E5" s="14" t="s">
        <v>182</v>
      </c>
      <c r="F5" s="15" t="s">
        <v>114</v>
      </c>
      <c r="H5" s="9" t="s">
        <v>87</v>
      </c>
      <c r="I5" s="7" t="s">
        <v>484</v>
      </c>
      <c r="J5" s="14" t="s">
        <v>49</v>
      </c>
    </row>
    <row r="6" spans="1:10" x14ac:dyDescent="0.25">
      <c r="A6" s="14" t="s">
        <v>7</v>
      </c>
      <c r="B6" s="6" t="s">
        <v>463</v>
      </c>
      <c r="C6" s="6" t="s">
        <v>464</v>
      </c>
      <c r="D6" s="15" t="s">
        <v>93</v>
      </c>
      <c r="E6" s="14" t="s">
        <v>184</v>
      </c>
      <c r="F6" s="15" t="s">
        <v>117</v>
      </c>
      <c r="H6" s="9" t="s">
        <v>119</v>
      </c>
      <c r="I6" s="7" t="s">
        <v>137</v>
      </c>
      <c r="J6" s="14" t="s">
        <v>49</v>
      </c>
    </row>
    <row r="7" spans="1:10" x14ac:dyDescent="0.25">
      <c r="A7" s="14" t="s">
        <v>7</v>
      </c>
      <c r="B7" s="6" t="s">
        <v>463</v>
      </c>
      <c r="C7" s="6" t="s">
        <v>464</v>
      </c>
      <c r="D7" s="15" t="s">
        <v>93</v>
      </c>
      <c r="E7" s="14" t="s">
        <v>219</v>
      </c>
      <c r="F7" s="15" t="s">
        <v>118</v>
      </c>
      <c r="H7" s="9" t="s">
        <v>120</v>
      </c>
      <c r="I7" s="7" t="s">
        <v>138</v>
      </c>
      <c r="J7" s="14" t="s">
        <v>49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zoomScaleNormal="100" workbookViewId="0">
      <selection activeCell="E10" sqref="E10"/>
    </sheetView>
  </sheetViews>
  <sheetFormatPr defaultColWidth="12.7109375" defaultRowHeight="15" x14ac:dyDescent="0.25"/>
  <cols>
    <col min="5" max="5" width="15" customWidth="1"/>
    <col min="6" max="6" width="16.42578125" style="14" bestFit="1" customWidth="1"/>
    <col min="8" max="8" width="12.7109375" style="6"/>
    <col min="9" max="9" width="13.5703125" style="6" bestFit="1" customWidth="1"/>
    <col min="10" max="10" width="12.7109375" style="6"/>
  </cols>
  <sheetData>
    <row r="1" spans="1:12" x14ac:dyDescent="0.25">
      <c r="A1" s="1" t="s">
        <v>77</v>
      </c>
      <c r="B1" s="1" t="s">
        <v>8</v>
      </c>
      <c r="C1" s="1" t="s">
        <v>50</v>
      </c>
      <c r="D1" s="1" t="s">
        <v>9</v>
      </c>
      <c r="E1" s="1" t="s">
        <v>6</v>
      </c>
      <c r="F1" s="15" t="s">
        <v>133</v>
      </c>
      <c r="G1" t="s">
        <v>48</v>
      </c>
      <c r="H1" s="6" t="s">
        <v>105</v>
      </c>
      <c r="I1" s="6" t="s">
        <v>99</v>
      </c>
      <c r="J1" s="15" t="s">
        <v>215</v>
      </c>
      <c r="K1" s="2" t="s">
        <v>127</v>
      </c>
      <c r="L1" s="2" t="s">
        <v>128</v>
      </c>
    </row>
    <row r="2" spans="1:12" x14ac:dyDescent="0.25">
      <c r="A2" s="1" t="s">
        <v>465</v>
      </c>
      <c r="B2" s="4" t="s">
        <v>486</v>
      </c>
      <c r="C2" s="4" t="s">
        <v>273</v>
      </c>
      <c r="D2" s="15" t="s">
        <v>10</v>
      </c>
      <c r="E2" s="10" t="s">
        <v>81</v>
      </c>
      <c r="F2" s="7" t="s">
        <v>140</v>
      </c>
      <c r="G2" s="6" t="s">
        <v>49</v>
      </c>
      <c r="H2" s="13" t="s">
        <v>466</v>
      </c>
      <c r="I2" s="13" t="s">
        <v>491</v>
      </c>
      <c r="J2" s="15" t="s">
        <v>207</v>
      </c>
      <c r="L2" t="s">
        <v>129</v>
      </c>
    </row>
    <row r="3" spans="1:12" x14ac:dyDescent="0.25">
      <c r="A3" s="5">
        <v>64892989</v>
      </c>
      <c r="B3" s="4" t="s">
        <v>387</v>
      </c>
      <c r="C3" s="4">
        <v>0</v>
      </c>
      <c r="D3" s="4" t="s">
        <v>10</v>
      </c>
      <c r="E3" s="10" t="s">
        <v>82</v>
      </c>
      <c r="F3" s="7" t="s">
        <v>153</v>
      </c>
      <c r="G3" t="s">
        <v>49</v>
      </c>
      <c r="H3" s="13" t="s">
        <v>467</v>
      </c>
      <c r="I3" s="13" t="s">
        <v>492</v>
      </c>
      <c r="J3" s="15" t="s">
        <v>207</v>
      </c>
      <c r="L3" t="s">
        <v>129</v>
      </c>
    </row>
    <row r="4" spans="1:12" x14ac:dyDescent="0.25">
      <c r="A4" s="15" t="s">
        <v>465</v>
      </c>
      <c r="B4" s="4" t="s">
        <v>486</v>
      </c>
      <c r="C4" s="4" t="s">
        <v>273</v>
      </c>
      <c r="D4" s="15" t="s">
        <v>10</v>
      </c>
      <c r="E4" s="10" t="s">
        <v>106</v>
      </c>
      <c r="F4" s="7" t="s">
        <v>141</v>
      </c>
      <c r="G4" t="s">
        <v>49</v>
      </c>
      <c r="H4" s="13" t="s">
        <v>466</v>
      </c>
      <c r="I4" s="13" t="s">
        <v>491</v>
      </c>
      <c r="J4" s="15" t="s">
        <v>207</v>
      </c>
      <c r="L4" t="s">
        <v>129</v>
      </c>
    </row>
    <row r="5" spans="1:12" x14ac:dyDescent="0.25">
      <c r="A5" s="5">
        <v>64892989</v>
      </c>
      <c r="B5" s="4" t="s">
        <v>387</v>
      </c>
      <c r="C5" s="4">
        <v>0</v>
      </c>
      <c r="D5" s="4" t="s">
        <v>10</v>
      </c>
      <c r="E5" s="10" t="s">
        <v>107</v>
      </c>
      <c r="F5" s="7" t="s">
        <v>142</v>
      </c>
      <c r="G5" t="s">
        <v>49</v>
      </c>
      <c r="H5" s="13" t="s">
        <v>467</v>
      </c>
      <c r="I5" s="13" t="s">
        <v>492</v>
      </c>
      <c r="J5" s="15" t="s">
        <v>207</v>
      </c>
      <c r="L5" t="s">
        <v>129</v>
      </c>
    </row>
    <row r="6" spans="1:12" x14ac:dyDescent="0.25">
      <c r="A6" s="15" t="s">
        <v>465</v>
      </c>
      <c r="B6" s="4" t="s">
        <v>486</v>
      </c>
      <c r="C6" s="4" t="s">
        <v>273</v>
      </c>
      <c r="D6" s="15" t="s">
        <v>10</v>
      </c>
      <c r="E6" s="10" t="s">
        <v>108</v>
      </c>
      <c r="F6" s="7" t="s">
        <v>143</v>
      </c>
      <c r="G6" t="s">
        <v>49</v>
      </c>
      <c r="H6" s="13" t="s">
        <v>466</v>
      </c>
      <c r="I6" s="13" t="s">
        <v>491</v>
      </c>
      <c r="J6" s="15" t="s">
        <v>207</v>
      </c>
      <c r="L6" t="s">
        <v>129</v>
      </c>
    </row>
    <row r="7" spans="1:12" x14ac:dyDescent="0.25">
      <c r="A7" s="5">
        <v>64892989</v>
      </c>
      <c r="B7" s="4" t="s">
        <v>387</v>
      </c>
      <c r="C7" s="4">
        <v>0</v>
      </c>
      <c r="D7" s="4" t="s">
        <v>10</v>
      </c>
      <c r="E7" s="10" t="s">
        <v>109</v>
      </c>
      <c r="F7" s="7" t="s">
        <v>144</v>
      </c>
      <c r="G7" t="s">
        <v>49</v>
      </c>
      <c r="H7" s="13" t="s">
        <v>467</v>
      </c>
      <c r="I7" s="13" t="s">
        <v>492</v>
      </c>
      <c r="J7" s="15" t="s">
        <v>207</v>
      </c>
      <c r="L7" t="s">
        <v>129</v>
      </c>
    </row>
    <row r="8" spans="1:12" x14ac:dyDescent="0.25">
      <c r="A8" s="15" t="s">
        <v>465</v>
      </c>
      <c r="B8" s="4" t="s">
        <v>486</v>
      </c>
      <c r="C8" s="4" t="s">
        <v>273</v>
      </c>
      <c r="D8" s="15" t="s">
        <v>10</v>
      </c>
      <c r="E8" s="10" t="s">
        <v>110</v>
      </c>
      <c r="F8" s="7" t="s">
        <v>145</v>
      </c>
      <c r="G8" t="s">
        <v>49</v>
      </c>
      <c r="H8" s="13" t="s">
        <v>466</v>
      </c>
      <c r="I8" s="13" t="s">
        <v>491</v>
      </c>
      <c r="J8" s="15" t="s">
        <v>207</v>
      </c>
      <c r="L8" t="s">
        <v>129</v>
      </c>
    </row>
    <row r="9" spans="1:12" x14ac:dyDescent="0.25">
      <c r="A9" s="5">
        <v>64892989</v>
      </c>
      <c r="B9" s="4" t="s">
        <v>387</v>
      </c>
      <c r="C9" s="4">
        <v>0</v>
      </c>
      <c r="D9" s="4" t="s">
        <v>10</v>
      </c>
      <c r="E9" s="10" t="s">
        <v>111</v>
      </c>
      <c r="F9" s="7" t="s">
        <v>146</v>
      </c>
      <c r="G9" t="s">
        <v>49</v>
      </c>
      <c r="H9" s="13" t="s">
        <v>467</v>
      </c>
      <c r="I9" s="13" t="s">
        <v>492</v>
      </c>
      <c r="J9" s="15" t="s">
        <v>207</v>
      </c>
      <c r="L9" t="s">
        <v>129</v>
      </c>
    </row>
    <row r="10" spans="1:12" x14ac:dyDescent="0.25">
      <c r="A10" s="15" t="s">
        <v>465</v>
      </c>
      <c r="B10" s="4" t="s">
        <v>486</v>
      </c>
      <c r="C10" s="4" t="s">
        <v>273</v>
      </c>
      <c r="D10" s="15" t="s">
        <v>10</v>
      </c>
      <c r="E10" s="10" t="s">
        <v>121</v>
      </c>
      <c r="F10" s="7" t="s">
        <v>147</v>
      </c>
      <c r="G10" t="s">
        <v>49</v>
      </c>
      <c r="H10" s="13" t="s">
        <v>466</v>
      </c>
      <c r="I10" s="13" t="s">
        <v>491</v>
      </c>
      <c r="J10" s="15" t="s">
        <v>207</v>
      </c>
      <c r="L10" t="s">
        <v>129</v>
      </c>
    </row>
    <row r="11" spans="1:12" x14ac:dyDescent="0.25">
      <c r="A11" s="5">
        <v>64892989</v>
      </c>
      <c r="B11" s="4" t="s">
        <v>387</v>
      </c>
      <c r="C11" s="4">
        <v>0</v>
      </c>
      <c r="D11" s="4" t="s">
        <v>10</v>
      </c>
      <c r="E11" s="10" t="s">
        <v>122</v>
      </c>
      <c r="F11" s="7" t="s">
        <v>148</v>
      </c>
      <c r="G11" t="s">
        <v>49</v>
      </c>
      <c r="H11" s="13" t="s">
        <v>467</v>
      </c>
      <c r="I11" s="13" t="s">
        <v>492</v>
      </c>
      <c r="J11" s="15" t="s">
        <v>207</v>
      </c>
      <c r="L11" t="s">
        <v>129</v>
      </c>
    </row>
    <row r="12" spans="1:12" x14ac:dyDescent="0.25">
      <c r="A12" s="15" t="s">
        <v>465</v>
      </c>
      <c r="B12" s="4" t="s">
        <v>486</v>
      </c>
      <c r="C12" s="4" t="s">
        <v>273</v>
      </c>
      <c r="D12" s="15" t="s">
        <v>10</v>
      </c>
      <c r="E12" s="10" t="s">
        <v>123</v>
      </c>
      <c r="F12" s="7" t="s">
        <v>149</v>
      </c>
      <c r="G12" t="s">
        <v>49</v>
      </c>
      <c r="H12" s="13" t="s">
        <v>466</v>
      </c>
      <c r="I12" s="13" t="s">
        <v>491</v>
      </c>
      <c r="J12" s="15" t="s">
        <v>207</v>
      </c>
      <c r="L12" t="s">
        <v>129</v>
      </c>
    </row>
    <row r="13" spans="1:12" x14ac:dyDescent="0.25">
      <c r="A13" s="5">
        <v>64892989</v>
      </c>
      <c r="B13" s="4" t="s">
        <v>387</v>
      </c>
      <c r="C13" s="4">
        <v>0</v>
      </c>
      <c r="D13" s="4" t="s">
        <v>10</v>
      </c>
      <c r="E13" s="10" t="s">
        <v>124</v>
      </c>
      <c r="F13" s="7" t="s">
        <v>150</v>
      </c>
      <c r="G13" t="s">
        <v>49</v>
      </c>
      <c r="H13" s="13" t="s">
        <v>467</v>
      </c>
      <c r="I13" s="13" t="s">
        <v>492</v>
      </c>
      <c r="J13" s="15" t="s">
        <v>207</v>
      </c>
      <c r="L13" t="s">
        <v>129</v>
      </c>
    </row>
    <row r="14" spans="1:12" x14ac:dyDescent="0.25">
      <c r="A14" s="15" t="s">
        <v>465</v>
      </c>
      <c r="B14" s="4" t="s">
        <v>486</v>
      </c>
      <c r="C14" s="4" t="s">
        <v>273</v>
      </c>
      <c r="D14" s="15" t="s">
        <v>10</v>
      </c>
      <c r="E14" s="10" t="s">
        <v>125</v>
      </c>
      <c r="F14" s="7" t="s">
        <v>151</v>
      </c>
      <c r="G14" t="s">
        <v>49</v>
      </c>
      <c r="H14" s="13" t="s">
        <v>466</v>
      </c>
      <c r="I14" s="13" t="s">
        <v>491</v>
      </c>
      <c r="J14" s="15" t="s">
        <v>207</v>
      </c>
      <c r="L14" t="s">
        <v>129</v>
      </c>
    </row>
    <row r="15" spans="1:12" x14ac:dyDescent="0.25">
      <c r="A15" s="5">
        <v>64892989</v>
      </c>
      <c r="B15" s="4" t="s">
        <v>387</v>
      </c>
      <c r="C15" s="4">
        <v>0</v>
      </c>
      <c r="D15" s="4" t="s">
        <v>10</v>
      </c>
      <c r="E15" s="10" t="s">
        <v>126</v>
      </c>
      <c r="F15" s="7" t="s">
        <v>152</v>
      </c>
      <c r="G15" t="s">
        <v>49</v>
      </c>
      <c r="H15" s="13" t="s">
        <v>467</v>
      </c>
      <c r="I15" s="13" t="s">
        <v>492</v>
      </c>
      <c r="J15" s="15" t="s">
        <v>207</v>
      </c>
      <c r="L15" t="s">
        <v>129</v>
      </c>
    </row>
    <row r="16" spans="1:12" s="14" customFormat="1" x14ac:dyDescent="0.25">
      <c r="A16" s="5">
        <v>64892989</v>
      </c>
      <c r="B16" s="4" t="s">
        <v>273</v>
      </c>
      <c r="C16" s="4">
        <v>0</v>
      </c>
      <c r="D16" s="4">
        <v>1</v>
      </c>
      <c r="E16" s="16" t="s">
        <v>229</v>
      </c>
      <c r="F16" s="7" t="s">
        <v>230</v>
      </c>
      <c r="G16" s="14" t="s">
        <v>49</v>
      </c>
      <c r="H16" s="13" t="s">
        <v>467</v>
      </c>
      <c r="I16" s="13">
        <v>2795.48</v>
      </c>
      <c r="J16" s="15" t="s">
        <v>49</v>
      </c>
      <c r="L16" s="14" t="s">
        <v>129</v>
      </c>
    </row>
    <row r="22" spans="5:10" x14ac:dyDescent="0.25">
      <c r="E22" s="14"/>
      <c r="F22"/>
      <c r="G22" s="6"/>
      <c r="J22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zoomScaleNormal="100" workbookViewId="0">
      <selection activeCell="H7" sqref="H7"/>
    </sheetView>
  </sheetViews>
  <sheetFormatPr defaultRowHeight="15" x14ac:dyDescent="0.25"/>
  <cols>
    <col min="2" max="2" width="23.5703125" style="14" bestFit="1" customWidth="1"/>
    <col min="3" max="3" width="21.5703125" bestFit="1" customWidth="1"/>
    <col min="5" max="5" width="13.5703125" bestFit="1" customWidth="1"/>
    <col min="6" max="6" width="9.140625" style="14"/>
    <col min="7" max="7" width="11.7109375" bestFit="1" customWidth="1"/>
    <col min="8" max="8" width="9.140625" style="14"/>
    <col min="10" max="10" width="11.85546875" bestFit="1" customWidth="1"/>
    <col min="11" max="11" width="19" bestFit="1" customWidth="1"/>
  </cols>
  <sheetData>
    <row r="1" spans="1:11" x14ac:dyDescent="0.25">
      <c r="A1" s="9" t="s">
        <v>6</v>
      </c>
      <c r="B1" s="9" t="s">
        <v>133</v>
      </c>
      <c r="C1" s="9" t="s">
        <v>97</v>
      </c>
      <c r="D1" s="9" t="s">
        <v>48</v>
      </c>
      <c r="E1" s="9" t="s">
        <v>99</v>
      </c>
      <c r="F1" s="9" t="s">
        <v>304</v>
      </c>
      <c r="G1" s="9" t="s">
        <v>100</v>
      </c>
      <c r="H1" s="9" t="s">
        <v>305</v>
      </c>
      <c r="I1" s="9" t="s">
        <v>101</v>
      </c>
      <c r="J1" s="9" t="s">
        <v>102</v>
      </c>
      <c r="K1" s="15" t="s">
        <v>215</v>
      </c>
    </row>
    <row r="2" spans="1:11" x14ac:dyDescent="0.25">
      <c r="A2" s="9" t="s">
        <v>45</v>
      </c>
      <c r="B2" s="7" t="s">
        <v>154</v>
      </c>
      <c r="C2" s="9" t="s">
        <v>210</v>
      </c>
      <c r="D2" s="9" t="s">
        <v>49</v>
      </c>
      <c r="E2" s="9" t="s">
        <v>487</v>
      </c>
      <c r="F2" s="9" t="s">
        <v>10</v>
      </c>
      <c r="G2" s="9" t="s">
        <v>490</v>
      </c>
      <c r="H2" s="21" t="s">
        <v>493</v>
      </c>
      <c r="I2" s="9" t="s">
        <v>488</v>
      </c>
      <c r="J2" s="25" t="s">
        <v>489</v>
      </c>
      <c r="K2" s="15" t="s">
        <v>207</v>
      </c>
    </row>
    <row r="3" spans="1:11" x14ac:dyDescent="0.25">
      <c r="A3" s="9" t="s">
        <v>78</v>
      </c>
      <c r="B3" s="7" t="s">
        <v>155</v>
      </c>
      <c r="C3" s="9" t="s">
        <v>210</v>
      </c>
      <c r="D3" s="9" t="s">
        <v>49</v>
      </c>
      <c r="E3" s="9" t="s">
        <v>487</v>
      </c>
      <c r="F3" s="9" t="s">
        <v>10</v>
      </c>
      <c r="G3" s="9" t="s">
        <v>490</v>
      </c>
      <c r="H3" s="21" t="s">
        <v>493</v>
      </c>
      <c r="I3" s="9" t="s">
        <v>488</v>
      </c>
      <c r="J3" s="25" t="s">
        <v>489</v>
      </c>
      <c r="K3" s="15" t="s">
        <v>207</v>
      </c>
    </row>
    <row r="4" spans="1:11" x14ac:dyDescent="0.25">
      <c r="A4" s="9" t="s">
        <v>79</v>
      </c>
      <c r="B4" s="7" t="s">
        <v>156</v>
      </c>
      <c r="C4" s="9" t="s">
        <v>210</v>
      </c>
      <c r="D4" s="9" t="s">
        <v>49</v>
      </c>
      <c r="E4" s="9" t="s">
        <v>487</v>
      </c>
      <c r="F4" s="9" t="s">
        <v>10</v>
      </c>
      <c r="G4" s="9" t="s">
        <v>490</v>
      </c>
      <c r="H4" s="21" t="s">
        <v>493</v>
      </c>
      <c r="I4" s="9" t="s">
        <v>488</v>
      </c>
      <c r="J4" s="25" t="s">
        <v>489</v>
      </c>
      <c r="K4" s="15" t="s">
        <v>207</v>
      </c>
    </row>
    <row r="5" spans="1:11" x14ac:dyDescent="0.25">
      <c r="A5" s="9" t="s">
        <v>87</v>
      </c>
      <c r="B5" s="7" t="s">
        <v>157</v>
      </c>
      <c r="C5" s="9" t="s">
        <v>210</v>
      </c>
      <c r="D5" s="9" t="s">
        <v>49</v>
      </c>
      <c r="E5" s="9" t="s">
        <v>487</v>
      </c>
      <c r="F5" s="9" t="s">
        <v>10</v>
      </c>
      <c r="G5" s="9" t="s">
        <v>490</v>
      </c>
      <c r="H5" s="21" t="s">
        <v>493</v>
      </c>
      <c r="I5" s="9" t="s">
        <v>488</v>
      </c>
      <c r="J5" s="25" t="s">
        <v>489</v>
      </c>
      <c r="K5" s="15" t="s">
        <v>207</v>
      </c>
    </row>
    <row r="6" spans="1:11" s="14" customFormat="1" x14ac:dyDescent="0.25">
      <c r="A6" s="9" t="s">
        <v>119</v>
      </c>
      <c r="B6" s="7" t="s">
        <v>158</v>
      </c>
      <c r="C6" s="9" t="s">
        <v>210</v>
      </c>
      <c r="D6" s="9" t="s">
        <v>49</v>
      </c>
      <c r="E6" s="9" t="s">
        <v>487</v>
      </c>
      <c r="F6" s="9" t="s">
        <v>10</v>
      </c>
      <c r="G6" s="9" t="s">
        <v>490</v>
      </c>
      <c r="H6" s="21" t="s">
        <v>493</v>
      </c>
      <c r="I6" s="9" t="s">
        <v>488</v>
      </c>
      <c r="J6" s="25" t="s">
        <v>489</v>
      </c>
      <c r="K6" s="15" t="s">
        <v>207</v>
      </c>
    </row>
    <row r="7" spans="1:11" s="14" customFormat="1" x14ac:dyDescent="0.25">
      <c r="A7" s="9" t="s">
        <v>120</v>
      </c>
      <c r="B7" s="7" t="s">
        <v>159</v>
      </c>
      <c r="C7" s="9" t="s">
        <v>210</v>
      </c>
      <c r="D7" s="9" t="s">
        <v>49</v>
      </c>
      <c r="E7" s="9" t="s">
        <v>487</v>
      </c>
      <c r="F7" s="9" t="s">
        <v>10</v>
      </c>
      <c r="G7" s="9" t="s">
        <v>490</v>
      </c>
      <c r="H7" s="21" t="s">
        <v>493</v>
      </c>
      <c r="I7" s="9" t="s">
        <v>488</v>
      </c>
      <c r="J7" s="25" t="s">
        <v>489</v>
      </c>
      <c r="K7" s="15" t="s">
        <v>207</v>
      </c>
    </row>
    <row r="8" spans="1:11" x14ac:dyDescent="0.25">
      <c r="B8"/>
      <c r="F8"/>
      <c r="H8"/>
    </row>
    <row r="9" spans="1:11" x14ac:dyDescent="0.25">
      <c r="B9"/>
      <c r="F9"/>
      <c r="H9"/>
    </row>
    <row r="10" spans="1:11" x14ac:dyDescent="0.25">
      <c r="B10"/>
      <c r="F10"/>
      <c r="H10"/>
    </row>
    <row r="11" spans="1:11" x14ac:dyDescent="0.25">
      <c r="B11"/>
      <c r="F11"/>
      <c r="H11"/>
    </row>
    <row r="12" spans="1:11" x14ac:dyDescent="0.25">
      <c r="B12"/>
      <c r="F12"/>
      <c r="H12"/>
    </row>
    <row r="13" spans="1:11" x14ac:dyDescent="0.25">
      <c r="B13"/>
      <c r="F13"/>
      <c r="H13"/>
    </row>
    <row r="14" spans="1:11" x14ac:dyDescent="0.25">
      <c r="B14"/>
      <c r="F14"/>
      <c r="H14"/>
    </row>
    <row r="15" spans="1:11" x14ac:dyDescent="0.25">
      <c r="B15"/>
      <c r="F15"/>
      <c r="H15"/>
    </row>
    <row r="16" spans="1:11" x14ac:dyDescent="0.25">
      <c r="B16"/>
      <c r="F16"/>
      <c r="H16"/>
    </row>
    <row r="17" spans="2:8" x14ac:dyDescent="0.25">
      <c r="B17"/>
      <c r="F17"/>
      <c r="H17"/>
    </row>
    <row r="18" spans="2:8" x14ac:dyDescent="0.25">
      <c r="B18"/>
      <c r="F18"/>
      <c r="H18"/>
    </row>
    <row r="19" spans="2:8" x14ac:dyDescent="0.25">
      <c r="B19"/>
      <c r="F19"/>
      <c r="H19"/>
    </row>
    <row r="20" spans="2:8" x14ac:dyDescent="0.25">
      <c r="B20"/>
      <c r="F20"/>
      <c r="H20"/>
    </row>
    <row r="21" spans="2:8" x14ac:dyDescent="0.25">
      <c r="B21"/>
      <c r="F21"/>
      <c r="H21"/>
    </row>
    <row r="22" spans="2:8" x14ac:dyDescent="0.25">
      <c r="B22"/>
      <c r="F22"/>
      <c r="H22"/>
    </row>
    <row r="23" spans="2:8" x14ac:dyDescent="0.25">
      <c r="B23"/>
      <c r="F23"/>
      <c r="H23"/>
    </row>
    <row r="24" spans="2:8" x14ac:dyDescent="0.25">
      <c r="B24"/>
      <c r="F24"/>
      <c r="H24"/>
    </row>
    <row r="25" spans="2:8" x14ac:dyDescent="0.25">
      <c r="B25"/>
      <c r="F25"/>
      <c r="H25"/>
    </row>
    <row r="26" spans="2:8" x14ac:dyDescent="0.25">
      <c r="B26"/>
      <c r="F26"/>
      <c r="H26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3" sqref="D3"/>
    </sheetView>
  </sheetViews>
  <sheetFormatPr defaultColWidth="9.140625" defaultRowHeight="15" x14ac:dyDescent="0.25"/>
  <cols>
    <col min="1" max="1" width="15.28515625" style="14" customWidth="1"/>
    <col min="2" max="2" width="22.85546875" style="14" bestFit="1" customWidth="1"/>
    <col min="3" max="3" width="21.7109375" style="14" customWidth="1"/>
    <col min="4" max="4" width="17.285156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4" t="s">
        <v>128</v>
      </c>
    </row>
    <row r="2" spans="1:4" x14ac:dyDescent="0.25">
      <c r="A2" s="16" t="s">
        <v>82</v>
      </c>
      <c r="B2" s="7" t="s">
        <v>160</v>
      </c>
      <c r="C2" s="15" t="s">
        <v>130</v>
      </c>
      <c r="D2" s="14" t="s">
        <v>129</v>
      </c>
    </row>
    <row r="3" spans="1:4" x14ac:dyDescent="0.25">
      <c r="A3" s="16" t="s">
        <v>107</v>
      </c>
      <c r="B3" s="7" t="s">
        <v>161</v>
      </c>
      <c r="C3" s="15" t="s">
        <v>130</v>
      </c>
      <c r="D3" s="14" t="s">
        <v>129</v>
      </c>
    </row>
    <row r="4" spans="1:4" x14ac:dyDescent="0.25">
      <c r="A4" s="16" t="s">
        <v>109</v>
      </c>
      <c r="B4" s="7" t="s">
        <v>162</v>
      </c>
      <c r="C4" s="15" t="s">
        <v>130</v>
      </c>
      <c r="D4" s="14" t="s">
        <v>129</v>
      </c>
    </row>
    <row r="5" spans="1:4" x14ac:dyDescent="0.25">
      <c r="A5" s="16" t="s">
        <v>111</v>
      </c>
      <c r="B5" s="7" t="s">
        <v>163</v>
      </c>
      <c r="C5" s="15" t="s">
        <v>130</v>
      </c>
      <c r="D5" s="14" t="s">
        <v>129</v>
      </c>
    </row>
    <row r="6" spans="1:4" x14ac:dyDescent="0.25">
      <c r="A6" s="16" t="s">
        <v>122</v>
      </c>
      <c r="B6" s="7" t="s">
        <v>164</v>
      </c>
      <c r="C6" s="15" t="s">
        <v>130</v>
      </c>
      <c r="D6" s="14" t="s">
        <v>129</v>
      </c>
    </row>
    <row r="7" spans="1:4" x14ac:dyDescent="0.25">
      <c r="A7" s="16" t="s">
        <v>124</v>
      </c>
      <c r="B7" s="7" t="s">
        <v>165</v>
      </c>
      <c r="C7" s="15" t="s">
        <v>130</v>
      </c>
      <c r="D7" s="14" t="s">
        <v>129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zoomScaleNormal="100" workbookViewId="0">
      <selection activeCell="A2" sqref="A2:K2"/>
    </sheetView>
  </sheetViews>
  <sheetFormatPr defaultRowHeight="15" x14ac:dyDescent="0.25"/>
  <cols>
    <col min="1" max="1" width="21.5703125" bestFit="1" customWidth="1"/>
    <col min="2" max="2" width="21.5703125" customWidth="1"/>
    <col min="3" max="3" width="29.5703125" customWidth="1"/>
    <col min="4" max="4" width="34.7109375" bestFit="1" customWidth="1"/>
    <col min="5" max="5" width="14.42578125" customWidth="1"/>
    <col min="6" max="6" width="14.28515625" customWidth="1"/>
    <col min="8" max="8" width="23.140625" style="14" bestFit="1" customWidth="1"/>
  </cols>
  <sheetData>
    <row r="1" spans="1:10" x14ac:dyDescent="0.25">
      <c r="A1" s="2" t="s">
        <v>1</v>
      </c>
      <c r="B1" s="2" t="s">
        <v>51</v>
      </c>
      <c r="C1" s="2" t="s">
        <v>3</v>
      </c>
      <c r="D1" s="2" t="s">
        <v>4</v>
      </c>
      <c r="E1" s="2" t="s">
        <v>40</v>
      </c>
      <c r="F1" s="2" t="s">
        <v>41</v>
      </c>
      <c r="G1" s="2" t="s">
        <v>6</v>
      </c>
      <c r="H1" s="2" t="s">
        <v>133</v>
      </c>
      <c r="I1" s="2" t="s">
        <v>48</v>
      </c>
      <c r="J1" s="15" t="s">
        <v>208</v>
      </c>
    </row>
    <row r="2" spans="1:10" x14ac:dyDescent="0.25">
      <c r="A2" s="13" t="s">
        <v>470</v>
      </c>
      <c r="B2" s="1" t="s">
        <v>464</v>
      </c>
      <c r="C2" s="1" t="s">
        <v>93</v>
      </c>
      <c r="D2" t="s">
        <v>182</v>
      </c>
      <c r="E2" s="6" t="str">
        <f ca="1">TEXT(NOW(),"YYYY-MM-DD")</f>
        <v>2026-09-03</v>
      </c>
      <c r="F2" s="6" t="str">
        <f ca="1">TEXT(NOW(),"YYYY-MM-DD")</f>
        <v>2026-09-03</v>
      </c>
      <c r="G2" s="9" t="s">
        <v>45</v>
      </c>
      <c r="H2" s="13" t="s">
        <v>166</v>
      </c>
      <c r="I2" s="1" t="s">
        <v>49</v>
      </c>
      <c r="J2" s="15" t="s">
        <v>207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5" sqref="D5"/>
    </sheetView>
  </sheetViews>
  <sheetFormatPr defaultRowHeight="15" x14ac:dyDescent="0.25"/>
  <cols>
    <col min="3" max="3" width="17.28515625" bestFit="1" customWidth="1"/>
    <col min="5" max="5" width="23.140625" style="14" bestFit="1" customWidth="1"/>
  </cols>
  <sheetData>
    <row r="1" spans="1:8" x14ac:dyDescent="0.25">
      <c r="A1" s="2" t="s">
        <v>8</v>
      </c>
      <c r="B1" s="2" t="s">
        <v>485</v>
      </c>
      <c r="C1" s="2" t="s">
        <v>26</v>
      </c>
      <c r="D1" s="2" t="s">
        <v>6</v>
      </c>
      <c r="E1" s="2" t="s">
        <v>133</v>
      </c>
      <c r="F1" s="2" t="s">
        <v>48</v>
      </c>
      <c r="G1" s="2" t="s">
        <v>127</v>
      </c>
      <c r="H1" s="2" t="s">
        <v>128</v>
      </c>
    </row>
    <row r="2" spans="1:8" x14ac:dyDescent="0.25">
      <c r="A2" s="7" t="s">
        <v>494</v>
      </c>
      <c r="B2" s="1" t="s">
        <v>10</v>
      </c>
      <c r="C2" t="s">
        <v>247</v>
      </c>
      <c r="D2" s="9" t="s">
        <v>81</v>
      </c>
      <c r="E2" s="13" t="s">
        <v>166</v>
      </c>
      <c r="F2" s="1" t="s">
        <v>49</v>
      </c>
      <c r="H2" t="s">
        <v>129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C3" sqref="C3"/>
    </sheetView>
  </sheetViews>
  <sheetFormatPr defaultColWidth="12.7109375" defaultRowHeight="15" x14ac:dyDescent="0.25"/>
  <cols>
    <col min="2" max="2" width="25" bestFit="1" customWidth="1"/>
    <col min="4" max="4" width="12.7109375" style="14"/>
    <col min="5" max="5" width="13.5703125" bestFit="1" customWidth="1"/>
    <col min="6" max="6" width="13.5703125" style="14" customWidth="1"/>
    <col min="8" max="8" width="11.85546875" bestFit="1" customWidth="1"/>
    <col min="9" max="10" width="19" bestFit="1" customWidth="1"/>
  </cols>
  <sheetData>
    <row r="1" spans="1:10" x14ac:dyDescent="0.25">
      <c r="A1" s="9" t="s">
        <v>6</v>
      </c>
      <c r="B1" s="9" t="s">
        <v>48</v>
      </c>
      <c r="C1" s="9" t="s">
        <v>99</v>
      </c>
      <c r="D1" s="9" t="s">
        <v>304</v>
      </c>
      <c r="E1" s="9" t="s">
        <v>100</v>
      </c>
      <c r="F1" s="9" t="s">
        <v>305</v>
      </c>
      <c r="G1" s="9" t="s">
        <v>101</v>
      </c>
      <c r="H1" s="9" t="s">
        <v>102</v>
      </c>
      <c r="I1" s="15" t="s">
        <v>215</v>
      </c>
      <c r="J1" s="2" t="s">
        <v>127</v>
      </c>
    </row>
    <row r="2" spans="1:10" x14ac:dyDescent="0.25">
      <c r="A2" s="9" t="s">
        <v>81</v>
      </c>
      <c r="B2" s="9" t="s">
        <v>49</v>
      </c>
      <c r="C2" s="9" t="s">
        <v>516</v>
      </c>
      <c r="D2" s="9" t="s">
        <v>10</v>
      </c>
      <c r="E2" s="7" t="s">
        <v>517</v>
      </c>
      <c r="F2" s="9" t="s">
        <v>518</v>
      </c>
      <c r="G2" s="9" t="s">
        <v>519</v>
      </c>
      <c r="H2" s="9" t="s">
        <v>520</v>
      </c>
      <c r="I2" s="15" t="s">
        <v>207</v>
      </c>
      <c r="J2" s="14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3" sqref="A3"/>
    </sheetView>
  </sheetViews>
  <sheetFormatPr defaultColWidth="9.140625" defaultRowHeight="15" x14ac:dyDescent="0.25"/>
  <cols>
    <col min="1" max="1" width="9.140625" style="14"/>
    <col min="2" max="2" width="39" style="14" customWidth="1"/>
    <col min="3" max="3" width="24.42578125" style="14" bestFit="1" customWidth="1"/>
    <col min="4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4" t="s">
        <v>128</v>
      </c>
    </row>
    <row r="2" spans="1:4" x14ac:dyDescent="0.25">
      <c r="A2" s="16" t="s">
        <v>81</v>
      </c>
      <c r="B2" s="7" t="s">
        <v>168</v>
      </c>
      <c r="C2" s="7" t="s">
        <v>170</v>
      </c>
      <c r="D2" s="14" t="s">
        <v>129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A1:D2"/>
    </sheetView>
  </sheetViews>
  <sheetFormatPr defaultColWidth="9.140625" defaultRowHeight="15" x14ac:dyDescent="0.25"/>
  <cols>
    <col min="1" max="1" width="9.140625" style="14"/>
    <col min="2" max="2" width="39" style="14" customWidth="1"/>
    <col min="3" max="3" width="22.140625" style="14" bestFit="1" customWidth="1"/>
    <col min="4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4" t="s">
        <v>128</v>
      </c>
    </row>
    <row r="2" spans="1:4" x14ac:dyDescent="0.25">
      <c r="A2" s="16" t="s">
        <v>81</v>
      </c>
      <c r="B2" s="7" t="s">
        <v>169</v>
      </c>
      <c r="C2" s="7" t="s">
        <v>130</v>
      </c>
      <c r="D2" s="14" t="s">
        <v>129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3" sqref="D3"/>
    </sheetView>
  </sheetViews>
  <sheetFormatPr defaultRowHeight="15" x14ac:dyDescent="0.25"/>
  <cols>
    <col min="1" max="1" width="22.140625" bestFit="1" customWidth="1"/>
    <col min="2" max="2" width="27" customWidth="1"/>
    <col min="3" max="3" width="22.7109375" bestFit="1" customWidth="1"/>
    <col min="4" max="4" width="13.85546875" customWidth="1"/>
    <col min="5" max="5" width="15.5703125" customWidth="1"/>
    <col min="7" max="7" width="22.85546875" style="14" bestFit="1" customWidth="1"/>
    <col min="8" max="8" width="10.28515625" bestFit="1" customWidth="1"/>
  </cols>
  <sheetData>
    <row r="1" spans="1:8" x14ac:dyDescent="0.25">
      <c r="A1" s="1" t="s">
        <v>1</v>
      </c>
      <c r="B1" s="2" t="s">
        <v>3</v>
      </c>
      <c r="C1" s="2" t="s">
        <v>4</v>
      </c>
      <c r="D1" s="2" t="s">
        <v>24</v>
      </c>
      <c r="E1" s="2" t="s">
        <v>25</v>
      </c>
      <c r="F1" s="2" t="s">
        <v>6</v>
      </c>
      <c r="G1" s="2" t="s">
        <v>133</v>
      </c>
      <c r="H1" t="s">
        <v>48</v>
      </c>
    </row>
    <row r="2" spans="1:8" x14ac:dyDescent="0.25">
      <c r="A2" s="15" t="s">
        <v>471</v>
      </c>
      <c r="B2" s="1" t="s">
        <v>93</v>
      </c>
      <c r="C2" t="s">
        <v>181</v>
      </c>
      <c r="D2" s="9" t="str">
        <f ca="1">TEXT(NOW(),"YYYY-MM-DD")</f>
        <v>2026-09-03</v>
      </c>
      <c r="E2" s="8" t="str">
        <f ca="1">TEXT(NOW(),"YYYY-MM-DD")</f>
        <v>2026-09-03</v>
      </c>
      <c r="F2" s="7" t="s">
        <v>45</v>
      </c>
      <c r="G2" s="7" t="s">
        <v>188</v>
      </c>
      <c r="H2" s="1" t="s">
        <v>49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2" sqref="C2"/>
    </sheetView>
  </sheetViews>
  <sheetFormatPr defaultRowHeight="15" x14ac:dyDescent="0.25"/>
  <cols>
    <col min="1" max="1" width="20.7109375" customWidth="1"/>
    <col min="3" max="3" width="23.42578125" customWidth="1"/>
    <col min="4" max="4" width="32.28515625" bestFit="1" customWidth="1"/>
    <col min="5" max="5" width="28" customWidth="1"/>
    <col min="6" max="6" width="12.28515625" customWidth="1"/>
  </cols>
  <sheetData>
    <row r="1" spans="1:6" x14ac:dyDescent="0.25">
      <c r="A1" s="1" t="s">
        <v>46</v>
      </c>
      <c r="B1" s="1" t="s">
        <v>6</v>
      </c>
      <c r="C1" s="2" t="s">
        <v>133</v>
      </c>
      <c r="D1" t="s">
        <v>48</v>
      </c>
      <c r="E1" s="14" t="s">
        <v>127</v>
      </c>
      <c r="F1" s="14" t="s">
        <v>128</v>
      </c>
    </row>
    <row r="2" spans="1:6" x14ac:dyDescent="0.25">
      <c r="A2" s="1" t="s">
        <v>28</v>
      </c>
      <c r="B2" s="7" t="s">
        <v>81</v>
      </c>
      <c r="C2" s="7" t="s">
        <v>188</v>
      </c>
      <c r="D2" s="1" t="s">
        <v>49</v>
      </c>
      <c r="E2" s="14" t="s">
        <v>171</v>
      </c>
      <c r="F2" s="14" t="s">
        <v>129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3" sqref="A3"/>
    </sheetView>
  </sheetViews>
  <sheetFormatPr defaultRowHeight="15" x14ac:dyDescent="0.25"/>
  <cols>
    <col min="1" max="1" width="11.85546875" style="14" bestFit="1" customWidth="1"/>
    <col min="2" max="2" width="8.42578125" style="14" customWidth="1"/>
    <col min="3" max="3" width="38.140625" style="14" bestFit="1" customWidth="1"/>
    <col min="4" max="4" width="10.28515625" style="14" bestFit="1" customWidth="1"/>
    <col min="5" max="5" width="19" style="14" bestFit="1" customWidth="1"/>
    <col min="6" max="6" width="10.5703125" style="14" bestFit="1" customWidth="1"/>
    <col min="7" max="7" width="19.28515625" style="14" bestFit="1" customWidth="1"/>
    <col min="8" max="16384" width="9.140625" style="14"/>
  </cols>
  <sheetData>
    <row r="1" spans="1:7" x14ac:dyDescent="0.25">
      <c r="A1" s="14" t="s">
        <v>102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128</v>
      </c>
      <c r="G1" s="2" t="s">
        <v>127</v>
      </c>
    </row>
    <row r="2" spans="1:7" x14ac:dyDescent="0.25">
      <c r="A2" s="9" t="s">
        <v>495</v>
      </c>
      <c r="B2" s="9" t="s">
        <v>45</v>
      </c>
      <c r="C2" s="7" t="s">
        <v>307</v>
      </c>
      <c r="D2" s="9" t="s">
        <v>49</v>
      </c>
      <c r="E2" s="15" t="s">
        <v>207</v>
      </c>
      <c r="F2" s="14" t="s">
        <v>129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cols>
    <col min="1" max="1" width="26.5703125" bestFit="1" customWidth="1"/>
  </cols>
  <sheetData>
    <row r="1" spans="1:1" x14ac:dyDescent="0.25">
      <c r="A1" t="s">
        <v>75</v>
      </c>
    </row>
    <row r="2" spans="1:1" x14ac:dyDescent="0.25">
      <c r="A2" t="s">
        <v>240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opLeftCell="B1" workbookViewId="0">
      <selection activeCell="B25" sqref="B25"/>
    </sheetView>
  </sheetViews>
  <sheetFormatPr defaultRowHeight="15" x14ac:dyDescent="0.25"/>
  <cols>
    <col min="1" max="1" width="21" bestFit="1" customWidth="1"/>
    <col min="2" max="2" width="24.140625" bestFit="1" customWidth="1"/>
    <col min="3" max="3" width="19" bestFit="1" customWidth="1"/>
    <col min="4" max="4" width="34.28515625" bestFit="1" customWidth="1"/>
    <col min="5" max="5" width="41.140625" bestFit="1" customWidth="1"/>
    <col min="6" max="6" width="16" bestFit="1" customWidth="1"/>
    <col min="7" max="7" width="15" bestFit="1" customWidth="1"/>
    <col min="8" max="8" width="13.140625" bestFit="1" customWidth="1"/>
    <col min="10" max="10" width="18.7109375" bestFit="1" customWidth="1"/>
  </cols>
  <sheetData>
    <row r="1" spans="1:11" x14ac:dyDescent="0.25">
      <c r="A1" s="1" t="s">
        <v>11</v>
      </c>
      <c r="B1" s="1" t="s">
        <v>12</v>
      </c>
      <c r="C1" s="1" t="s">
        <v>2</v>
      </c>
      <c r="D1" s="1" t="s">
        <v>13</v>
      </c>
      <c r="E1" s="1" t="s">
        <v>3</v>
      </c>
      <c r="F1" s="1" t="s">
        <v>14</v>
      </c>
      <c r="G1" s="1" t="s">
        <v>15</v>
      </c>
      <c r="H1" s="1" t="s">
        <v>16</v>
      </c>
      <c r="I1" s="1" t="s">
        <v>6</v>
      </c>
      <c r="J1" s="1" t="s">
        <v>64</v>
      </c>
      <c r="K1" t="s">
        <v>48</v>
      </c>
    </row>
    <row r="2" spans="1:11" x14ac:dyDescent="0.25">
      <c r="A2" s="1" t="s">
        <v>473</v>
      </c>
      <c r="B2" s="1" t="s">
        <v>474</v>
      </c>
      <c r="C2" s="1" t="s">
        <v>112</v>
      </c>
      <c r="D2" s="1" t="s">
        <v>269</v>
      </c>
      <c r="E2" s="1" t="s">
        <v>98</v>
      </c>
      <c r="F2" s="1" t="s">
        <v>18</v>
      </c>
      <c r="G2" s="1" t="s">
        <v>17</v>
      </c>
      <c r="H2" t="str">
        <f ca="1">TEXT(NOW(),"yyyy-mm-dd")</f>
        <v>2026-09-03</v>
      </c>
      <c r="I2" s="7" t="s">
        <v>45</v>
      </c>
      <c r="J2" t="s">
        <v>255</v>
      </c>
      <c r="K2" s="1" t="s">
        <v>49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H11" sqref="H11"/>
    </sheetView>
  </sheetViews>
  <sheetFormatPr defaultColWidth="9.140625" defaultRowHeight="15" x14ac:dyDescent="0.25"/>
  <cols>
    <col min="1" max="1" width="9.140625" style="14"/>
    <col min="2" max="2" width="14.140625" style="14" bestFit="1" customWidth="1"/>
    <col min="3" max="16384" width="9.140625" style="14"/>
  </cols>
  <sheetData>
    <row r="1" spans="1:3" x14ac:dyDescent="0.25">
      <c r="A1" s="15" t="s">
        <v>6</v>
      </c>
      <c r="B1" s="14" t="s">
        <v>191</v>
      </c>
      <c r="C1" s="14" t="s">
        <v>48</v>
      </c>
    </row>
    <row r="2" spans="1:3" x14ac:dyDescent="0.25">
      <c r="A2" s="16" t="s">
        <v>45</v>
      </c>
      <c r="B2" s="14" t="s">
        <v>65</v>
      </c>
      <c r="C2" s="14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E11" sqref="E11"/>
    </sheetView>
  </sheetViews>
  <sheetFormatPr defaultRowHeight="15" x14ac:dyDescent="0.25"/>
  <cols>
    <col min="2" max="2" width="10.140625" bestFit="1" customWidth="1"/>
    <col min="3" max="3" width="11.5703125" bestFit="1" customWidth="1"/>
    <col min="4" max="4" width="12.5703125" bestFit="1" customWidth="1"/>
    <col min="5" max="5" width="14.140625" style="14" bestFit="1" customWidth="1"/>
    <col min="6" max="6" width="11.42578125" style="14" bestFit="1" customWidth="1"/>
    <col min="8" max="8" width="10.28515625" bestFit="1" customWidth="1"/>
    <col min="9" max="9" width="19.28515625" bestFit="1" customWidth="1"/>
  </cols>
  <sheetData>
    <row r="1" spans="1:10" x14ac:dyDescent="0.25">
      <c r="A1" s="15" t="s">
        <v>19</v>
      </c>
      <c r="B1" s="15" t="s">
        <v>242</v>
      </c>
      <c r="C1" s="14" t="s">
        <v>241</v>
      </c>
      <c r="D1" s="15" t="s">
        <v>243</v>
      </c>
      <c r="E1" s="15" t="s">
        <v>99</v>
      </c>
      <c r="F1" s="15" t="s">
        <v>308</v>
      </c>
      <c r="G1" s="15" t="s">
        <v>6</v>
      </c>
      <c r="H1" s="14" t="s">
        <v>48</v>
      </c>
      <c r="I1" s="14" t="s">
        <v>127</v>
      </c>
      <c r="J1" s="15" t="s">
        <v>128</v>
      </c>
    </row>
    <row r="2" spans="1:10" s="14" customFormat="1" x14ac:dyDescent="0.25">
      <c r="A2" s="15" t="s">
        <v>501</v>
      </c>
      <c r="B2" s="15" t="s">
        <v>273</v>
      </c>
      <c r="C2" s="15" t="s">
        <v>247</v>
      </c>
      <c r="D2" s="15" t="s">
        <v>247</v>
      </c>
      <c r="E2" s="9" t="s">
        <v>502</v>
      </c>
      <c r="F2" s="13" t="s">
        <v>503</v>
      </c>
      <c r="G2" s="7" t="s">
        <v>81</v>
      </c>
      <c r="H2" s="15" t="s">
        <v>49</v>
      </c>
      <c r="I2" s="14" t="s">
        <v>298</v>
      </c>
      <c r="J2" s="14" t="s">
        <v>129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B2"/>
    </sheetView>
  </sheetViews>
  <sheetFormatPr defaultColWidth="9.140625" defaultRowHeight="15" x14ac:dyDescent="0.25"/>
  <cols>
    <col min="1" max="1" width="20.28515625" style="14" bestFit="1" customWidth="1"/>
    <col min="2" max="16384" width="9.140625" style="14"/>
  </cols>
  <sheetData>
    <row r="1" spans="1:3" x14ac:dyDescent="0.25">
      <c r="A1" s="14" t="s">
        <v>63</v>
      </c>
      <c r="B1" s="14" t="s">
        <v>48</v>
      </c>
      <c r="C1" s="14" t="s">
        <v>6</v>
      </c>
    </row>
    <row r="2" spans="1:3" x14ac:dyDescent="0.25">
      <c r="A2" s="14" t="s">
        <v>80</v>
      </c>
      <c r="B2" s="15" t="s">
        <v>49</v>
      </c>
      <c r="C2" s="9" t="s">
        <v>45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2" sqref="G2"/>
    </sheetView>
  </sheetViews>
  <sheetFormatPr defaultColWidth="9.140625" defaultRowHeight="15" x14ac:dyDescent="0.25"/>
  <cols>
    <col min="1" max="1" width="9.140625" style="14"/>
    <col min="2" max="3" width="9.28515625" style="14" bestFit="1" customWidth="1"/>
    <col min="4" max="5" width="9.140625" style="14"/>
    <col min="6" max="6" width="10.28515625" style="14" bestFit="1" customWidth="1"/>
    <col min="7" max="7" width="19.28515625" style="14" bestFit="1" customWidth="1"/>
    <col min="8" max="16384" width="9.140625" style="14"/>
  </cols>
  <sheetData>
    <row r="1" spans="1:8" x14ac:dyDescent="0.25">
      <c r="A1" s="15" t="s">
        <v>19</v>
      </c>
      <c r="B1" s="15" t="s">
        <v>20</v>
      </c>
      <c r="C1" s="15" t="s">
        <v>21</v>
      </c>
      <c r="D1" s="15" t="s">
        <v>6</v>
      </c>
      <c r="E1" s="14" t="s">
        <v>65</v>
      </c>
      <c r="F1" s="14" t="s">
        <v>48</v>
      </c>
      <c r="G1" s="14" t="s">
        <v>127</v>
      </c>
      <c r="H1" s="15" t="s">
        <v>128</v>
      </c>
    </row>
    <row r="2" spans="1:8" x14ac:dyDescent="0.25">
      <c r="A2" s="15" t="s">
        <v>249</v>
      </c>
      <c r="B2" s="15" t="s">
        <v>10</v>
      </c>
      <c r="C2" s="15" t="s">
        <v>10</v>
      </c>
      <c r="D2" s="7" t="s">
        <v>81</v>
      </c>
      <c r="E2" s="14" t="s">
        <v>65</v>
      </c>
      <c r="F2" s="15" t="s">
        <v>49</v>
      </c>
      <c r="G2" s="14" t="s">
        <v>173</v>
      </c>
      <c r="H2" s="14" t="s">
        <v>129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N30" sqref="N30"/>
    </sheetView>
  </sheetViews>
  <sheetFormatPr defaultColWidth="9.140625" defaultRowHeight="15" x14ac:dyDescent="0.25"/>
  <cols>
    <col min="1" max="1" width="9.140625" style="14"/>
    <col min="2" max="2" width="20.140625" style="14" customWidth="1"/>
    <col min="3" max="3" width="19.28515625" style="14" bestFit="1" customWidth="1"/>
    <col min="4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81</v>
      </c>
      <c r="B2" s="16" t="s">
        <v>174</v>
      </c>
      <c r="C2" s="15" t="s">
        <v>173</v>
      </c>
      <c r="D2" s="14" t="s">
        <v>129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9.140625" defaultRowHeight="15" x14ac:dyDescent="0.25"/>
  <cols>
    <col min="1" max="1" width="9.140625" style="14"/>
    <col min="2" max="2" width="20.140625" style="14" customWidth="1"/>
    <col min="3" max="3" width="22" style="14" bestFit="1" customWidth="1"/>
    <col min="4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175</v>
      </c>
      <c r="C2" s="15" t="s">
        <v>132</v>
      </c>
      <c r="D2" s="14" t="s">
        <v>129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H6" sqref="H6"/>
    </sheetView>
  </sheetViews>
  <sheetFormatPr defaultColWidth="9.140625" defaultRowHeight="15" x14ac:dyDescent="0.25"/>
  <cols>
    <col min="1" max="1" width="20.28515625" style="14" bestFit="1" customWidth="1"/>
    <col min="2" max="16384" width="9.140625" style="14"/>
  </cols>
  <sheetData>
    <row r="1" spans="1:3" x14ac:dyDescent="0.25">
      <c r="A1" s="14" t="s">
        <v>63</v>
      </c>
      <c r="B1" s="14" t="s">
        <v>48</v>
      </c>
      <c r="C1" s="14" t="s">
        <v>6</v>
      </c>
    </row>
    <row r="2" spans="1:3" x14ac:dyDescent="0.25">
      <c r="A2" s="14" t="s">
        <v>80</v>
      </c>
      <c r="B2" s="15" t="s">
        <v>49</v>
      </c>
      <c r="C2" s="9" t="s">
        <v>45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E14" sqref="E14"/>
    </sheetView>
  </sheetViews>
  <sheetFormatPr defaultColWidth="9.140625" defaultRowHeight="15" x14ac:dyDescent="0.25"/>
  <cols>
    <col min="1" max="1" width="9.140625" style="14"/>
    <col min="2" max="2" width="20.140625" style="14" customWidth="1"/>
    <col min="3" max="3" width="22" style="14" bestFit="1" customWidth="1"/>
    <col min="4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202</v>
      </c>
      <c r="C2" s="15" t="s">
        <v>132</v>
      </c>
      <c r="D2" s="14" t="s">
        <v>129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B1" workbookViewId="0">
      <selection activeCell="D2" sqref="D2"/>
    </sheetView>
  </sheetViews>
  <sheetFormatPr defaultRowHeight="15" x14ac:dyDescent="0.25"/>
  <cols>
    <col min="1" max="1" width="22.85546875" bestFit="1" customWidth="1"/>
    <col min="2" max="2" width="26.85546875" bestFit="1" customWidth="1"/>
    <col min="3" max="3" width="27.140625" bestFit="1" customWidth="1"/>
    <col min="4" max="4" width="33.85546875" bestFit="1" customWidth="1"/>
    <col min="5" max="6" width="10.42578125" bestFit="1" customWidth="1"/>
    <col min="7" max="7" width="3.28515625" bestFit="1" customWidth="1"/>
    <col min="8" max="8" width="23.140625" bestFit="1" customWidth="1"/>
    <col min="9" max="9" width="10.28515625" bestFit="1" customWidth="1"/>
    <col min="10" max="10" width="16.5703125" bestFit="1" customWidth="1"/>
  </cols>
  <sheetData>
    <row r="1" spans="1:10" x14ac:dyDescent="0.25">
      <c r="A1" s="2" t="s">
        <v>1</v>
      </c>
      <c r="B1" s="2" t="s">
        <v>51</v>
      </c>
      <c r="C1" s="2" t="s">
        <v>3</v>
      </c>
      <c r="D1" s="2" t="s">
        <v>4</v>
      </c>
      <c r="E1" s="2" t="s">
        <v>40</v>
      </c>
      <c r="F1" s="2" t="s">
        <v>41</v>
      </c>
      <c r="G1" s="2" t="s">
        <v>6</v>
      </c>
      <c r="H1" s="2" t="s">
        <v>133</v>
      </c>
      <c r="I1" s="2" t="s">
        <v>48</v>
      </c>
      <c r="J1" s="15" t="s">
        <v>208</v>
      </c>
    </row>
    <row r="2" spans="1:10" x14ac:dyDescent="0.25">
      <c r="A2" s="13" t="s">
        <v>470</v>
      </c>
      <c r="B2" s="15" t="s">
        <v>464</v>
      </c>
      <c r="C2" s="15" t="s">
        <v>93</v>
      </c>
      <c r="D2" s="14" t="s">
        <v>186</v>
      </c>
      <c r="E2" s="13" t="str">
        <f ca="1">TEXT(NOW(),"YYYY-MM-DD")</f>
        <v>2026-09-03</v>
      </c>
      <c r="F2" s="6" t="str">
        <f ca="1">TEXT(NOW(),"YYYY-MM-DD")</f>
        <v>2026-09-03</v>
      </c>
      <c r="G2" s="9" t="s">
        <v>45</v>
      </c>
      <c r="H2" s="13" t="s">
        <v>477</v>
      </c>
      <c r="I2" s="15" t="s">
        <v>49</v>
      </c>
      <c r="J2" s="15" t="s">
        <v>207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18" sqref="F18"/>
    </sheetView>
  </sheetViews>
  <sheetFormatPr defaultRowHeight="15" x14ac:dyDescent="0.25"/>
  <cols>
    <col min="1" max="1" width="8.28515625" bestFit="1" customWidth="1"/>
    <col min="2" max="2" width="8.42578125" bestFit="1" customWidth="1"/>
    <col min="3" max="3" width="12.140625" bestFit="1" customWidth="1"/>
    <col min="4" max="4" width="5.7109375" bestFit="1" customWidth="1"/>
    <col min="5" max="5" width="23.140625" bestFit="1" customWidth="1"/>
    <col min="6" max="6" width="10.28515625" bestFit="1" customWidth="1"/>
    <col min="7" max="7" width="19.28515625" bestFit="1" customWidth="1"/>
    <col min="8" max="8" width="10.5703125" bestFit="1" customWidth="1"/>
  </cols>
  <sheetData>
    <row r="1" spans="1:8" x14ac:dyDescent="0.25">
      <c r="A1" s="2" t="s">
        <v>8</v>
      </c>
      <c r="B1" s="2" t="s">
        <v>485</v>
      </c>
      <c r="C1" s="2" t="s">
        <v>26</v>
      </c>
      <c r="D1" s="2" t="s">
        <v>6</v>
      </c>
      <c r="E1" s="2" t="s">
        <v>133</v>
      </c>
      <c r="F1" s="2" t="s">
        <v>48</v>
      </c>
      <c r="G1" s="2" t="s">
        <v>127</v>
      </c>
      <c r="H1" s="2" t="s">
        <v>128</v>
      </c>
    </row>
    <row r="2" spans="1:8" x14ac:dyDescent="0.25">
      <c r="A2" s="7" t="s">
        <v>494</v>
      </c>
      <c r="B2" s="15" t="s">
        <v>10</v>
      </c>
      <c r="C2" s="14" t="s">
        <v>247</v>
      </c>
      <c r="D2" s="9" t="s">
        <v>81</v>
      </c>
      <c r="E2" s="13" t="s">
        <v>477</v>
      </c>
      <c r="F2" s="15" t="s">
        <v>49</v>
      </c>
      <c r="G2" s="14"/>
      <c r="H2" s="14" t="s">
        <v>129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H3" sqref="H3"/>
    </sheetView>
  </sheetViews>
  <sheetFormatPr defaultRowHeight="15" x14ac:dyDescent="0.25"/>
  <cols>
    <col min="1" max="1" width="5.7109375" bestFit="1" customWidth="1"/>
    <col min="2" max="2" width="10.28515625" bestFit="1" customWidth="1"/>
    <col min="3" max="3" width="13.5703125" bestFit="1" customWidth="1"/>
    <col min="4" max="4" width="7.7109375" bestFit="1" customWidth="1"/>
    <col min="5" max="5" width="8.85546875" bestFit="1" customWidth="1"/>
    <col min="6" max="6" width="8.140625" bestFit="1" customWidth="1"/>
    <col min="7" max="7" width="6.5703125" bestFit="1" customWidth="1"/>
    <col min="8" max="8" width="11.85546875" bestFit="1" customWidth="1"/>
    <col min="9" max="9" width="19" bestFit="1" customWidth="1"/>
    <col min="10" max="10" width="19.28515625" bestFit="1" customWidth="1"/>
    <col min="11" max="11" width="46.85546875" bestFit="1" customWidth="1"/>
  </cols>
  <sheetData>
    <row r="1" spans="1:11" x14ac:dyDescent="0.25">
      <c r="A1" s="9" t="s">
        <v>6</v>
      </c>
      <c r="B1" s="9" t="s">
        <v>48</v>
      </c>
      <c r="C1" s="9" t="s">
        <v>99</v>
      </c>
      <c r="D1" s="9" t="s">
        <v>304</v>
      </c>
      <c r="E1" s="9" t="s">
        <v>100</v>
      </c>
      <c r="F1" s="9" t="s">
        <v>305</v>
      </c>
      <c r="G1" s="9" t="s">
        <v>101</v>
      </c>
      <c r="H1" s="9" t="s">
        <v>102</v>
      </c>
      <c r="I1" s="15" t="s">
        <v>215</v>
      </c>
      <c r="J1" s="2" t="s">
        <v>127</v>
      </c>
      <c r="K1" s="9" t="s">
        <v>133</v>
      </c>
    </row>
    <row r="2" spans="1:11" x14ac:dyDescent="0.25">
      <c r="A2" s="9" t="s">
        <v>81</v>
      </c>
      <c r="B2" s="9" t="s">
        <v>49</v>
      </c>
      <c r="C2" s="9" t="s">
        <v>496</v>
      </c>
      <c r="D2" s="9" t="s">
        <v>10</v>
      </c>
      <c r="E2" s="7" t="s">
        <v>497</v>
      </c>
      <c r="F2" s="9" t="s">
        <v>498</v>
      </c>
      <c r="G2" s="9" t="s">
        <v>499</v>
      </c>
      <c r="H2" s="9" t="s">
        <v>500</v>
      </c>
      <c r="I2" s="15" t="s">
        <v>207</v>
      </c>
      <c r="J2" s="14"/>
      <c r="K2" s="13" t="s">
        <v>477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3" sqref="C3"/>
    </sheetView>
  </sheetViews>
  <sheetFormatPr defaultRowHeight="15" x14ac:dyDescent="0.25"/>
  <cols>
    <col min="1" max="1" width="22.140625" style="14" bestFit="1" customWidth="1"/>
    <col min="2" max="2" width="27" style="14" customWidth="1"/>
    <col min="3" max="3" width="22.7109375" style="14" bestFit="1" customWidth="1"/>
    <col min="4" max="4" width="13.85546875" style="14" customWidth="1"/>
    <col min="5" max="5" width="15.5703125" style="14" customWidth="1"/>
    <col min="6" max="6" width="9.140625" style="14"/>
    <col min="7" max="7" width="22.85546875" style="14" bestFit="1" customWidth="1"/>
    <col min="8" max="8" width="10.28515625" style="14" bestFit="1" customWidth="1"/>
    <col min="9" max="16384" width="9.140625" style="14"/>
  </cols>
  <sheetData>
    <row r="1" spans="1:8" x14ac:dyDescent="0.25">
      <c r="A1" s="15" t="s">
        <v>1</v>
      </c>
      <c r="B1" s="2" t="s">
        <v>3</v>
      </c>
      <c r="C1" s="2" t="s">
        <v>4</v>
      </c>
      <c r="D1" s="2" t="s">
        <v>24</v>
      </c>
      <c r="E1" s="2" t="s">
        <v>25</v>
      </c>
      <c r="F1" s="2" t="s">
        <v>6</v>
      </c>
      <c r="G1" s="2" t="s">
        <v>133</v>
      </c>
      <c r="H1" s="14" t="s">
        <v>48</v>
      </c>
    </row>
    <row r="2" spans="1:8" x14ac:dyDescent="0.25">
      <c r="A2" s="15" t="s">
        <v>471</v>
      </c>
      <c r="B2" s="15" t="s">
        <v>93</v>
      </c>
      <c r="C2" s="14" t="s">
        <v>504</v>
      </c>
      <c r="D2" s="9" t="s">
        <v>472</v>
      </c>
      <c r="E2" s="8" t="str">
        <f ca="1">TEXT(NOW(),"YYYY-MM-DD")</f>
        <v>2026-09-03</v>
      </c>
      <c r="F2" s="7" t="s">
        <v>45</v>
      </c>
      <c r="G2" s="7" t="s">
        <v>475</v>
      </c>
      <c r="H2" s="15" t="s">
        <v>49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2" sqref="C2"/>
    </sheetView>
  </sheetViews>
  <sheetFormatPr defaultRowHeight="15" x14ac:dyDescent="0.25"/>
  <cols>
    <col min="1" max="1" width="20.7109375" style="14" customWidth="1"/>
    <col min="2" max="2" width="9.140625" style="14"/>
    <col min="3" max="3" width="23.42578125" style="14" customWidth="1"/>
    <col min="4" max="4" width="32.28515625" style="14" bestFit="1" customWidth="1"/>
    <col min="5" max="5" width="28" style="14" customWidth="1"/>
    <col min="6" max="6" width="12.28515625" style="14" customWidth="1"/>
    <col min="7" max="16384" width="9.140625" style="14"/>
  </cols>
  <sheetData>
    <row r="1" spans="1:6" x14ac:dyDescent="0.25">
      <c r="A1" s="15" t="s">
        <v>46</v>
      </c>
      <c r="B1" s="15" t="s">
        <v>6</v>
      </c>
      <c r="C1" s="2" t="s">
        <v>133</v>
      </c>
      <c r="D1" s="14" t="s">
        <v>48</v>
      </c>
      <c r="E1" s="14" t="s">
        <v>127</v>
      </c>
      <c r="F1" s="14" t="s">
        <v>128</v>
      </c>
    </row>
    <row r="2" spans="1:6" x14ac:dyDescent="0.25">
      <c r="A2" s="15" t="s">
        <v>28</v>
      </c>
      <c r="B2" s="7" t="s">
        <v>81</v>
      </c>
      <c r="C2" s="7" t="s">
        <v>475</v>
      </c>
      <c r="D2" s="15" t="s">
        <v>49</v>
      </c>
      <c r="E2" s="14" t="s">
        <v>171</v>
      </c>
      <c r="F2" s="14" t="s">
        <v>129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3" sqref="A3"/>
    </sheetView>
  </sheetViews>
  <sheetFormatPr defaultRowHeight="15" x14ac:dyDescent="0.25"/>
  <cols>
    <col min="1" max="1" width="11.85546875" style="14" bestFit="1" customWidth="1"/>
    <col min="2" max="2" width="8.42578125" style="14" customWidth="1"/>
    <col min="3" max="3" width="38.140625" style="14" bestFit="1" customWidth="1"/>
    <col min="4" max="4" width="10.28515625" style="14" bestFit="1" customWidth="1"/>
    <col min="5" max="5" width="19" style="14" bestFit="1" customWidth="1"/>
    <col min="6" max="6" width="10.5703125" style="14" bestFit="1" customWidth="1"/>
    <col min="7" max="7" width="19.28515625" style="14" bestFit="1" customWidth="1"/>
    <col min="8" max="16384" width="9.140625" style="14"/>
  </cols>
  <sheetData>
    <row r="1" spans="1:7" x14ac:dyDescent="0.25">
      <c r="A1" s="14" t="s">
        <v>102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128</v>
      </c>
      <c r="G1" s="2" t="s">
        <v>127</v>
      </c>
    </row>
    <row r="2" spans="1:7" x14ac:dyDescent="0.25">
      <c r="A2" s="9" t="s">
        <v>495</v>
      </c>
      <c r="B2" s="9" t="s">
        <v>45</v>
      </c>
      <c r="C2" s="7" t="s">
        <v>476</v>
      </c>
      <c r="D2" s="9" t="s">
        <v>49</v>
      </c>
      <c r="E2" s="15" t="s">
        <v>207</v>
      </c>
      <c r="F2" s="14" t="s">
        <v>129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D5" sqref="D5"/>
    </sheetView>
  </sheetViews>
  <sheetFormatPr defaultRowHeight="15" x14ac:dyDescent="0.25"/>
  <cols>
    <col min="2" max="2" width="10.5703125" bestFit="1" customWidth="1"/>
  </cols>
  <sheetData>
    <row r="1" spans="1:2" x14ac:dyDescent="0.25">
      <c r="A1" t="s">
        <v>6</v>
      </c>
      <c r="B1" t="s">
        <v>299</v>
      </c>
    </row>
    <row r="2" spans="1:2" x14ac:dyDescent="0.25">
      <c r="A2" s="9" t="s">
        <v>45</v>
      </c>
      <c r="B2" s="9" t="s">
        <v>239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D11" sqref="D11"/>
    </sheetView>
  </sheetViews>
  <sheetFormatPr defaultRowHeight="15" x14ac:dyDescent="0.25"/>
  <cols>
    <col min="1" max="1" width="21" bestFit="1" customWidth="1"/>
    <col min="2" max="2" width="10.42578125" bestFit="1" customWidth="1"/>
    <col min="3" max="3" width="10.7109375" customWidth="1"/>
    <col min="4" max="4" width="33.85546875" bestFit="1" customWidth="1"/>
    <col min="5" max="5" width="32.7109375" customWidth="1"/>
    <col min="7" max="7" width="10.28515625" bestFit="1" customWidth="1"/>
    <col min="8" max="8" width="25.140625" bestFit="1" customWidth="1"/>
    <col min="9" max="9" width="10.5703125" bestFit="1" customWidth="1"/>
    <col min="10" max="10" width="16.5703125" bestFit="1" customWidth="1"/>
  </cols>
  <sheetData>
    <row r="1" spans="1:10" x14ac:dyDescent="0.25">
      <c r="A1" s="1" t="s">
        <v>23</v>
      </c>
      <c r="B1" s="1" t="s">
        <v>24</v>
      </c>
      <c r="C1" s="1" t="s">
        <v>25</v>
      </c>
      <c r="D1" t="s">
        <v>4</v>
      </c>
      <c r="E1" t="s">
        <v>94</v>
      </c>
      <c r="F1" s="1" t="s">
        <v>6</v>
      </c>
      <c r="G1" t="s">
        <v>48</v>
      </c>
      <c r="H1" s="14" t="s">
        <v>127</v>
      </c>
      <c r="I1" s="15" t="s">
        <v>128</v>
      </c>
      <c r="J1" s="15" t="s">
        <v>208</v>
      </c>
    </row>
    <row r="2" spans="1:10" x14ac:dyDescent="0.25">
      <c r="A2" s="1" t="s">
        <v>473</v>
      </c>
      <c r="B2" t="str">
        <f ca="1">TEXT(NOW(),"YYYY-MM-DD")</f>
        <v>2026-09-03</v>
      </c>
      <c r="C2" t="str">
        <f ca="1">TEXT(NOW(),"YYYY-MM-DD")</f>
        <v>2026-09-03</v>
      </c>
      <c r="D2" s="1" t="s">
        <v>185</v>
      </c>
      <c r="E2" s="1" t="s">
        <v>189</v>
      </c>
      <c r="F2" s="7" t="s">
        <v>45</v>
      </c>
      <c r="G2" s="1" t="s">
        <v>49</v>
      </c>
      <c r="H2" s="15" t="s">
        <v>176</v>
      </c>
      <c r="I2" s="15" t="s">
        <v>129</v>
      </c>
      <c r="J2" s="15" t="s">
        <v>207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3" sqref="D3"/>
    </sheetView>
  </sheetViews>
  <sheetFormatPr defaultRowHeight="15" x14ac:dyDescent="0.25"/>
  <cols>
    <col min="1" max="1" width="3.140625" bestFit="1" customWidth="1"/>
    <col min="2" max="2" width="3.28515625" bestFit="1" customWidth="1"/>
    <col min="3" max="3" width="13.42578125" bestFit="1" customWidth="1"/>
    <col min="4" max="4" width="5.7109375" bestFit="1" customWidth="1"/>
    <col min="5" max="5" width="10.28515625" bestFit="1" customWidth="1"/>
    <col min="6" max="6" width="19.28515625" bestFit="1" customWidth="1"/>
    <col min="7" max="7" width="10.5703125" bestFit="1" customWidth="1"/>
    <col min="8" max="8" width="13.5703125" bestFit="1" customWidth="1"/>
  </cols>
  <sheetData>
    <row r="1" spans="1:8" x14ac:dyDescent="0.25">
      <c r="A1" s="1" t="s">
        <v>42</v>
      </c>
      <c r="B1" s="1" t="s">
        <v>505</v>
      </c>
      <c r="C1" s="15" t="s">
        <v>26</v>
      </c>
      <c r="D1" s="1" t="s">
        <v>6</v>
      </c>
      <c r="E1" s="1" t="s">
        <v>48</v>
      </c>
      <c r="F1" s="14" t="s">
        <v>127</v>
      </c>
      <c r="G1" s="15" t="s">
        <v>128</v>
      </c>
      <c r="H1" s="15" t="s">
        <v>99</v>
      </c>
    </row>
    <row r="2" spans="1:8" x14ac:dyDescent="0.25">
      <c r="A2" s="7" t="s">
        <v>10</v>
      </c>
      <c r="B2" s="1" t="s">
        <v>43</v>
      </c>
      <c r="C2" s="15" t="s">
        <v>251</v>
      </c>
      <c r="D2" s="7" t="s">
        <v>81</v>
      </c>
      <c r="E2" s="1" t="s">
        <v>49</v>
      </c>
      <c r="G2" t="s">
        <v>129</v>
      </c>
      <c r="H2">
        <v>15.3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A30" sqref="A30"/>
    </sheetView>
  </sheetViews>
  <sheetFormatPr defaultRowHeight="15" x14ac:dyDescent="0.25"/>
  <cols>
    <col min="1" max="1" width="9.140625" style="14"/>
    <col min="2" max="2" width="24.42578125" style="14" bestFit="1" customWidth="1"/>
    <col min="3" max="3" width="10.28515625" style="14" bestFit="1" customWidth="1"/>
    <col min="4" max="4" width="13.5703125" style="14" bestFit="1" customWidth="1"/>
    <col min="5" max="5" width="13.5703125" style="14" customWidth="1"/>
    <col min="6" max="6" width="8.7109375" style="14" bestFit="1" customWidth="1"/>
    <col min="7" max="7" width="7.5703125" style="14" bestFit="1" customWidth="1"/>
    <col min="8" max="8" width="11.85546875" style="14" bestFit="1" customWidth="1"/>
    <col min="9" max="9" width="19" style="14" bestFit="1" customWidth="1"/>
    <col min="10" max="10" width="10.5703125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9" t="s">
        <v>6</v>
      </c>
      <c r="B1" s="9" t="s">
        <v>133</v>
      </c>
      <c r="C1" s="9" t="s">
        <v>48</v>
      </c>
      <c r="D1" s="9" t="s">
        <v>99</v>
      </c>
      <c r="E1" s="9" t="s">
        <v>304</v>
      </c>
      <c r="F1" s="9" t="s">
        <v>100</v>
      </c>
      <c r="G1" s="9" t="s">
        <v>101</v>
      </c>
      <c r="H1" s="9" t="s">
        <v>102</v>
      </c>
      <c r="I1" s="15" t="s">
        <v>215</v>
      </c>
      <c r="J1" s="14" t="s">
        <v>128</v>
      </c>
      <c r="K1" s="2" t="s">
        <v>127</v>
      </c>
    </row>
    <row r="2" spans="1:11" x14ac:dyDescent="0.25">
      <c r="A2" s="9" t="s">
        <v>45</v>
      </c>
      <c r="B2" s="7" t="s">
        <v>297</v>
      </c>
      <c r="C2" s="9" t="s">
        <v>49</v>
      </c>
      <c r="D2" s="7" t="s">
        <v>618</v>
      </c>
      <c r="E2" s="7" t="s">
        <v>619</v>
      </c>
      <c r="F2" s="7" t="s">
        <v>620</v>
      </c>
      <c r="G2" s="7" t="s">
        <v>621</v>
      </c>
      <c r="H2" s="7" t="s">
        <v>622</v>
      </c>
      <c r="I2" s="15" t="s">
        <v>207</v>
      </c>
      <c r="J2" s="14" t="s">
        <v>129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J24" sqref="J24"/>
    </sheetView>
  </sheetViews>
  <sheetFormatPr defaultRowHeight="15" x14ac:dyDescent="0.25"/>
  <cols>
    <col min="1" max="1" width="9.140625" style="14"/>
    <col min="2" max="2" width="25.140625" style="14" bestFit="1" customWidth="1"/>
    <col min="3" max="3" width="10.5703125" style="14" bestFit="1" customWidth="1"/>
    <col min="4" max="16384" width="9.140625" style="14"/>
  </cols>
  <sheetData>
    <row r="1" spans="1:3" x14ac:dyDescent="0.25">
      <c r="A1" s="14" t="s">
        <v>6</v>
      </c>
      <c r="B1" s="14" t="s">
        <v>127</v>
      </c>
      <c r="C1" s="14" t="s">
        <v>128</v>
      </c>
    </row>
    <row r="2" spans="1:3" x14ac:dyDescent="0.25">
      <c r="A2" s="9" t="s">
        <v>45</v>
      </c>
      <c r="C2" s="14" t="s">
        <v>129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ColWidth="9.140625" defaultRowHeight="15" x14ac:dyDescent="0.25"/>
  <cols>
    <col min="1" max="1" width="9.140625" style="14"/>
    <col min="2" max="2" width="20.140625" style="14" customWidth="1"/>
    <col min="3" max="3" width="22" style="14" bestFit="1" customWidth="1"/>
    <col min="4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121</v>
      </c>
      <c r="B2" s="16" t="s">
        <v>178</v>
      </c>
      <c r="C2" s="15" t="s">
        <v>170</v>
      </c>
      <c r="D2" s="14" t="s">
        <v>129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ColWidth="9.140625" defaultRowHeight="15" x14ac:dyDescent="0.25"/>
  <cols>
    <col min="1" max="1" width="9.140625" style="14"/>
    <col min="2" max="2" width="20.140625" style="14" customWidth="1"/>
    <col min="3" max="3" width="22" style="14" bestFit="1" customWidth="1"/>
    <col min="4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121</v>
      </c>
      <c r="B2" s="16" t="s">
        <v>179</v>
      </c>
      <c r="C2" s="15" t="s">
        <v>177</v>
      </c>
      <c r="D2" s="14" t="s">
        <v>129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3" sqref="A3"/>
    </sheetView>
  </sheetViews>
  <sheetFormatPr defaultRowHeight="15" x14ac:dyDescent="0.25"/>
  <cols>
    <col min="1" max="1" width="21" bestFit="1" customWidth="1"/>
    <col min="2" max="2" width="21" style="6" customWidth="1"/>
  </cols>
  <sheetData>
    <row r="1" spans="1:3" x14ac:dyDescent="0.25">
      <c r="A1" t="s">
        <v>23</v>
      </c>
      <c r="B1" t="s">
        <v>91</v>
      </c>
      <c r="C1" s="1" t="s">
        <v>6</v>
      </c>
    </row>
    <row r="2" spans="1:3" x14ac:dyDescent="0.25">
      <c r="A2" s="15" t="s">
        <v>473</v>
      </c>
      <c r="B2" s="8" t="str">
        <f ca="1">TEXT(NOW(),"YYYY-MM-DD")</f>
        <v>2026-09-03</v>
      </c>
      <c r="C2" s="1" t="s">
        <v>45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3" sqref="C3"/>
    </sheetView>
  </sheetViews>
  <sheetFormatPr defaultRowHeight="15" x14ac:dyDescent="0.25"/>
  <cols>
    <col min="3" max="3" width="24.140625" customWidth="1"/>
  </cols>
  <sheetData>
    <row r="1" spans="1:5" x14ac:dyDescent="0.25">
      <c r="A1" s="1" t="s">
        <v>42</v>
      </c>
      <c r="B1" s="1" t="s">
        <v>27</v>
      </c>
      <c r="C1" s="1" t="s">
        <v>26</v>
      </c>
      <c r="D1" s="1" t="s">
        <v>6</v>
      </c>
      <c r="E1" t="s">
        <v>48</v>
      </c>
    </row>
    <row r="2" spans="1:5" x14ac:dyDescent="0.25">
      <c r="A2" s="1" t="s">
        <v>10</v>
      </c>
      <c r="B2" s="1" t="s">
        <v>10</v>
      </c>
      <c r="C2" s="1" t="s">
        <v>28</v>
      </c>
      <c r="D2" s="1" t="s">
        <v>45</v>
      </c>
      <c r="E2" s="1" t="s">
        <v>49</v>
      </c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opLeftCell="C1" workbookViewId="0">
      <selection activeCell="H3" sqref="H3"/>
    </sheetView>
  </sheetViews>
  <sheetFormatPr defaultRowHeight="15" x14ac:dyDescent="0.25"/>
  <cols>
    <col min="1" max="1" width="9.140625" style="14"/>
    <col min="2" max="2" width="32.7109375" style="14" bestFit="1" customWidth="1"/>
    <col min="3" max="3" width="10.28515625" style="14" bestFit="1" customWidth="1"/>
    <col min="4" max="4" width="25.28515625" style="14" bestFit="1" customWidth="1"/>
    <col min="5" max="5" width="25.28515625" style="14" customWidth="1"/>
    <col min="6" max="6" width="22.5703125" style="14" bestFit="1" customWidth="1"/>
    <col min="7" max="7" width="16.5703125" style="14" bestFit="1" customWidth="1"/>
    <col min="8" max="8" width="24.7109375" style="14" bestFit="1" customWidth="1"/>
    <col min="9" max="10" width="9.140625" style="14"/>
    <col min="11" max="11" width="19.28515625" style="14" bestFit="1" customWidth="1"/>
    <col min="12" max="16384" width="9.140625" style="14"/>
  </cols>
  <sheetData>
    <row r="1" spans="1:11" x14ac:dyDescent="0.25">
      <c r="A1" s="9" t="s">
        <v>6</v>
      </c>
      <c r="B1" s="9" t="s">
        <v>133</v>
      </c>
      <c r="C1" s="9" t="s">
        <v>48</v>
      </c>
      <c r="D1" s="9" t="s">
        <v>99</v>
      </c>
      <c r="E1" s="9" t="s">
        <v>304</v>
      </c>
      <c r="F1" s="9" t="s">
        <v>100</v>
      </c>
      <c r="G1" s="9" t="s">
        <v>101</v>
      </c>
      <c r="H1" s="9" t="s">
        <v>102</v>
      </c>
      <c r="I1" s="15" t="s">
        <v>215</v>
      </c>
      <c r="J1" s="14" t="s">
        <v>128</v>
      </c>
      <c r="K1" s="2" t="s">
        <v>127</v>
      </c>
    </row>
    <row r="2" spans="1:11" x14ac:dyDescent="0.25">
      <c r="A2" s="9" t="s">
        <v>45</v>
      </c>
      <c r="B2" s="7" t="s">
        <v>309</v>
      </c>
      <c r="C2" s="9" t="s">
        <v>49</v>
      </c>
      <c r="D2" s="13" t="s">
        <v>553</v>
      </c>
      <c r="E2" s="13" t="s">
        <v>554</v>
      </c>
      <c r="F2" s="13" t="s">
        <v>555</v>
      </c>
      <c r="G2" s="9" t="s">
        <v>556</v>
      </c>
      <c r="H2" s="13" t="s">
        <v>557</v>
      </c>
      <c r="I2" s="15" t="s">
        <v>207</v>
      </c>
      <c r="J2" s="14" t="s">
        <v>129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ColWidth="9.140625" defaultRowHeight="15" x14ac:dyDescent="0.25"/>
  <cols>
    <col min="1" max="2" width="9.140625" style="14"/>
    <col min="3" max="3" width="24.140625" style="14" customWidth="1"/>
    <col min="4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180</v>
      </c>
      <c r="C2" s="15" t="s">
        <v>177</v>
      </c>
      <c r="D2" s="14" t="s">
        <v>129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2" sqref="B2"/>
    </sheetView>
  </sheetViews>
  <sheetFormatPr defaultRowHeight="15" x14ac:dyDescent="0.25"/>
  <cols>
    <col min="1" max="1" width="21" bestFit="1" customWidth="1"/>
    <col min="2" max="2" width="10.140625" bestFit="1" customWidth="1"/>
    <col min="3" max="3" width="10.42578125" bestFit="1" customWidth="1"/>
    <col min="4" max="4" width="10.42578125" customWidth="1"/>
    <col min="5" max="5" width="20.28515625" bestFit="1" customWidth="1"/>
  </cols>
  <sheetData>
    <row r="1" spans="1:7" x14ac:dyDescent="0.25">
      <c r="A1" t="s">
        <v>23</v>
      </c>
      <c r="B1" t="s">
        <v>24</v>
      </c>
      <c r="C1" t="s">
        <v>25</v>
      </c>
      <c r="D1" t="s">
        <v>94</v>
      </c>
      <c r="E1" t="s">
        <v>63</v>
      </c>
      <c r="F1" s="1" t="s">
        <v>6</v>
      </c>
      <c r="G1" t="s">
        <v>48</v>
      </c>
    </row>
    <row r="2" spans="1:7" x14ac:dyDescent="0.25">
      <c r="A2" s="15" t="s">
        <v>473</v>
      </c>
      <c r="B2" t="str">
        <f ca="1">TEXT(NOW(),"YYYY-MM-DD")</f>
        <v>2026-09-03</v>
      </c>
      <c r="C2" t="str">
        <f ca="1">TEXT(NOW(),"YYYY-MM-DD")</f>
        <v>2026-09-03</v>
      </c>
      <c r="D2" s="6" t="s">
        <v>189</v>
      </c>
      <c r="E2" s="6" t="s">
        <v>80</v>
      </c>
      <c r="F2" s="7" t="s">
        <v>45</v>
      </c>
      <c r="G2" s="1" t="s">
        <v>49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D1" sqref="D1:H2"/>
    </sheetView>
  </sheetViews>
  <sheetFormatPr defaultRowHeight="15" x14ac:dyDescent="0.25"/>
  <cols>
    <col min="1" max="1" width="9.140625" style="14"/>
    <col min="2" max="2" width="24.42578125" style="14" bestFit="1" customWidth="1"/>
    <col min="3" max="3" width="10.28515625" style="14" bestFit="1" customWidth="1"/>
    <col min="4" max="4" width="13.5703125" style="14" bestFit="1" customWidth="1"/>
    <col min="5" max="5" width="13.5703125" style="14" customWidth="1"/>
    <col min="6" max="6" width="13.5703125" style="14" bestFit="1" customWidth="1"/>
    <col min="7" max="8" width="12.42578125" style="14" bestFit="1" customWidth="1"/>
    <col min="9" max="9" width="19" style="14" bestFit="1" customWidth="1"/>
    <col min="10" max="10" width="10.5703125" style="14" bestFit="1" customWidth="1"/>
    <col min="11" max="11" width="19.28515625" style="14" bestFit="1" customWidth="1"/>
    <col min="12" max="12" width="20.28515625" style="14" bestFit="1" customWidth="1"/>
    <col min="13" max="16384" width="9.140625" style="14"/>
  </cols>
  <sheetData>
    <row r="1" spans="1:12" x14ac:dyDescent="0.25">
      <c r="A1" s="9" t="s">
        <v>6</v>
      </c>
      <c r="B1" s="9" t="s">
        <v>133</v>
      </c>
      <c r="C1" s="9" t="s">
        <v>48</v>
      </c>
      <c r="D1" s="9" t="s">
        <v>99</v>
      </c>
      <c r="E1" s="9" t="s">
        <v>304</v>
      </c>
      <c r="F1" s="9" t="s">
        <v>100</v>
      </c>
      <c r="G1" s="9" t="s">
        <v>101</v>
      </c>
      <c r="H1" s="9" t="s">
        <v>102</v>
      </c>
      <c r="I1" s="15" t="s">
        <v>215</v>
      </c>
      <c r="J1" s="14" t="s">
        <v>128</v>
      </c>
      <c r="K1" s="2" t="s">
        <v>127</v>
      </c>
      <c r="L1" s="14" t="s">
        <v>63</v>
      </c>
    </row>
    <row r="2" spans="1:12" x14ac:dyDescent="0.25">
      <c r="A2" s="9" t="s">
        <v>81</v>
      </c>
      <c r="B2" s="7" t="s">
        <v>303</v>
      </c>
      <c r="C2" s="9" t="s">
        <v>49</v>
      </c>
      <c r="D2" s="13" t="s">
        <v>548</v>
      </c>
      <c r="E2" s="13" t="s">
        <v>10</v>
      </c>
      <c r="F2" s="13" t="s">
        <v>549</v>
      </c>
      <c r="G2" s="13" t="s">
        <v>550</v>
      </c>
      <c r="H2" s="13" t="s">
        <v>551</v>
      </c>
      <c r="I2" s="15" t="s">
        <v>207</v>
      </c>
      <c r="J2" s="14" t="s">
        <v>129</v>
      </c>
      <c r="L2" s="6" t="s">
        <v>80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3" sqref="B3"/>
    </sheetView>
  </sheetViews>
  <sheetFormatPr defaultColWidth="9.140625" defaultRowHeight="15" x14ac:dyDescent="0.25"/>
  <cols>
    <col min="1" max="1" width="9.85546875" style="14" customWidth="1"/>
    <col min="2" max="2" width="21.85546875" style="14" bestFit="1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133</v>
      </c>
      <c r="C1" s="15" t="s">
        <v>127</v>
      </c>
      <c r="D1" s="15" t="s">
        <v>128</v>
      </c>
    </row>
    <row r="2" spans="1:4" x14ac:dyDescent="0.25">
      <c r="A2" s="16" t="s">
        <v>45</v>
      </c>
      <c r="B2" s="16" t="s">
        <v>552</v>
      </c>
      <c r="C2" s="4" t="s">
        <v>192</v>
      </c>
      <c r="D2" s="14" t="s">
        <v>129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D1" sqref="D1:H2"/>
    </sheetView>
  </sheetViews>
  <sheetFormatPr defaultRowHeight="15" x14ac:dyDescent="0.25"/>
  <cols>
    <col min="1" max="1" width="23" bestFit="1" customWidth="1"/>
    <col min="2" max="3" width="10.42578125" style="6" bestFit="1" customWidth="1"/>
    <col min="4" max="4" width="13.5703125" style="6" bestFit="1" customWidth="1"/>
    <col min="5" max="5" width="8.42578125" style="6" bestFit="1" customWidth="1"/>
    <col min="6" max="6" width="8.7109375" style="6" bestFit="1" customWidth="1"/>
    <col min="7" max="7" width="8.42578125" style="6" bestFit="1" customWidth="1"/>
    <col min="8" max="8" width="11.85546875" style="6" bestFit="1" customWidth="1"/>
    <col min="9" max="9" width="3.28515625" bestFit="1" customWidth="1"/>
    <col min="10" max="10" width="10.28515625" bestFit="1" customWidth="1"/>
    <col min="11" max="11" width="20.28515625" bestFit="1" customWidth="1"/>
  </cols>
  <sheetData>
    <row r="1" spans="1:12" x14ac:dyDescent="0.25">
      <c r="A1" t="s">
        <v>23</v>
      </c>
      <c r="B1" s="6" t="s">
        <v>24</v>
      </c>
      <c r="C1" s="6" t="s">
        <v>25</v>
      </c>
      <c r="D1" s="9" t="s">
        <v>99</v>
      </c>
      <c r="E1" s="9" t="s">
        <v>304</v>
      </c>
      <c r="F1" s="9" t="s">
        <v>100</v>
      </c>
      <c r="G1" s="9" t="s">
        <v>101</v>
      </c>
      <c r="H1" s="9" t="s">
        <v>102</v>
      </c>
      <c r="I1" s="1" t="s">
        <v>6</v>
      </c>
      <c r="J1" t="s">
        <v>48</v>
      </c>
      <c r="K1" s="14" t="s">
        <v>63</v>
      </c>
      <c r="L1" s="15" t="s">
        <v>215</v>
      </c>
    </row>
    <row r="2" spans="1:12" x14ac:dyDescent="0.25">
      <c r="A2" s="15" t="s">
        <v>473</v>
      </c>
      <c r="B2" s="6" t="str">
        <f ca="1">TEXT(NOW(),"YYYY-MM-DD")</f>
        <v>2026-09-03</v>
      </c>
      <c r="C2" s="6" t="str">
        <f ca="1">TEXT(NOW(),"YYYY-MM-DD")</f>
        <v>2026-09-03</v>
      </c>
      <c r="D2" s="13" t="s">
        <v>548</v>
      </c>
      <c r="E2" s="13" t="s">
        <v>10</v>
      </c>
      <c r="F2" s="13" t="s">
        <v>549</v>
      </c>
      <c r="G2" s="13" t="s">
        <v>550</v>
      </c>
      <c r="H2" s="13" t="s">
        <v>551</v>
      </c>
      <c r="I2" s="7" t="s">
        <v>45</v>
      </c>
      <c r="J2" s="1" t="s">
        <v>49</v>
      </c>
      <c r="K2" s="6" t="s">
        <v>80</v>
      </c>
      <c r="L2" s="15" t="s">
        <v>207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ColWidth="9.140625" defaultRowHeight="15" x14ac:dyDescent="0.25"/>
  <cols>
    <col min="1" max="1" width="9.85546875" style="14" customWidth="1"/>
    <col min="2" max="2" width="22.28515625" style="14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197</v>
      </c>
      <c r="C2" s="15" t="s">
        <v>192</v>
      </c>
      <c r="D2" s="14" t="s">
        <v>129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3" sqref="C3"/>
    </sheetView>
  </sheetViews>
  <sheetFormatPr defaultRowHeight="15" x14ac:dyDescent="0.25"/>
  <cols>
    <col min="1" max="1" width="22" bestFit="1" customWidth="1"/>
    <col min="2" max="2" width="24.140625" bestFit="1" customWidth="1"/>
    <col min="3" max="3" width="31.140625" bestFit="1" customWidth="1"/>
    <col min="4" max="4" width="16" bestFit="1" customWidth="1"/>
  </cols>
  <sheetData>
    <row r="1" spans="1: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6</v>
      </c>
      <c r="F1" t="s">
        <v>48</v>
      </c>
    </row>
    <row r="2" spans="1:6" x14ac:dyDescent="0.25">
      <c r="A2" s="1" t="s">
        <v>473</v>
      </c>
      <c r="B2" s="1" t="s">
        <v>473</v>
      </c>
      <c r="C2" s="1" t="s">
        <v>573</v>
      </c>
      <c r="D2" s="1" t="s">
        <v>572</v>
      </c>
      <c r="E2" s="7" t="s">
        <v>45</v>
      </c>
      <c r="F2" s="1" t="s">
        <v>49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B2" sqref="B2"/>
    </sheetView>
  </sheetViews>
  <sheetFormatPr defaultRowHeight="15" x14ac:dyDescent="0.25"/>
  <cols>
    <col min="5" max="5" width="33.42578125" bestFit="1" customWidth="1"/>
  </cols>
  <sheetData>
    <row r="1" spans="1:8" x14ac:dyDescent="0.25">
      <c r="A1" s="15" t="s">
        <v>42</v>
      </c>
      <c r="B1" s="15" t="s">
        <v>505</v>
      </c>
      <c r="C1" s="15" t="s">
        <v>244</v>
      </c>
      <c r="D1" s="15" t="s">
        <v>6</v>
      </c>
      <c r="E1" s="2" t="s">
        <v>133</v>
      </c>
      <c r="F1" s="14" t="s">
        <v>48</v>
      </c>
      <c r="G1" s="14" t="s">
        <v>127</v>
      </c>
      <c r="H1" s="14" t="s">
        <v>128</v>
      </c>
    </row>
    <row r="2" spans="1:8" x14ac:dyDescent="0.25">
      <c r="A2" s="15" t="s">
        <v>387</v>
      </c>
      <c r="B2" s="15" t="s">
        <v>43</v>
      </c>
      <c r="C2" s="15"/>
      <c r="D2" s="7" t="s">
        <v>81</v>
      </c>
      <c r="E2" s="9" t="s">
        <v>245</v>
      </c>
      <c r="F2" s="15" t="s">
        <v>49</v>
      </c>
      <c r="G2" s="14"/>
      <c r="H2" s="14" t="s">
        <v>129</v>
      </c>
    </row>
    <row r="3" spans="1:8" x14ac:dyDescent="0.25">
      <c r="A3" s="7" t="s">
        <v>387</v>
      </c>
      <c r="B3" s="7" t="s">
        <v>43</v>
      </c>
      <c r="C3" s="7" t="s">
        <v>10</v>
      </c>
      <c r="D3" s="7" t="s">
        <v>81</v>
      </c>
      <c r="E3" s="9" t="s">
        <v>246</v>
      </c>
      <c r="F3" s="15" t="s">
        <v>49</v>
      </c>
      <c r="G3" s="14"/>
      <c r="H3" s="14" t="s">
        <v>129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D3" sqref="D3"/>
    </sheetView>
  </sheetViews>
  <sheetFormatPr defaultRowHeight="15" x14ac:dyDescent="0.25"/>
  <cols>
    <col min="1" max="1" width="9.140625" style="14"/>
    <col min="2" max="2" width="36.140625" style="14" bestFit="1" customWidth="1"/>
    <col min="3" max="3" width="10.28515625" style="14" bestFit="1" customWidth="1"/>
    <col min="4" max="4" width="13.5703125" style="14" bestFit="1" customWidth="1"/>
    <col min="5" max="5" width="19" style="14" bestFit="1" customWidth="1"/>
    <col min="6" max="6" width="9.140625" style="14"/>
    <col min="7" max="7" width="19.28515625" style="14" bestFit="1" customWidth="1"/>
    <col min="8" max="16384" width="9.140625" style="14"/>
  </cols>
  <sheetData>
    <row r="1" spans="1:7" x14ac:dyDescent="0.25">
      <c r="A1" s="9" t="s">
        <v>6</v>
      </c>
      <c r="B1" s="9" t="s">
        <v>133</v>
      </c>
      <c r="C1" s="9" t="s">
        <v>48</v>
      </c>
      <c r="D1" s="7" t="s">
        <v>300</v>
      </c>
      <c r="E1" s="15" t="s">
        <v>215</v>
      </c>
      <c r="F1" s="14" t="s">
        <v>128</v>
      </c>
      <c r="G1" s="2" t="s">
        <v>127</v>
      </c>
    </row>
    <row r="2" spans="1:7" x14ac:dyDescent="0.25">
      <c r="A2" s="9" t="s">
        <v>45</v>
      </c>
      <c r="B2" s="7" t="s">
        <v>301</v>
      </c>
      <c r="C2" s="9" t="s">
        <v>49</v>
      </c>
      <c r="D2" s="13" t="s">
        <v>631</v>
      </c>
      <c r="E2" s="15" t="s">
        <v>207</v>
      </c>
      <c r="F2" s="14" t="s">
        <v>129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ColWidth="9.140625" defaultRowHeight="15" x14ac:dyDescent="0.25"/>
  <cols>
    <col min="1" max="1" width="9.85546875" style="14" customWidth="1"/>
    <col min="2" max="2" width="30.140625" style="14" bestFit="1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199</v>
      </c>
      <c r="C2" s="15" t="s">
        <v>190</v>
      </c>
      <c r="D2" s="14" t="s">
        <v>129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O15" sqref="O15"/>
    </sheetView>
  </sheetViews>
  <sheetFormatPr defaultRowHeight="15" x14ac:dyDescent="0.25"/>
  <cols>
    <col min="1" max="1" width="20.28515625" bestFit="1" customWidth="1"/>
  </cols>
  <sheetData>
    <row r="1" spans="1:2" x14ac:dyDescent="0.25">
      <c r="A1" t="s">
        <v>63</v>
      </c>
      <c r="B1" t="s">
        <v>6</v>
      </c>
    </row>
    <row r="2" spans="1:2" x14ac:dyDescent="0.25">
      <c r="A2" t="s">
        <v>80</v>
      </c>
      <c r="B2" s="9" t="s">
        <v>45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4" sqref="D4"/>
    </sheetView>
  </sheetViews>
  <sheetFormatPr defaultColWidth="9.140625" defaultRowHeight="15" x14ac:dyDescent="0.25"/>
  <cols>
    <col min="1" max="1" width="9.85546875" style="14" customWidth="1"/>
    <col min="2" max="2" width="30.140625" style="14" bestFit="1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203</v>
      </c>
      <c r="C2" s="17" t="s">
        <v>132</v>
      </c>
      <c r="D2" s="14" t="s">
        <v>129</v>
      </c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ColWidth="9.140625" defaultRowHeight="15" x14ac:dyDescent="0.25"/>
  <cols>
    <col min="1" max="1" width="20.28515625" style="14" bestFit="1" customWidth="1"/>
    <col min="2" max="16384" width="9.140625" style="14"/>
  </cols>
  <sheetData>
    <row r="1" spans="1:3" x14ac:dyDescent="0.25">
      <c r="A1" s="14" t="s">
        <v>63</v>
      </c>
      <c r="B1" s="14" t="s">
        <v>48</v>
      </c>
      <c r="C1" s="14" t="s">
        <v>6</v>
      </c>
    </row>
    <row r="2" spans="1:3" x14ac:dyDescent="0.25">
      <c r="A2" s="14" t="s">
        <v>80</v>
      </c>
      <c r="B2" s="15" t="s">
        <v>49</v>
      </c>
      <c r="C2" s="9" t="s">
        <v>45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ColWidth="9.140625" defaultRowHeight="15" x14ac:dyDescent="0.25"/>
  <cols>
    <col min="1" max="1" width="9.85546875" style="14" customWidth="1"/>
    <col min="2" max="2" width="30.140625" style="14" bestFit="1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204</v>
      </c>
      <c r="C2" s="17" t="s">
        <v>132</v>
      </c>
      <c r="D2" s="14" t="s">
        <v>129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E2" sqref="E2"/>
    </sheetView>
  </sheetViews>
  <sheetFormatPr defaultRowHeight="15" x14ac:dyDescent="0.25"/>
  <cols>
    <col min="1" max="1" width="22.140625" bestFit="1" customWidth="1"/>
    <col min="2" max="2" width="12" customWidth="1"/>
    <col min="3" max="3" width="20.85546875" bestFit="1" customWidth="1"/>
    <col min="4" max="4" width="11.7109375" bestFit="1" customWidth="1"/>
    <col min="5" max="5" width="15.5703125" bestFit="1" customWidth="1"/>
    <col min="7" max="7" width="20" bestFit="1" customWidth="1"/>
    <col min="8" max="8" width="19.28515625" bestFit="1" customWidth="1"/>
    <col min="9" max="9" width="10.5703125" bestFit="1" customWidth="1"/>
    <col min="10" max="10" width="10.28515625" bestFit="1" customWidth="1"/>
    <col min="11" max="11" width="11.5703125" bestFit="1" customWidth="1"/>
  </cols>
  <sheetData>
    <row r="1" spans="1:1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6</v>
      </c>
      <c r="G1" s="15" t="s">
        <v>133</v>
      </c>
      <c r="H1" s="14" t="s">
        <v>127</v>
      </c>
      <c r="I1" s="14" t="s">
        <v>128</v>
      </c>
      <c r="J1" s="14" t="s">
        <v>48</v>
      </c>
      <c r="K1" t="s">
        <v>600</v>
      </c>
    </row>
    <row r="2" spans="1:11" x14ac:dyDescent="0.25">
      <c r="A2" s="1" t="s">
        <v>506</v>
      </c>
      <c r="B2" s="1" t="s">
        <v>217</v>
      </c>
      <c r="C2" s="1" t="s">
        <v>507</v>
      </c>
      <c r="D2" s="1" t="s">
        <v>507</v>
      </c>
      <c r="E2" s="7" t="s">
        <v>226</v>
      </c>
      <c r="F2" s="7" t="s">
        <v>45</v>
      </c>
      <c r="G2" s="16" t="s">
        <v>220</v>
      </c>
      <c r="H2" s="14" t="s">
        <v>131</v>
      </c>
      <c r="I2" s="14" t="s">
        <v>129</v>
      </c>
      <c r="J2" s="15" t="s">
        <v>49</v>
      </c>
      <c r="K2" t="s">
        <v>601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A2" sqref="A2"/>
    </sheetView>
  </sheetViews>
  <sheetFormatPr defaultRowHeight="15" x14ac:dyDescent="0.25"/>
  <cols>
    <col min="1" max="1" width="10.85546875" bestFit="1" customWidth="1"/>
    <col min="2" max="2" width="17.5703125" bestFit="1" customWidth="1"/>
    <col min="3" max="3" width="20.85546875" bestFit="1" customWidth="1"/>
    <col min="4" max="4" width="15.5703125" bestFit="1" customWidth="1"/>
    <col min="5" max="5" width="6.85546875" customWidth="1"/>
    <col min="6" max="6" width="24.140625" style="14" bestFit="1" customWidth="1"/>
    <col min="7" max="7" width="19.28515625" style="14" bestFit="1" customWidth="1"/>
    <col min="8" max="8" width="10.28515625" bestFit="1" customWidth="1"/>
    <col min="9" max="9" width="22" bestFit="1" customWidth="1"/>
  </cols>
  <sheetData>
    <row r="1" spans="1:9" x14ac:dyDescent="0.25">
      <c r="A1" s="15" t="s">
        <v>225</v>
      </c>
      <c r="B1" s="15" t="s">
        <v>35</v>
      </c>
      <c r="C1" s="15" t="s">
        <v>31</v>
      </c>
      <c r="D1" s="15" t="s">
        <v>102</v>
      </c>
      <c r="E1" s="15" t="s">
        <v>6</v>
      </c>
      <c r="F1" s="15" t="s">
        <v>133</v>
      </c>
      <c r="G1" s="14" t="s">
        <v>127</v>
      </c>
      <c r="H1" s="15" t="s">
        <v>48</v>
      </c>
      <c r="I1" s="14" t="s">
        <v>65</v>
      </c>
    </row>
    <row r="2" spans="1:9" x14ac:dyDescent="0.25">
      <c r="A2" s="15" t="s">
        <v>234</v>
      </c>
      <c r="B2" s="18" t="str">
        <f ca="1">TEXT(NOW(), "mm/dd/yyyy")</f>
        <v>09/03/2026</v>
      </c>
      <c r="C2" s="15" t="s">
        <v>507</v>
      </c>
      <c r="D2" s="7" t="s">
        <v>252</v>
      </c>
      <c r="E2" s="7" t="s">
        <v>81</v>
      </c>
      <c r="F2" s="16" t="s">
        <v>199</v>
      </c>
      <c r="G2" s="15" t="s">
        <v>131</v>
      </c>
      <c r="H2" s="15" t="s">
        <v>49</v>
      </c>
      <c r="I2" s="14" t="s">
        <v>259</v>
      </c>
    </row>
    <row r="3" spans="1:9" x14ac:dyDescent="0.25">
      <c r="A3" s="15" t="s">
        <v>233</v>
      </c>
      <c r="B3" s="18" t="str">
        <f ca="1">TEXT(NOW(), "mm/dd/yyyy")</f>
        <v>09/03/2026</v>
      </c>
      <c r="C3" s="15" t="s">
        <v>507</v>
      </c>
      <c r="D3" s="7" t="s">
        <v>252</v>
      </c>
      <c r="E3" s="15" t="s">
        <v>82</v>
      </c>
      <c r="F3" s="15"/>
      <c r="G3" s="15"/>
      <c r="H3" s="15" t="s">
        <v>49</v>
      </c>
      <c r="I3" s="14" t="s">
        <v>259</v>
      </c>
    </row>
    <row r="4" spans="1:9" x14ac:dyDescent="0.25">
      <c r="A4" s="15" t="s">
        <v>227</v>
      </c>
      <c r="B4" s="18" t="str">
        <f ca="1">TEXT(NOW(), "mm/dd/yyyy")</f>
        <v>09/03/2026</v>
      </c>
      <c r="C4" s="15" t="s">
        <v>507</v>
      </c>
      <c r="D4" s="7" t="s">
        <v>252</v>
      </c>
      <c r="E4" s="7" t="s">
        <v>235</v>
      </c>
      <c r="F4" s="15"/>
      <c r="G4" s="15"/>
      <c r="H4" s="15" t="s">
        <v>49</v>
      </c>
      <c r="I4" s="14" t="s">
        <v>259</v>
      </c>
    </row>
    <row r="5" spans="1:9" x14ac:dyDescent="0.25">
      <c r="A5" s="15" t="s">
        <v>37</v>
      </c>
      <c r="B5" s="18" t="str">
        <f ca="1">TEXT(NOW(), "mm/dd/yyyy")</f>
        <v>09/03/2026</v>
      </c>
      <c r="C5" s="15" t="s">
        <v>507</v>
      </c>
      <c r="D5" s="7" t="s">
        <v>253</v>
      </c>
      <c r="E5" s="7" t="s">
        <v>236</v>
      </c>
      <c r="F5" s="15"/>
      <c r="G5" s="15"/>
      <c r="H5" s="15" t="s">
        <v>49</v>
      </c>
      <c r="I5" s="14" t="s">
        <v>259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4" sqref="C4"/>
    </sheetView>
  </sheetViews>
  <sheetFormatPr defaultColWidth="9.140625" defaultRowHeight="15" x14ac:dyDescent="0.25"/>
  <cols>
    <col min="1" max="1" width="9.85546875" style="14" customWidth="1"/>
    <col min="2" max="2" width="30.140625" style="14" bestFit="1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199</v>
      </c>
      <c r="C2" s="15" t="s">
        <v>131</v>
      </c>
      <c r="D2" s="14" t="s">
        <v>129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E3" sqref="E3"/>
    </sheetView>
  </sheetViews>
  <sheetFormatPr defaultRowHeight="15" x14ac:dyDescent="0.25"/>
  <cols>
    <col min="1" max="1" width="23.85546875" style="14" bestFit="1" customWidth="1"/>
    <col min="2" max="2" width="12" style="14" customWidth="1"/>
    <col min="3" max="3" width="20.85546875" style="14" bestFit="1" customWidth="1"/>
    <col min="4" max="4" width="11.7109375" style="14" bestFit="1" customWidth="1"/>
    <col min="5" max="5" width="15.5703125" style="14" bestFit="1" customWidth="1"/>
    <col min="6" max="6" width="9.140625" style="14"/>
    <col min="7" max="7" width="20" style="14" bestFit="1" customWidth="1"/>
    <col min="8" max="8" width="19.28515625" style="14" bestFit="1" customWidth="1"/>
    <col min="9" max="9" width="10.5703125" style="14" bestFit="1" customWidth="1"/>
    <col min="10" max="16384" width="9.140625" style="14"/>
  </cols>
  <sheetData>
    <row r="1" spans="1:10" x14ac:dyDescent="0.25">
      <c r="A1" s="15" t="s">
        <v>29</v>
      </c>
      <c r="B1" s="15" t="s">
        <v>30</v>
      </c>
      <c r="C1" s="15" t="s">
        <v>31</v>
      </c>
      <c r="D1" s="15" t="s">
        <v>32</v>
      </c>
      <c r="E1" s="15" t="s">
        <v>33</v>
      </c>
      <c r="F1" s="15" t="s">
        <v>6</v>
      </c>
      <c r="G1" s="15" t="s">
        <v>133</v>
      </c>
      <c r="H1" s="14" t="s">
        <v>127</v>
      </c>
      <c r="I1" s="14" t="s">
        <v>128</v>
      </c>
      <c r="J1" s="14" t="s">
        <v>48</v>
      </c>
    </row>
    <row r="2" spans="1:10" x14ac:dyDescent="0.25">
      <c r="A2" s="15" t="s">
        <v>506</v>
      </c>
      <c r="B2" s="15" t="s">
        <v>217</v>
      </c>
      <c r="C2" s="15" t="s">
        <v>507</v>
      </c>
      <c r="D2" s="15" t="s">
        <v>507</v>
      </c>
      <c r="E2" s="7" t="s">
        <v>588</v>
      </c>
      <c r="F2" s="7" t="s">
        <v>45</v>
      </c>
      <c r="G2" s="16" t="s">
        <v>220</v>
      </c>
      <c r="H2" s="14" t="s">
        <v>131</v>
      </c>
      <c r="I2" s="14" t="s">
        <v>129</v>
      </c>
      <c r="J2" s="15" t="s">
        <v>49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29" sqref="B29"/>
    </sheetView>
  </sheetViews>
  <sheetFormatPr defaultRowHeight="15" x14ac:dyDescent="0.25"/>
  <cols>
    <col min="1" max="1" width="12.42578125" bestFit="1" customWidth="1"/>
    <col min="2" max="2" width="12.42578125" style="6" bestFit="1" customWidth="1"/>
    <col min="3" max="3" width="20.85546875" bestFit="1" customWidth="1"/>
    <col min="4" max="4" width="15.28515625" customWidth="1"/>
    <col min="6" max="6" width="10.28515625" bestFit="1" customWidth="1"/>
    <col min="7" max="7" width="11" bestFit="1" customWidth="1"/>
  </cols>
  <sheetData>
    <row r="1" spans="1:7" x14ac:dyDescent="0.25">
      <c r="A1" s="1" t="s">
        <v>34</v>
      </c>
      <c r="B1" s="6" t="s">
        <v>35</v>
      </c>
      <c r="C1" s="15" t="s">
        <v>36</v>
      </c>
      <c r="D1" s="1" t="s">
        <v>33</v>
      </c>
      <c r="E1" s="1" t="s">
        <v>6</v>
      </c>
      <c r="F1" t="s">
        <v>48</v>
      </c>
      <c r="G1" s="15" t="s">
        <v>65</v>
      </c>
    </row>
    <row r="2" spans="1:7" x14ac:dyDescent="0.25">
      <c r="A2" s="1" t="s">
        <v>37</v>
      </c>
      <c r="B2" s="6" t="str">
        <f ca="1">TEXT(NOW(),"YYYY-MM-DD")</f>
        <v>2026-09-03</v>
      </c>
      <c r="C2" s="15" t="s">
        <v>507</v>
      </c>
      <c r="D2" s="1" t="s">
        <v>588</v>
      </c>
      <c r="E2" s="1" t="s">
        <v>45</v>
      </c>
      <c r="F2" s="1" t="s">
        <v>49</v>
      </c>
      <c r="G2" s="15" t="s">
        <v>272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2" sqref="A2"/>
    </sheetView>
  </sheetViews>
  <sheetFormatPr defaultColWidth="9.140625" defaultRowHeight="15" x14ac:dyDescent="0.25"/>
  <cols>
    <col min="1" max="1" width="22.140625" style="14" bestFit="1" customWidth="1"/>
    <col min="2" max="2" width="12" style="14" customWidth="1"/>
    <col min="3" max="3" width="15.5703125" style="14" bestFit="1" customWidth="1"/>
    <col min="4" max="4" width="9.140625" style="14"/>
    <col min="5" max="5" width="20" style="14" bestFit="1" customWidth="1"/>
    <col min="6" max="6" width="19.28515625" style="14" bestFit="1" customWidth="1"/>
    <col min="7" max="7" width="10.5703125" style="14" bestFit="1" customWidth="1"/>
    <col min="8" max="16384" width="9.140625" style="14"/>
  </cols>
  <sheetData>
    <row r="1" spans="1:8" x14ac:dyDescent="0.25">
      <c r="A1" s="15" t="s">
        <v>29</v>
      </c>
      <c r="B1" s="15" t="s">
        <v>30</v>
      </c>
      <c r="C1" s="15" t="s">
        <v>33</v>
      </c>
      <c r="D1" s="15" t="s">
        <v>6</v>
      </c>
      <c r="E1" s="15" t="s">
        <v>133</v>
      </c>
      <c r="F1" s="14" t="s">
        <v>127</v>
      </c>
      <c r="G1" s="14" t="s">
        <v>128</v>
      </c>
      <c r="H1" s="14" t="s">
        <v>48</v>
      </c>
    </row>
    <row r="2" spans="1:8" x14ac:dyDescent="0.25">
      <c r="A2" s="15" t="s">
        <v>506</v>
      </c>
      <c r="B2" s="15" t="s">
        <v>237</v>
      </c>
      <c r="C2" s="15" t="s">
        <v>253</v>
      </c>
      <c r="D2" s="7" t="s">
        <v>45</v>
      </c>
      <c r="E2" s="16" t="s">
        <v>220</v>
      </c>
      <c r="F2" s="14" t="s">
        <v>131</v>
      </c>
      <c r="G2" s="14" t="s">
        <v>129</v>
      </c>
      <c r="H2" s="15" t="s">
        <v>49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5" sqref="D5"/>
    </sheetView>
  </sheetViews>
  <sheetFormatPr defaultColWidth="9.140625" defaultRowHeight="15" x14ac:dyDescent="0.25"/>
  <cols>
    <col min="1" max="1" width="15.28515625" style="14" customWidth="1"/>
    <col min="2" max="3" width="9.140625" style="14"/>
    <col min="4" max="4" width="11" style="14" bestFit="1" customWidth="1"/>
    <col min="5" max="16384" width="9.140625" style="14"/>
  </cols>
  <sheetData>
    <row r="1" spans="1:4" x14ac:dyDescent="0.25">
      <c r="A1" s="15" t="s">
        <v>33</v>
      </c>
      <c r="B1" s="15" t="s">
        <v>6</v>
      </c>
      <c r="C1" s="14" t="s">
        <v>48</v>
      </c>
      <c r="D1" s="15" t="s">
        <v>65</v>
      </c>
    </row>
    <row r="2" spans="1:4" x14ac:dyDescent="0.25">
      <c r="A2" s="15" t="s">
        <v>253</v>
      </c>
      <c r="B2" s="15" t="s">
        <v>45</v>
      </c>
      <c r="C2" s="15" t="s">
        <v>49</v>
      </c>
      <c r="D2" s="7" t="s">
        <v>306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 x14ac:dyDescent="0.25"/>
  <cols>
    <col min="1" max="1" width="22.140625" bestFit="1" customWidth="1"/>
    <col min="2" max="2" width="12.28515625" bestFit="1" customWidth="1"/>
    <col min="3" max="3" width="12.28515625" style="14" customWidth="1"/>
  </cols>
  <sheetData>
    <row r="1" spans="1:4" x14ac:dyDescent="0.25">
      <c r="A1" s="15" t="s">
        <v>600</v>
      </c>
      <c r="B1" s="15" t="s">
        <v>224</v>
      </c>
      <c r="C1" s="15" t="s">
        <v>228</v>
      </c>
      <c r="D1" s="15" t="s">
        <v>6</v>
      </c>
    </row>
    <row r="2" spans="1:4" x14ac:dyDescent="0.25">
      <c r="A2" s="15" t="s">
        <v>506</v>
      </c>
      <c r="B2" s="8" t="str">
        <f ca="1">TEXT(NOW(),"YYYY-MM-DD")</f>
        <v>2026-09-03</v>
      </c>
      <c r="C2" s="15" t="s">
        <v>227</v>
      </c>
      <c r="D2" s="7" t="s">
        <v>45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A1:D2"/>
    </sheetView>
  </sheetViews>
  <sheetFormatPr defaultRowHeight="15" x14ac:dyDescent="0.25"/>
  <cols>
    <col min="2" max="2" width="29.42578125" bestFit="1" customWidth="1"/>
    <col min="3" max="3" width="29.28515625" bestFit="1" customWidth="1"/>
    <col min="4" max="4" width="10.5703125" bestFit="1" customWidth="1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223</v>
      </c>
      <c r="C2" s="14" t="s">
        <v>195</v>
      </c>
      <c r="D2" s="14" t="s">
        <v>129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2" sqref="A2"/>
    </sheetView>
  </sheetViews>
  <sheetFormatPr defaultRowHeight="15" x14ac:dyDescent="0.25"/>
  <cols>
    <col min="1" max="1" width="10.42578125" bestFit="1" customWidth="1"/>
    <col min="2" max="2" width="11.7109375" bestFit="1" customWidth="1"/>
    <col min="4" max="4" width="10.28515625" bestFit="1" customWidth="1"/>
  </cols>
  <sheetData>
    <row r="1" spans="1:5" x14ac:dyDescent="0.25">
      <c r="A1" s="6" t="s">
        <v>44</v>
      </c>
      <c r="B1" s="1" t="s">
        <v>23</v>
      </c>
      <c r="C1" s="1" t="s">
        <v>6</v>
      </c>
      <c r="D1" t="s">
        <v>48</v>
      </c>
      <c r="E1" s="15" t="s">
        <v>65</v>
      </c>
    </row>
    <row r="2" spans="1:5" x14ac:dyDescent="0.25">
      <c r="A2" s="8" t="str">
        <f ca="1">TEXT(NOW(),"YYYY-MM-DD")</f>
        <v>2026-09-03</v>
      </c>
      <c r="B2" s="1" t="s">
        <v>511</v>
      </c>
      <c r="C2" s="7" t="s">
        <v>45</v>
      </c>
      <c r="D2" s="1" t="s">
        <v>49</v>
      </c>
      <c r="E2" s="15" t="s">
        <v>232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C3" sqref="C3"/>
    </sheetView>
  </sheetViews>
  <sheetFormatPr defaultRowHeight="15" x14ac:dyDescent="0.25"/>
  <cols>
    <col min="1" max="1" width="13.140625" style="14" bestFit="1" customWidth="1"/>
    <col min="2" max="2" width="27.85546875" style="14" bestFit="1" customWidth="1"/>
    <col min="3" max="3" width="18.140625" style="14" bestFit="1" customWidth="1"/>
    <col min="4" max="4" width="9.140625" style="14"/>
    <col min="5" max="5" width="65.140625" style="14" bestFit="1" customWidth="1"/>
    <col min="6" max="6" width="10.28515625" style="14" bestFit="1" customWidth="1"/>
    <col min="7" max="7" width="19" style="14" bestFit="1" customWidth="1"/>
    <col min="8" max="8" width="10.5703125" style="14" bestFit="1" customWidth="1"/>
    <col min="9" max="9" width="19.28515625" style="14" bestFit="1" customWidth="1"/>
    <col min="10" max="16384" width="9.140625" style="14"/>
  </cols>
  <sheetData>
    <row r="1" spans="1:9" x14ac:dyDescent="0.25">
      <c r="A1" s="14" t="s">
        <v>313</v>
      </c>
      <c r="B1" s="14" t="s">
        <v>314</v>
      </c>
      <c r="C1" s="14" t="s">
        <v>315</v>
      </c>
      <c r="D1" s="9" t="s">
        <v>6</v>
      </c>
      <c r="E1" s="9" t="s">
        <v>133</v>
      </c>
      <c r="F1" s="9" t="s">
        <v>48</v>
      </c>
      <c r="G1" s="15" t="s">
        <v>215</v>
      </c>
      <c r="H1" s="14" t="s">
        <v>128</v>
      </c>
      <c r="I1" s="2" t="s">
        <v>127</v>
      </c>
    </row>
    <row r="2" spans="1:9" x14ac:dyDescent="0.25">
      <c r="A2" s="9" t="s">
        <v>590</v>
      </c>
      <c r="B2" s="9" t="s">
        <v>10</v>
      </c>
      <c r="C2" s="9" t="s">
        <v>10</v>
      </c>
      <c r="D2" s="9" t="s">
        <v>81</v>
      </c>
      <c r="E2" s="9" t="s">
        <v>316</v>
      </c>
      <c r="F2" s="9" t="s">
        <v>49</v>
      </c>
      <c r="G2" s="15" t="s">
        <v>207</v>
      </c>
      <c r="H2" s="14" t="s">
        <v>129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F3" sqref="F3"/>
    </sheetView>
  </sheetViews>
  <sheetFormatPr defaultRowHeight="15" x14ac:dyDescent="0.25"/>
  <cols>
    <col min="1" max="1" width="13.42578125" style="14" bestFit="1" customWidth="1"/>
    <col min="2" max="2" width="11" style="14" bestFit="1" customWidth="1"/>
    <col min="3" max="3" width="12.5703125" style="14" bestFit="1" customWidth="1"/>
    <col min="4" max="4" width="16.140625" style="14" bestFit="1" customWidth="1"/>
    <col min="5" max="5" width="13.7109375" style="14" bestFit="1" customWidth="1"/>
    <col min="6" max="6" width="12.7109375" style="14" bestFit="1" customWidth="1"/>
    <col min="7" max="7" width="5.7109375" style="14" bestFit="1" customWidth="1"/>
    <col min="8" max="8" width="38.28515625" style="14" bestFit="1" customWidth="1"/>
    <col min="9" max="9" width="10.28515625" style="14" bestFit="1" customWidth="1"/>
    <col min="10" max="10" width="19" style="14" bestFit="1" customWidth="1"/>
    <col min="11" max="11" width="10.5703125" style="14" bestFit="1" customWidth="1"/>
    <col min="12" max="12" width="19.28515625" style="14" bestFit="1" customWidth="1"/>
    <col min="13" max="16384" width="9.140625" style="14"/>
  </cols>
  <sheetData>
    <row r="1" spans="1:12" x14ac:dyDescent="0.25">
      <c r="A1" s="14" t="s">
        <v>610</v>
      </c>
      <c r="B1" s="14" t="s">
        <v>611</v>
      </c>
      <c r="C1" s="14" t="s">
        <v>612</v>
      </c>
      <c r="D1" s="14" t="s">
        <v>613</v>
      </c>
      <c r="E1" s="14" t="s">
        <v>614</v>
      </c>
      <c r="F1" s="14" t="s">
        <v>615</v>
      </c>
      <c r="G1" s="9" t="s">
        <v>6</v>
      </c>
      <c r="H1" s="9" t="s">
        <v>133</v>
      </c>
      <c r="I1" s="9" t="s">
        <v>48</v>
      </c>
      <c r="J1" s="15" t="s">
        <v>215</v>
      </c>
      <c r="K1" s="14" t="s">
        <v>128</v>
      </c>
      <c r="L1" s="2" t="s">
        <v>127</v>
      </c>
    </row>
    <row r="2" spans="1:12" x14ac:dyDescent="0.25">
      <c r="A2" s="9" t="s">
        <v>10</v>
      </c>
      <c r="B2" s="9" t="s">
        <v>636</v>
      </c>
      <c r="C2" s="9" t="s">
        <v>636</v>
      </c>
      <c r="D2" s="9" t="s">
        <v>637</v>
      </c>
      <c r="E2" s="9" t="s">
        <v>495</v>
      </c>
      <c r="F2" s="9" t="s">
        <v>638</v>
      </c>
      <c r="G2" s="9" t="s">
        <v>81</v>
      </c>
      <c r="H2" s="9" t="s">
        <v>317</v>
      </c>
      <c r="I2" s="9" t="s">
        <v>49</v>
      </c>
      <c r="J2" s="15" t="s">
        <v>207</v>
      </c>
      <c r="K2" s="14" t="s">
        <v>129</v>
      </c>
    </row>
    <row r="10" spans="1:12" x14ac:dyDescent="0.25">
      <c r="H10" s="14" t="s">
        <v>324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opLeftCell="G1" zoomScale="145" zoomScaleNormal="145" workbookViewId="0">
      <selection activeCell="I4" sqref="I4:I9"/>
    </sheetView>
  </sheetViews>
  <sheetFormatPr defaultRowHeight="15" x14ac:dyDescent="0.25"/>
  <cols>
    <col min="1" max="1" width="15.7109375" style="14" bestFit="1" customWidth="1"/>
    <col min="2" max="2" width="16.85546875" style="14" bestFit="1" customWidth="1"/>
    <col min="3" max="3" width="16.7109375" style="14" bestFit="1" customWidth="1"/>
    <col min="4" max="4" width="18" style="14" bestFit="1" customWidth="1"/>
    <col min="5" max="5" width="5.7109375" style="14" bestFit="1" customWidth="1"/>
    <col min="6" max="6" width="47" style="14" bestFit="1" customWidth="1"/>
    <col min="7" max="7" width="10.28515625" style="14" bestFit="1" customWidth="1"/>
    <col min="8" max="8" width="19" style="14" bestFit="1" customWidth="1"/>
    <col min="9" max="9" width="10.5703125" style="14" bestFit="1" customWidth="1"/>
    <col min="10" max="10" width="19.28515625" style="14" bestFit="1" customWidth="1"/>
    <col min="11" max="16384" width="9.140625" style="14"/>
  </cols>
  <sheetData>
    <row r="1" spans="1:10" x14ac:dyDescent="0.25">
      <c r="A1" s="14" t="s">
        <v>318</v>
      </c>
      <c r="B1" s="14" t="s">
        <v>319</v>
      </c>
      <c r="C1" s="14" t="s">
        <v>616</v>
      </c>
      <c r="D1" s="14" t="s">
        <v>617</v>
      </c>
      <c r="E1" s="9" t="s">
        <v>6</v>
      </c>
      <c r="F1" s="9" t="s">
        <v>133</v>
      </c>
      <c r="G1" s="9" t="s">
        <v>48</v>
      </c>
      <c r="H1" s="15" t="s">
        <v>215</v>
      </c>
      <c r="I1" s="14" t="s">
        <v>128</v>
      </c>
      <c r="J1" s="2" t="s">
        <v>127</v>
      </c>
    </row>
    <row r="2" spans="1:10" x14ac:dyDescent="0.25">
      <c r="A2" s="9" t="s">
        <v>637</v>
      </c>
      <c r="B2" s="9" t="s">
        <v>637</v>
      </c>
      <c r="C2" s="9" t="s">
        <v>591</v>
      </c>
      <c r="D2" s="9" t="s">
        <v>591</v>
      </c>
      <c r="E2" s="9" t="s">
        <v>81</v>
      </c>
      <c r="F2" s="9" t="s">
        <v>643</v>
      </c>
      <c r="G2" s="9" t="s">
        <v>49</v>
      </c>
      <c r="H2" s="15" t="s">
        <v>207</v>
      </c>
      <c r="I2" s="14" t="s">
        <v>129</v>
      </c>
    </row>
    <row r="3" spans="1:10" x14ac:dyDescent="0.25">
      <c r="A3" s="9" t="s">
        <v>592</v>
      </c>
      <c r="B3" s="9" t="s">
        <v>592</v>
      </c>
      <c r="C3" s="9" t="s">
        <v>591</v>
      </c>
      <c r="D3" s="9" t="s">
        <v>591</v>
      </c>
      <c r="E3" s="9" t="s">
        <v>82</v>
      </c>
      <c r="F3" s="9" t="s">
        <v>643</v>
      </c>
      <c r="G3" s="9" t="s">
        <v>49</v>
      </c>
      <c r="H3" s="15" t="s">
        <v>207</v>
      </c>
      <c r="I3" s="14" t="s">
        <v>129</v>
      </c>
    </row>
    <row r="4" spans="1:10" x14ac:dyDescent="0.25">
      <c r="A4" s="9" t="s">
        <v>593</v>
      </c>
      <c r="B4" s="9" t="s">
        <v>593</v>
      </c>
      <c r="C4" s="9" t="s">
        <v>591</v>
      </c>
      <c r="D4" s="9" t="s">
        <v>591</v>
      </c>
      <c r="E4" s="9" t="s">
        <v>235</v>
      </c>
      <c r="F4" s="9" t="s">
        <v>643</v>
      </c>
      <c r="G4" s="9" t="s">
        <v>49</v>
      </c>
      <c r="H4" s="15" t="s">
        <v>207</v>
      </c>
      <c r="I4" s="14" t="s">
        <v>129</v>
      </c>
    </row>
    <row r="5" spans="1:10" x14ac:dyDescent="0.25">
      <c r="A5" s="14" t="s">
        <v>623</v>
      </c>
      <c r="B5" s="14" t="s">
        <v>623</v>
      </c>
      <c r="C5" s="9" t="s">
        <v>591</v>
      </c>
      <c r="D5" s="9" t="s">
        <v>591</v>
      </c>
      <c r="E5" s="9" t="s">
        <v>236</v>
      </c>
      <c r="F5" s="9" t="s">
        <v>643</v>
      </c>
      <c r="G5" s="9" t="s">
        <v>49</v>
      </c>
      <c r="H5" s="15" t="s">
        <v>207</v>
      </c>
      <c r="I5" s="14" t="s">
        <v>129</v>
      </c>
    </row>
    <row r="6" spans="1:10" x14ac:dyDescent="0.25">
      <c r="A6" s="26" t="s">
        <v>599</v>
      </c>
      <c r="B6" s="26" t="s">
        <v>599</v>
      </c>
      <c r="C6" s="9" t="s">
        <v>591</v>
      </c>
      <c r="D6" s="9" t="s">
        <v>591</v>
      </c>
      <c r="E6" s="9" t="s">
        <v>333</v>
      </c>
      <c r="F6" s="9" t="s">
        <v>643</v>
      </c>
      <c r="G6" s="9" t="s">
        <v>49</v>
      </c>
      <c r="H6" s="15" t="s">
        <v>207</v>
      </c>
      <c r="I6" s="14" t="s">
        <v>129</v>
      </c>
    </row>
    <row r="7" spans="1:10" x14ac:dyDescent="0.25">
      <c r="A7" s="14" t="s">
        <v>640</v>
      </c>
      <c r="B7" s="14" t="s">
        <v>640</v>
      </c>
      <c r="C7" s="9" t="s">
        <v>591</v>
      </c>
      <c r="D7" s="9" t="s">
        <v>591</v>
      </c>
      <c r="E7" s="9" t="s">
        <v>547</v>
      </c>
      <c r="F7" s="9" t="s">
        <v>643</v>
      </c>
      <c r="G7" s="9" t="s">
        <v>49</v>
      </c>
      <c r="H7" s="15" t="s">
        <v>207</v>
      </c>
      <c r="I7" s="14" t="s">
        <v>129</v>
      </c>
    </row>
    <row r="8" spans="1:10" x14ac:dyDescent="0.25">
      <c r="A8" s="14" t="s">
        <v>640</v>
      </c>
      <c r="B8" s="14" t="s">
        <v>640</v>
      </c>
      <c r="C8" s="9" t="s">
        <v>591</v>
      </c>
      <c r="D8" s="9" t="s">
        <v>591</v>
      </c>
      <c r="E8" s="9" t="s">
        <v>641</v>
      </c>
      <c r="F8" s="9" t="s">
        <v>643</v>
      </c>
      <c r="G8" s="9" t="s">
        <v>49</v>
      </c>
      <c r="H8" s="15" t="s">
        <v>207</v>
      </c>
      <c r="I8" s="14" t="s">
        <v>129</v>
      </c>
    </row>
    <row r="9" spans="1:10" x14ac:dyDescent="0.25">
      <c r="A9" s="26" t="s">
        <v>591</v>
      </c>
      <c r="B9" s="26" t="s">
        <v>591</v>
      </c>
      <c r="C9" s="9" t="s">
        <v>591</v>
      </c>
      <c r="D9" s="9" t="s">
        <v>591</v>
      </c>
      <c r="E9" s="9" t="s">
        <v>642</v>
      </c>
      <c r="F9" s="9" t="s">
        <v>643</v>
      </c>
      <c r="G9" s="9" t="s">
        <v>49</v>
      </c>
      <c r="H9" s="15" t="s">
        <v>207</v>
      </c>
      <c r="I9" s="14" t="s">
        <v>129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D3" sqref="D3"/>
    </sheetView>
  </sheetViews>
  <sheetFormatPr defaultRowHeight="15" x14ac:dyDescent="0.25"/>
  <cols>
    <col min="1" max="1" width="18" style="14" bestFit="1" customWidth="1"/>
    <col min="2" max="2" width="13.5703125" style="14" bestFit="1" customWidth="1"/>
    <col min="3" max="3" width="20.7109375" style="14" bestFit="1" customWidth="1"/>
    <col min="4" max="4" width="22" style="14" bestFit="1" customWidth="1"/>
    <col min="5" max="5" width="9.140625" style="14"/>
    <col min="6" max="6" width="39" style="14" bestFit="1" customWidth="1"/>
    <col min="7" max="7" width="10.28515625" style="14" bestFit="1" customWidth="1"/>
    <col min="8" max="8" width="19" style="14" bestFit="1" customWidth="1"/>
    <col min="9" max="9" width="10.5703125" style="14" bestFit="1" customWidth="1"/>
    <col min="10" max="10" width="19.28515625" style="14" bestFit="1" customWidth="1"/>
    <col min="11" max="16384" width="9.140625" style="14"/>
  </cols>
  <sheetData>
    <row r="1" spans="1:11" x14ac:dyDescent="0.25">
      <c r="A1" s="14" t="s">
        <v>320</v>
      </c>
      <c r="B1" s="14" t="s">
        <v>321</v>
      </c>
      <c r="C1" s="14" t="s">
        <v>594</v>
      </c>
      <c r="D1" s="14" t="s">
        <v>595</v>
      </c>
      <c r="E1" s="9" t="s">
        <v>6</v>
      </c>
      <c r="F1" s="9" t="s">
        <v>133</v>
      </c>
      <c r="G1" s="9" t="s">
        <v>48</v>
      </c>
      <c r="H1" s="15" t="s">
        <v>215</v>
      </c>
      <c r="I1" s="14" t="s">
        <v>128</v>
      </c>
      <c r="J1" s="2" t="s">
        <v>127</v>
      </c>
      <c r="K1" s="14" t="s">
        <v>65</v>
      </c>
    </row>
    <row r="2" spans="1:11" x14ac:dyDescent="0.25">
      <c r="A2" s="9" t="s">
        <v>10</v>
      </c>
      <c r="B2" s="9" t="s">
        <v>10</v>
      </c>
      <c r="C2" s="9" t="s">
        <v>639</v>
      </c>
      <c r="D2" s="9" t="s">
        <v>639</v>
      </c>
      <c r="E2" s="9" t="s">
        <v>81</v>
      </c>
      <c r="F2" s="9" t="s">
        <v>322</v>
      </c>
      <c r="G2" s="9" t="s">
        <v>49</v>
      </c>
      <c r="H2" s="15" t="s">
        <v>207</v>
      </c>
      <c r="I2" s="14" t="s">
        <v>129</v>
      </c>
      <c r="K2" s="9" t="s">
        <v>10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3" sqref="A3"/>
    </sheetView>
  </sheetViews>
  <sheetFormatPr defaultRowHeight="15" x14ac:dyDescent="0.25"/>
  <cols>
    <col min="2" max="2" width="10.5703125" bestFit="1" customWidth="1"/>
    <col min="4" max="4" width="10.28515625" bestFit="1" customWidth="1"/>
    <col min="5" max="5" width="24.42578125" bestFit="1" customWidth="1"/>
    <col min="6" max="6" width="10.5703125" bestFit="1" customWidth="1"/>
    <col min="7" max="7" width="15" bestFit="1" customWidth="1"/>
  </cols>
  <sheetData>
    <row r="1" spans="1:7" x14ac:dyDescent="0.25">
      <c r="A1" s="1" t="s">
        <v>38</v>
      </c>
      <c r="B1" s="1" t="s">
        <v>5</v>
      </c>
      <c r="C1" s="1" t="s">
        <v>6</v>
      </c>
      <c r="D1" t="s">
        <v>48</v>
      </c>
      <c r="E1" s="14" t="s">
        <v>127</v>
      </c>
      <c r="F1" s="15" t="s">
        <v>128</v>
      </c>
      <c r="G1" s="15" t="s">
        <v>65</v>
      </c>
    </row>
    <row r="2" spans="1:7" x14ac:dyDescent="0.25">
      <c r="A2" s="7" t="s">
        <v>628</v>
      </c>
      <c r="B2" s="1" t="s">
        <v>39</v>
      </c>
      <c r="C2" s="7" t="s">
        <v>45</v>
      </c>
      <c r="D2" s="1" t="s">
        <v>49</v>
      </c>
      <c r="E2" s="14"/>
      <c r="F2" s="15" t="s">
        <v>129</v>
      </c>
      <c r="G2" s="14" t="s">
        <v>65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S27" sqref="S27"/>
    </sheetView>
  </sheetViews>
  <sheetFormatPr defaultRowHeight="15" x14ac:dyDescent="0.25"/>
  <cols>
    <col min="1" max="2" width="10.42578125" style="6" bestFit="1" customWidth="1"/>
  </cols>
  <sheetData>
    <row r="1" spans="1:4" x14ac:dyDescent="0.25">
      <c r="A1" s="6" t="s">
        <v>40</v>
      </c>
      <c r="B1" s="6" t="s">
        <v>41</v>
      </c>
      <c r="C1" s="1" t="s">
        <v>6</v>
      </c>
      <c r="D1" t="s">
        <v>48</v>
      </c>
    </row>
    <row r="2" spans="1:4" x14ac:dyDescent="0.25">
      <c r="A2" s="6" t="str">
        <f ca="1">TEXT(NOW(),"YYYY-MM-DD")</f>
        <v>2026-09-03</v>
      </c>
      <c r="B2" s="6" t="str">
        <f ca="1">TEXT(NOW(),"YYYY-MM-DD")</f>
        <v>2026-09-03</v>
      </c>
      <c r="C2" s="7" t="s">
        <v>45</v>
      </c>
      <c r="D2" s="1" t="s">
        <v>49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A1:C2"/>
    </sheetView>
  </sheetViews>
  <sheetFormatPr defaultColWidth="9.140625" defaultRowHeight="15" x14ac:dyDescent="0.25"/>
  <cols>
    <col min="1" max="1" width="9.140625" style="14"/>
    <col min="2" max="2" width="22.140625" style="14" bestFit="1" customWidth="1"/>
    <col min="3" max="16384" width="9.140625" style="14"/>
  </cols>
  <sheetData>
    <row r="1" spans="1:3" x14ac:dyDescent="0.25">
      <c r="A1" s="15" t="s">
        <v>6</v>
      </c>
      <c r="B1" s="14" t="s">
        <v>127</v>
      </c>
      <c r="C1" s="14" t="s">
        <v>128</v>
      </c>
    </row>
    <row r="2" spans="1:3" x14ac:dyDescent="0.25">
      <c r="A2" s="7" t="s">
        <v>45</v>
      </c>
      <c r="B2" s="14" t="s">
        <v>190</v>
      </c>
      <c r="C2" s="14" t="s">
        <v>129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"/>
    </sheetView>
  </sheetViews>
  <sheetFormatPr defaultRowHeight="15" x14ac:dyDescent="0.25"/>
  <cols>
    <col min="1" max="1" width="20.42578125" customWidth="1"/>
    <col min="2" max="2" width="11.42578125" bestFit="1" customWidth="1"/>
  </cols>
  <sheetData>
    <row r="1" spans="1:2" x14ac:dyDescent="0.25">
      <c r="A1" s="12" t="s">
        <v>88</v>
      </c>
      <c r="B1" t="s">
        <v>89</v>
      </c>
    </row>
    <row r="2" spans="1:2" x14ac:dyDescent="0.25">
      <c r="A2" t="s">
        <v>90</v>
      </c>
      <c r="B2" s="9" t="s">
        <v>238</v>
      </c>
    </row>
    <row r="3" spans="1:2" x14ac:dyDescent="0.25">
      <c r="A3" t="s">
        <v>103</v>
      </c>
      <c r="B3" t="s">
        <v>104</v>
      </c>
    </row>
    <row r="4" spans="1:2" x14ac:dyDescent="0.25">
      <c r="A4" t="s">
        <v>209</v>
      </c>
      <c r="B4" s="9" t="s">
        <v>239</v>
      </c>
    </row>
  </sheetData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2" sqref="C2"/>
    </sheetView>
  </sheetViews>
  <sheetFormatPr defaultColWidth="9.140625" defaultRowHeight="15" x14ac:dyDescent="0.25"/>
  <cols>
    <col min="1" max="1" width="9.85546875" style="14" customWidth="1"/>
    <col min="2" max="2" width="30.140625" style="14" bestFit="1" customWidth="1"/>
    <col min="3" max="3" width="36.85546875" style="14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198</v>
      </c>
      <c r="C2" s="15" t="s">
        <v>205</v>
      </c>
      <c r="D2" s="14" t="s">
        <v>129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RowHeight="15" x14ac:dyDescent="0.25"/>
  <cols>
    <col min="1" max="1" width="20.28515625" bestFit="1" customWidth="1"/>
    <col min="2" max="2" width="11.28515625" bestFit="1" customWidth="1"/>
  </cols>
  <sheetData>
    <row r="1" spans="1:3" x14ac:dyDescent="0.25">
      <c r="A1" s="1" t="s">
        <v>63</v>
      </c>
      <c r="B1" s="1" t="s">
        <v>95</v>
      </c>
      <c r="C1" s="1" t="s">
        <v>6</v>
      </c>
    </row>
    <row r="2" spans="1:3" x14ac:dyDescent="0.25">
      <c r="A2" s="1" t="s">
        <v>80</v>
      </c>
      <c r="B2" s="1" t="s">
        <v>96</v>
      </c>
      <c r="C2" s="7" t="s">
        <v>45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C2"/>
    </sheetView>
  </sheetViews>
  <sheetFormatPr defaultColWidth="9.140625" defaultRowHeight="15" x14ac:dyDescent="0.25"/>
  <cols>
    <col min="1" max="1" width="20.28515625" style="14" bestFit="1" customWidth="1"/>
    <col min="2" max="2" width="11.28515625" style="14" bestFit="1" customWidth="1"/>
    <col min="3" max="16384" width="9.140625" style="14"/>
  </cols>
  <sheetData>
    <row r="1" spans="1:3" x14ac:dyDescent="0.25">
      <c r="A1" s="15" t="s">
        <v>63</v>
      </c>
      <c r="B1" s="15" t="s">
        <v>95</v>
      </c>
      <c r="C1" s="15" t="s">
        <v>6</v>
      </c>
    </row>
    <row r="2" spans="1:3" x14ac:dyDescent="0.25">
      <c r="A2" s="15" t="s">
        <v>80</v>
      </c>
      <c r="B2" s="15" t="s">
        <v>96</v>
      </c>
      <c r="C2" s="7" t="s">
        <v>45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9.140625" defaultRowHeight="15" x14ac:dyDescent="0.25"/>
  <cols>
    <col min="1" max="1" width="9.85546875" style="14" customWidth="1"/>
    <col min="2" max="2" width="30.140625" style="14" bestFit="1" customWidth="1"/>
    <col min="3" max="3" width="1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200</v>
      </c>
      <c r="C2" s="15" t="s">
        <v>132</v>
      </c>
      <c r="D2" s="14" t="s">
        <v>129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T17" sqref="T17"/>
    </sheetView>
  </sheetViews>
  <sheetFormatPr defaultRowHeight="15" x14ac:dyDescent="0.25"/>
  <cols>
    <col min="1" max="1" width="12.42578125" bestFit="1" customWidth="1"/>
  </cols>
  <sheetData>
    <row r="1" spans="1:2" x14ac:dyDescent="0.25">
      <c r="A1" t="s">
        <v>65</v>
      </c>
      <c r="B1" t="s">
        <v>6</v>
      </c>
    </row>
    <row r="2" spans="1:2" x14ac:dyDescent="0.25">
      <c r="A2" t="s">
        <v>218</v>
      </c>
      <c r="B2" s="9" t="s">
        <v>45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3" sqref="D3"/>
    </sheetView>
  </sheetViews>
  <sheetFormatPr defaultRowHeight="15" x14ac:dyDescent="0.25"/>
  <cols>
    <col min="1" max="1" width="19" bestFit="1" customWidth="1"/>
    <col min="2" max="2" width="13.5703125" bestFit="1" customWidth="1"/>
    <col min="3" max="4" width="13.140625" bestFit="1" customWidth="1"/>
    <col min="5" max="5" width="6.7109375" customWidth="1"/>
  </cols>
  <sheetData>
    <row r="1" spans="1:5" x14ac:dyDescent="0.25">
      <c r="A1" s="2" t="s">
        <v>23</v>
      </c>
      <c r="B1" s="9" t="s">
        <v>99</v>
      </c>
      <c r="C1" s="9" t="s">
        <v>101</v>
      </c>
      <c r="D1" s="9" t="s">
        <v>102</v>
      </c>
      <c r="E1" s="1" t="s">
        <v>6</v>
      </c>
    </row>
    <row r="2" spans="1:5" x14ac:dyDescent="0.25">
      <c r="A2" s="1" t="s">
        <v>473</v>
      </c>
      <c r="B2" s="13" t="s">
        <v>468</v>
      </c>
      <c r="C2" s="9" t="s">
        <v>469</v>
      </c>
      <c r="D2" s="13" t="s">
        <v>483</v>
      </c>
      <c r="E2" s="1" t="s">
        <v>45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5" sqref="C5"/>
    </sheetView>
  </sheetViews>
  <sheetFormatPr defaultColWidth="9.140625" defaultRowHeight="15" x14ac:dyDescent="0.25"/>
  <cols>
    <col min="1" max="1" width="3.28515625" style="14" bestFit="1" customWidth="1"/>
    <col min="2" max="2" width="29.42578125" style="14" bestFit="1" customWidth="1"/>
    <col min="3" max="3" width="19.8554687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194</v>
      </c>
      <c r="C2" s="15" t="s">
        <v>193</v>
      </c>
      <c r="D2" s="14" t="s">
        <v>129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3" sqref="B3"/>
    </sheetView>
  </sheetViews>
  <sheetFormatPr defaultRowHeight="15" x14ac:dyDescent="0.25"/>
  <cols>
    <col min="1" max="1" width="10.7109375" bestFit="1" customWidth="1"/>
    <col min="2" max="2" width="21.5703125" bestFit="1" customWidth="1"/>
    <col min="3" max="3" width="27.140625" bestFit="1" customWidth="1"/>
    <col min="4" max="4" width="27.140625" style="14" customWidth="1"/>
  </cols>
  <sheetData>
    <row r="1" spans="1:6" x14ac:dyDescent="0.25">
      <c r="A1" t="s">
        <v>22</v>
      </c>
      <c r="B1" t="s">
        <v>23</v>
      </c>
      <c r="C1" t="s">
        <v>3</v>
      </c>
      <c r="D1" s="14" t="s">
        <v>183</v>
      </c>
      <c r="E1" t="s">
        <v>6</v>
      </c>
      <c r="F1" t="s">
        <v>48</v>
      </c>
    </row>
    <row r="2" spans="1:6" x14ac:dyDescent="0.25">
      <c r="A2" s="8" t="str">
        <f ca="1">TEXT(NOW(),"YYYY-MM-DD")</f>
        <v>2026-09-03</v>
      </c>
      <c r="B2" t="s">
        <v>470</v>
      </c>
      <c r="C2" s="1" t="s">
        <v>93</v>
      </c>
      <c r="D2" s="15" t="s">
        <v>183</v>
      </c>
      <c r="E2" s="9" t="s">
        <v>45</v>
      </c>
      <c r="F2" s="1" t="s">
        <v>49</v>
      </c>
    </row>
  </sheetData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E5" sqref="E5"/>
    </sheetView>
  </sheetViews>
  <sheetFormatPr defaultColWidth="9.140625" defaultRowHeight="15" x14ac:dyDescent="0.25"/>
  <cols>
    <col min="1" max="1" width="9.85546875" style="14" customWidth="1"/>
    <col min="2" max="2" width="23.42578125" style="14" bestFit="1" customWidth="1"/>
    <col min="3" max="3" width="2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196</v>
      </c>
      <c r="C2" s="17" t="s">
        <v>195</v>
      </c>
      <c r="D2" s="14" t="s">
        <v>129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3" sqref="B3"/>
    </sheetView>
  </sheetViews>
  <sheetFormatPr defaultColWidth="9.140625" defaultRowHeight="15" x14ac:dyDescent="0.25"/>
  <cols>
    <col min="1" max="1" width="10.7109375" style="14" bestFit="1" customWidth="1"/>
    <col min="2" max="2" width="21.5703125" style="14" bestFit="1" customWidth="1"/>
    <col min="3" max="3" width="27.140625" style="14" bestFit="1" customWidth="1"/>
    <col min="4" max="4" width="27.140625" style="14" customWidth="1"/>
    <col min="5" max="16384" width="9.140625" style="14"/>
  </cols>
  <sheetData>
    <row r="1" spans="1:6" x14ac:dyDescent="0.25">
      <c r="A1" s="14" t="s">
        <v>22</v>
      </c>
      <c r="B1" s="14" t="s">
        <v>23</v>
      </c>
      <c r="C1" s="14" t="s">
        <v>3</v>
      </c>
      <c r="D1" s="14" t="s">
        <v>183</v>
      </c>
      <c r="E1" s="14" t="s">
        <v>6</v>
      </c>
      <c r="F1" s="14" t="s">
        <v>48</v>
      </c>
    </row>
    <row r="2" spans="1:6" x14ac:dyDescent="0.25">
      <c r="A2" s="14" t="str">
        <f ca="1">TEXT(NOW(),"YYYY-MM-DD")</f>
        <v>2026-09-03</v>
      </c>
      <c r="B2" s="14" t="s">
        <v>470</v>
      </c>
      <c r="C2" s="15" t="s">
        <v>93</v>
      </c>
      <c r="D2" s="15" t="s">
        <v>183</v>
      </c>
      <c r="E2" s="9" t="s">
        <v>45</v>
      </c>
      <c r="F2" s="15" t="s">
        <v>49</v>
      </c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2" sqref="A2"/>
    </sheetView>
  </sheetViews>
  <sheetFormatPr defaultColWidth="9.140625" defaultRowHeight="15" x14ac:dyDescent="0.25"/>
  <cols>
    <col min="1" max="1" width="9.85546875" style="14" customWidth="1"/>
    <col min="2" max="2" width="23.42578125" style="14" bestFit="1" customWidth="1"/>
    <col min="3" max="3" width="29.28515625" style="14" bestFit="1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196</v>
      </c>
      <c r="C2" s="17" t="s">
        <v>195</v>
      </c>
      <c r="D2" s="14" t="s">
        <v>129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2" sqref="F2"/>
    </sheetView>
  </sheetViews>
  <sheetFormatPr defaultRowHeight="15" x14ac:dyDescent="0.25"/>
  <cols>
    <col min="2" max="2" width="15.7109375" customWidth="1"/>
    <col min="3" max="3" width="20" bestFit="1" customWidth="1"/>
    <col min="4" max="4" width="17.5703125" bestFit="1" customWidth="1"/>
  </cols>
  <sheetData>
    <row r="1" spans="1:6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6</v>
      </c>
      <c r="F1" t="s">
        <v>48</v>
      </c>
    </row>
    <row r="2" spans="1:6" x14ac:dyDescent="0.25">
      <c r="A2" s="1" t="s">
        <v>70</v>
      </c>
      <c r="B2" s="1" t="s">
        <v>71</v>
      </c>
      <c r="C2" s="8" t="str">
        <f ca="1">TEXT(NOW(),"dd-mm-yyyy ")</f>
        <v xml:space="preserve">03-09-2026 </v>
      </c>
      <c r="D2" s="8" t="str">
        <f ca="1">TEXT(NOW(),"dd-mm-yyyy ")</f>
        <v xml:space="preserve">03-09-2026 </v>
      </c>
      <c r="E2" s="7" t="s">
        <v>45</v>
      </c>
      <c r="F2" s="1" t="s">
        <v>49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F10" sqref="F10"/>
    </sheetView>
  </sheetViews>
  <sheetFormatPr defaultRowHeight="15" x14ac:dyDescent="0.25"/>
  <cols>
    <col min="1" max="1" width="10.7109375" style="6" bestFit="1" customWidth="1"/>
    <col min="2" max="2" width="13.140625" style="6" bestFit="1" customWidth="1"/>
    <col min="3" max="3" width="21.5703125" bestFit="1" customWidth="1"/>
  </cols>
  <sheetData>
    <row r="1" spans="1:5" x14ac:dyDescent="0.25">
      <c r="A1" s="6" t="s">
        <v>22</v>
      </c>
      <c r="B1" s="6" t="s">
        <v>16</v>
      </c>
      <c r="C1" t="s">
        <v>23</v>
      </c>
      <c r="D1" s="1" t="s">
        <v>6</v>
      </c>
      <c r="E1" t="s">
        <v>48</v>
      </c>
    </row>
    <row r="2" spans="1:5" x14ac:dyDescent="0.25">
      <c r="A2" s="6" t="str">
        <f ca="1">TEXT(NOW(),"YYYY-MM-DD")</f>
        <v>2026-09-03</v>
      </c>
      <c r="B2" s="6" t="str">
        <f ca="1">TEXT(NOW(),"YYYY-MM-DD")</f>
        <v>2026-09-03</v>
      </c>
      <c r="C2" s="14" t="s">
        <v>470</v>
      </c>
      <c r="D2" s="7" t="s">
        <v>45</v>
      </c>
      <c r="E2" s="1" t="s">
        <v>49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" sqref="C1"/>
    </sheetView>
  </sheetViews>
  <sheetFormatPr defaultColWidth="9.140625" defaultRowHeight="15" x14ac:dyDescent="0.25"/>
  <cols>
    <col min="1" max="1" width="9.85546875" style="14" customWidth="1"/>
    <col min="2" max="2" width="28.140625" style="14" bestFit="1" customWidth="1"/>
    <col min="3" max="3" width="70" style="14" customWidth="1"/>
    <col min="4" max="4" width="10.5703125" style="14" bestFit="1" customWidth="1"/>
    <col min="5" max="16384" width="9.140625" style="14"/>
  </cols>
  <sheetData>
    <row r="1" spans="1:4" x14ac:dyDescent="0.25">
      <c r="A1" s="15" t="s">
        <v>6</v>
      </c>
      <c r="B1" s="15" t="s">
        <v>133</v>
      </c>
      <c r="C1" s="14" t="s">
        <v>127</v>
      </c>
      <c r="D1" s="15" t="s">
        <v>128</v>
      </c>
    </row>
    <row r="2" spans="1:4" x14ac:dyDescent="0.25">
      <c r="A2" s="16" t="s">
        <v>45</v>
      </c>
      <c r="B2" s="16" t="s">
        <v>201</v>
      </c>
      <c r="C2" s="17" t="s">
        <v>206</v>
      </c>
      <c r="D2" s="14" t="s">
        <v>129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2" sqref="D2"/>
    </sheetView>
  </sheetViews>
  <sheetFormatPr defaultRowHeight="15" x14ac:dyDescent="0.25"/>
  <cols>
    <col min="4" max="4" width="12.42578125" style="6" bestFit="1" customWidth="1"/>
  </cols>
  <sheetData>
    <row r="1" spans="1:5" x14ac:dyDescent="0.25">
      <c r="A1" t="s">
        <v>72</v>
      </c>
      <c r="B1" t="s">
        <v>73</v>
      </c>
      <c r="C1" s="1" t="s">
        <v>72</v>
      </c>
      <c r="D1" s="6" t="s">
        <v>73</v>
      </c>
      <c r="E1" s="1" t="s">
        <v>6</v>
      </c>
    </row>
    <row r="2" spans="1:5" x14ac:dyDescent="0.25">
      <c r="A2" s="1" t="s">
        <v>74</v>
      </c>
      <c r="B2" s="1" t="s">
        <v>71</v>
      </c>
      <c r="C2" s="1" t="s">
        <v>74</v>
      </c>
      <c r="D2" s="8" t="str">
        <f ca="1">TEXT(NOW(),"dd-mm-yyyy ")</f>
        <v xml:space="preserve">03-09-2026 </v>
      </c>
      <c r="E2" s="7" t="s">
        <v>45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3" sqref="B3"/>
    </sheetView>
  </sheetViews>
  <sheetFormatPr defaultRowHeight="15" x14ac:dyDescent="0.25"/>
  <cols>
    <col min="1" max="1" width="13.140625" bestFit="1" customWidth="1"/>
    <col min="3" max="3" width="14.85546875" bestFit="1" customWidth="1"/>
    <col min="4" max="4" width="14" bestFit="1" customWidth="1"/>
    <col min="6" max="6" width="14.85546875" bestFit="1" customWidth="1"/>
  </cols>
  <sheetData>
    <row r="1" spans="1:3" x14ac:dyDescent="0.25">
      <c r="A1" s="14" t="s">
        <v>211</v>
      </c>
      <c r="B1" s="15" t="s">
        <v>6</v>
      </c>
      <c r="C1" s="14" t="s">
        <v>48</v>
      </c>
    </row>
    <row r="2" spans="1:3" x14ac:dyDescent="0.25">
      <c r="A2" s="8" t="str">
        <f ca="1">TEXT(NOW(),"YYYY-MM-DD")</f>
        <v>2026-09-03</v>
      </c>
      <c r="B2" s="7" t="s">
        <v>45</v>
      </c>
      <c r="C2" s="15" t="s">
        <v>49</v>
      </c>
    </row>
  </sheetData>
  <pageMargins left="0.7" right="0.7" top="0.75" bottom="0.75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3" sqref="B3"/>
    </sheetView>
  </sheetViews>
  <sheetFormatPr defaultRowHeight="15" x14ac:dyDescent="0.25"/>
  <cols>
    <col min="1" max="1" width="11.7109375" style="14" bestFit="1" customWidth="1"/>
    <col min="2" max="2" width="9.140625" style="14"/>
    <col min="3" max="3" width="15.140625" bestFit="1" customWidth="1"/>
    <col min="4" max="4" width="15" bestFit="1" customWidth="1"/>
    <col min="5" max="5" width="21.7109375" bestFit="1" customWidth="1"/>
    <col min="6" max="6" width="6.85546875" customWidth="1"/>
    <col min="7" max="7" width="10.28515625" bestFit="1" customWidth="1"/>
  </cols>
  <sheetData>
    <row r="1" spans="1:8" x14ac:dyDescent="0.25">
      <c r="A1" s="15" t="s">
        <v>23</v>
      </c>
      <c r="B1" s="14" t="s">
        <v>214</v>
      </c>
      <c r="C1" s="14" t="s">
        <v>221</v>
      </c>
      <c r="D1" s="15" t="s">
        <v>212</v>
      </c>
      <c r="E1" s="14" t="s">
        <v>41</v>
      </c>
      <c r="F1" s="15" t="s">
        <v>6</v>
      </c>
      <c r="G1" s="14" t="s">
        <v>48</v>
      </c>
      <c r="H1" s="15" t="s">
        <v>65</v>
      </c>
    </row>
    <row r="2" spans="1:8" x14ac:dyDescent="0.25">
      <c r="A2" s="9" t="s">
        <v>511</v>
      </c>
      <c r="B2" s="9" t="s">
        <v>511</v>
      </c>
      <c r="C2" t="s">
        <v>213</v>
      </c>
      <c r="D2" t="s">
        <v>216</v>
      </c>
      <c r="E2" s="19" t="str">
        <f ca="1">TEXT(NOW(), "yyyy-mm-dd - hh:mm:ss AM/PM")</f>
        <v>2026-09-03 - 12:16:13 PM</v>
      </c>
      <c r="F2" s="7" t="s">
        <v>45</v>
      </c>
      <c r="G2" s="15" t="s">
        <v>49</v>
      </c>
      <c r="H2" s="7" t="s">
        <v>511</v>
      </c>
    </row>
  </sheetData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F8" sqref="F8"/>
    </sheetView>
  </sheetViews>
  <sheetFormatPr defaultRowHeight="15" x14ac:dyDescent="0.25"/>
  <cols>
    <col min="2" max="2" width="26.85546875" bestFit="1" customWidth="1"/>
    <col min="3" max="3" width="10.5703125" bestFit="1" customWidth="1"/>
  </cols>
  <sheetData>
    <row r="1" spans="1:3" x14ac:dyDescent="0.25">
      <c r="A1" s="15" t="s">
        <v>6</v>
      </c>
      <c r="B1" s="14" t="s">
        <v>127</v>
      </c>
      <c r="C1" s="14" t="s">
        <v>128</v>
      </c>
    </row>
    <row r="2" spans="1:3" x14ac:dyDescent="0.25">
      <c r="A2" s="7" t="s">
        <v>45</v>
      </c>
      <c r="B2" s="14" t="s">
        <v>222</v>
      </c>
      <c r="C2" s="14" t="s">
        <v>129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zoomScaleNormal="100" workbookViewId="0">
      <selection activeCell="F2" sqref="F2"/>
    </sheetView>
  </sheetViews>
  <sheetFormatPr defaultRowHeight="15" x14ac:dyDescent="0.25"/>
  <cols>
    <col min="1" max="1" width="10.7109375" bestFit="1" customWidth="1"/>
    <col min="2" max="2" width="13.140625" bestFit="1" customWidth="1"/>
    <col min="3" max="3" width="21.42578125" bestFit="1" customWidth="1"/>
    <col min="5" max="5" width="10.28515625" bestFit="1" customWidth="1"/>
    <col min="6" max="6" width="32.7109375" bestFit="1" customWidth="1"/>
    <col min="7" max="7" width="11.85546875" bestFit="1" customWidth="1"/>
  </cols>
  <sheetData>
    <row r="1" spans="1:7" x14ac:dyDescent="0.25">
      <c r="A1" s="14" t="s">
        <v>22</v>
      </c>
      <c r="B1" s="14" t="s">
        <v>16</v>
      </c>
      <c r="C1" s="14" t="s">
        <v>23</v>
      </c>
      <c r="D1" s="15" t="s">
        <v>6</v>
      </c>
      <c r="E1" s="14" t="s">
        <v>48</v>
      </c>
      <c r="F1" s="15" t="s">
        <v>65</v>
      </c>
      <c r="G1" s="15" t="s">
        <v>224</v>
      </c>
    </row>
    <row r="2" spans="1:7" x14ac:dyDescent="0.25">
      <c r="A2" s="6" t="str">
        <f ca="1">TEXT(NOW(),"dd-mm-yyyy ")</f>
        <v xml:space="preserve">03-09-2026 </v>
      </c>
      <c r="B2" s="6" t="str">
        <f ca="1">TEXT(TODAY()+1,"dd-mm-yyyy")</f>
        <v>04-09-2026</v>
      </c>
      <c r="C2" s="15" t="s">
        <v>256</v>
      </c>
      <c r="D2" s="7" t="s">
        <v>45</v>
      </c>
      <c r="E2" s="15" t="s">
        <v>49</v>
      </c>
      <c r="F2" s="15" t="s">
        <v>254</v>
      </c>
      <c r="G2" s="15" t="s">
        <v>28</v>
      </c>
    </row>
  </sheetData>
  <pageMargins left="0.7" right="0.7" top="0.75" bottom="0.75" header="0.3" footer="0.3"/>
  <pageSetup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3" sqref="B3"/>
    </sheetView>
  </sheetViews>
  <sheetFormatPr defaultRowHeight="15" x14ac:dyDescent="0.25"/>
  <cols>
    <col min="2" max="2" width="25.140625" bestFit="1" customWidth="1"/>
  </cols>
  <sheetData>
    <row r="1" spans="1:3" x14ac:dyDescent="0.25">
      <c r="A1" s="15" t="s">
        <v>6</v>
      </c>
      <c r="B1" s="14" t="s">
        <v>127</v>
      </c>
      <c r="C1" s="14" t="s">
        <v>128</v>
      </c>
    </row>
    <row r="2" spans="1:3" x14ac:dyDescent="0.25">
      <c r="A2" s="7" t="s">
        <v>45</v>
      </c>
      <c r="B2" s="14" t="s">
        <v>195</v>
      </c>
      <c r="C2" s="14" t="s">
        <v>129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B2" sqref="B2"/>
    </sheetView>
  </sheetViews>
  <sheetFormatPr defaultRowHeight="15" x14ac:dyDescent="0.25"/>
  <cols>
    <col min="1" max="1" width="19.42578125" bestFit="1" customWidth="1"/>
    <col min="2" max="3" width="10.42578125" bestFit="1" customWidth="1"/>
    <col min="4" max="4" width="33.85546875" bestFit="1" customWidth="1"/>
    <col min="6" max="6" width="10.28515625" bestFit="1" customWidth="1"/>
  </cols>
  <sheetData>
    <row r="1" spans="1:6" x14ac:dyDescent="0.25">
      <c r="A1" s="20" t="s">
        <v>23</v>
      </c>
      <c r="B1" s="20" t="s">
        <v>24</v>
      </c>
      <c r="C1" s="20" t="s">
        <v>25</v>
      </c>
      <c r="D1" s="20" t="s">
        <v>4</v>
      </c>
      <c r="E1" s="15" t="s">
        <v>6</v>
      </c>
      <c r="F1" s="15" t="s">
        <v>48</v>
      </c>
    </row>
    <row r="2" spans="1:6" x14ac:dyDescent="0.25">
      <c r="A2" s="15" t="s">
        <v>257</v>
      </c>
      <c r="B2" t="str">
        <f ca="1">TEXT(NOW(),"YYYY-MM-DD")</f>
        <v>2026-09-03</v>
      </c>
      <c r="C2" t="str">
        <f ca="1">TEXT(NOW(),"YYYY-MM-DD")</f>
        <v>2026-09-03</v>
      </c>
      <c r="D2" s="15" t="s">
        <v>185</v>
      </c>
      <c r="E2" s="7" t="s">
        <v>45</v>
      </c>
      <c r="F2" s="15" t="s">
        <v>49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2" sqref="A1:C2"/>
    </sheetView>
  </sheetViews>
  <sheetFormatPr defaultRowHeight="15" x14ac:dyDescent="0.25"/>
  <cols>
    <col min="2" max="2" width="26.85546875" bestFit="1" customWidth="1"/>
    <col min="3" max="3" width="10.5703125" bestFit="1" customWidth="1"/>
  </cols>
  <sheetData>
    <row r="1" spans="1:3" x14ac:dyDescent="0.25">
      <c r="A1" s="15" t="s">
        <v>6</v>
      </c>
      <c r="B1" s="14" t="s">
        <v>127</v>
      </c>
      <c r="C1" s="14" t="s">
        <v>128</v>
      </c>
    </row>
    <row r="2" spans="1:3" x14ac:dyDescent="0.25">
      <c r="A2" s="7" t="s">
        <v>45</v>
      </c>
      <c r="B2" s="14" t="s">
        <v>176</v>
      </c>
      <c r="C2" s="14" t="s">
        <v>129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D1" sqref="D1"/>
    </sheetView>
  </sheetViews>
  <sheetFormatPr defaultRowHeight="15" x14ac:dyDescent="0.25"/>
  <cols>
    <col min="3" max="3" width="15.42578125" bestFit="1" customWidth="1"/>
    <col min="5" max="5" width="10.28515625" bestFit="1" customWidth="1"/>
  </cols>
  <sheetData>
    <row r="1" spans="1:5" x14ac:dyDescent="0.25">
      <c r="A1" s="15" t="s">
        <v>42</v>
      </c>
      <c r="B1" s="15" t="s">
        <v>27</v>
      </c>
      <c r="C1" s="15" t="s">
        <v>26</v>
      </c>
      <c r="D1" s="15" t="s">
        <v>6</v>
      </c>
      <c r="E1" s="15" t="s">
        <v>48</v>
      </c>
    </row>
    <row r="2" spans="1:5" x14ac:dyDescent="0.25">
      <c r="A2" s="7" t="s">
        <v>85</v>
      </c>
      <c r="B2" s="7" t="s">
        <v>10</v>
      </c>
      <c r="C2" s="15" t="s">
        <v>250</v>
      </c>
      <c r="D2" s="7" t="s">
        <v>45</v>
      </c>
      <c r="E2" s="15" t="s">
        <v>49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G3" sqref="G3"/>
    </sheetView>
  </sheetViews>
  <sheetFormatPr defaultRowHeight="15" x14ac:dyDescent="0.25"/>
  <cols>
    <col min="1" max="1" width="9.140625" style="14"/>
    <col min="2" max="2" width="43.5703125" style="14" bestFit="1" customWidth="1"/>
    <col min="3" max="3" width="10.28515625" style="14" bestFit="1" customWidth="1"/>
    <col min="4" max="4" width="13.5703125" style="14" bestFit="1" customWidth="1"/>
    <col min="5" max="5" width="13.5703125" style="14" customWidth="1"/>
    <col min="6" max="7" width="9.140625" style="14"/>
    <col min="8" max="8" width="11.85546875" style="14" bestFit="1" customWidth="1"/>
    <col min="9" max="9" width="19" style="14" bestFit="1" customWidth="1"/>
    <col min="10" max="10" width="9.140625" style="14"/>
    <col min="11" max="11" width="19.28515625" style="14" bestFit="1" customWidth="1"/>
    <col min="12" max="16384" width="9.140625" style="14"/>
  </cols>
  <sheetData>
    <row r="1" spans="1:11" x14ac:dyDescent="0.25">
      <c r="A1" s="9" t="s">
        <v>6</v>
      </c>
      <c r="B1" s="9" t="s">
        <v>133</v>
      </c>
      <c r="C1" s="9" t="s">
        <v>48</v>
      </c>
      <c r="D1" s="9" t="s">
        <v>99</v>
      </c>
      <c r="E1" s="9" t="s">
        <v>304</v>
      </c>
      <c r="F1" s="9" t="s">
        <v>100</v>
      </c>
      <c r="G1" s="9" t="s">
        <v>101</v>
      </c>
      <c r="H1" s="9" t="s">
        <v>102</v>
      </c>
      <c r="I1" s="15" t="s">
        <v>215</v>
      </c>
      <c r="J1" s="14" t="s">
        <v>128</v>
      </c>
      <c r="K1" s="2" t="s">
        <v>127</v>
      </c>
    </row>
    <row r="2" spans="1:11" x14ac:dyDescent="0.25">
      <c r="A2" s="9" t="s">
        <v>45</v>
      </c>
      <c r="B2" s="7" t="s">
        <v>295</v>
      </c>
      <c r="C2" s="9" t="s">
        <v>49</v>
      </c>
      <c r="D2" s="7" t="s">
        <v>311</v>
      </c>
      <c r="E2" s="7" t="s">
        <v>312</v>
      </c>
      <c r="F2" s="7" t="s">
        <v>328</v>
      </c>
      <c r="G2" s="7" t="s">
        <v>329</v>
      </c>
      <c r="H2" s="7" t="s">
        <v>330</v>
      </c>
      <c r="I2" s="15" t="s">
        <v>207</v>
      </c>
      <c r="J2" s="14" t="s">
        <v>129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2" sqref="D2"/>
    </sheetView>
  </sheetViews>
  <sheetFormatPr defaultRowHeight="15" x14ac:dyDescent="0.25"/>
  <cols>
    <col min="1" max="1" width="19.42578125" bestFit="1" customWidth="1"/>
    <col min="2" max="3" width="10.42578125" bestFit="1" customWidth="1"/>
    <col min="4" max="4" width="33.85546875" bestFit="1" customWidth="1"/>
    <col min="5" max="5" width="9.28515625" customWidth="1"/>
    <col min="6" max="6" width="10.28515625" bestFit="1" customWidth="1"/>
  </cols>
  <sheetData>
    <row r="1" spans="1:6" x14ac:dyDescent="0.25">
      <c r="A1" s="20" t="s">
        <v>23</v>
      </c>
      <c r="B1" s="20" t="s">
        <v>24</v>
      </c>
      <c r="C1" s="20" t="s">
        <v>25</v>
      </c>
      <c r="D1" s="20" t="s">
        <v>4</v>
      </c>
      <c r="E1" s="15" t="s">
        <v>6</v>
      </c>
      <c r="F1" s="15" t="s">
        <v>48</v>
      </c>
    </row>
    <row r="2" spans="1:6" x14ac:dyDescent="0.25">
      <c r="A2" s="15" t="s">
        <v>257</v>
      </c>
      <c r="B2" t="str">
        <f ca="1">TEXT(NOW(),"YYYY-MM-DD")</f>
        <v>2026-09-03</v>
      </c>
      <c r="C2" t="str">
        <f ca="1">TEXT(NOW(),"YYYY-MM-DD")</f>
        <v>2026-09-03</v>
      </c>
      <c r="D2" s="15" t="s">
        <v>187</v>
      </c>
      <c r="E2" s="7" t="s">
        <v>45</v>
      </c>
      <c r="F2" s="15" t="s">
        <v>49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L7" sqref="L7"/>
    </sheetView>
  </sheetViews>
  <sheetFormatPr defaultRowHeight="15" x14ac:dyDescent="0.25"/>
  <cols>
    <col min="1" max="1" width="15.42578125" bestFit="1" customWidth="1"/>
    <col min="3" max="3" width="10.28515625" bestFit="1" customWidth="1"/>
  </cols>
  <sheetData>
    <row r="1" spans="1:3" x14ac:dyDescent="0.25">
      <c r="A1" t="s">
        <v>65</v>
      </c>
      <c r="B1" s="15" t="s">
        <v>6</v>
      </c>
      <c r="C1" s="15" t="s">
        <v>48</v>
      </c>
    </row>
    <row r="2" spans="1:3" x14ac:dyDescent="0.25">
      <c r="A2" t="s">
        <v>251</v>
      </c>
      <c r="B2" s="7" t="s">
        <v>45</v>
      </c>
      <c r="C2" s="15" t="s">
        <v>49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opLeftCell="C1" workbookViewId="0">
      <selection activeCell="H3" sqref="H3"/>
    </sheetView>
  </sheetViews>
  <sheetFormatPr defaultRowHeight="15" x14ac:dyDescent="0.25"/>
  <cols>
    <col min="1" max="1" width="9.140625" style="14"/>
    <col min="2" max="2" width="43.5703125" style="14" bestFit="1" customWidth="1"/>
    <col min="3" max="3" width="10.28515625" style="14" bestFit="1" customWidth="1"/>
    <col min="4" max="4" width="13.5703125" style="14" bestFit="1" customWidth="1"/>
    <col min="5" max="5" width="13.5703125" style="14" customWidth="1"/>
    <col min="6" max="6" width="8.7109375" style="14" bestFit="1" customWidth="1"/>
    <col min="7" max="7" width="8.140625" style="14" bestFit="1" customWidth="1"/>
    <col min="8" max="8" width="11.85546875" style="14" bestFit="1" customWidth="1"/>
    <col min="9" max="9" width="19" style="14" bestFit="1" customWidth="1"/>
    <col min="10" max="10" width="10.5703125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9" t="s">
        <v>6</v>
      </c>
      <c r="B1" s="9" t="s">
        <v>133</v>
      </c>
      <c r="C1" s="9" t="s">
        <v>48</v>
      </c>
      <c r="D1" s="9" t="s">
        <v>99</v>
      </c>
      <c r="E1" s="9" t="s">
        <v>304</v>
      </c>
      <c r="F1" s="9" t="s">
        <v>100</v>
      </c>
      <c r="G1" s="9" t="s">
        <v>101</v>
      </c>
      <c r="H1" s="9" t="s">
        <v>102</v>
      </c>
      <c r="I1" s="15" t="s">
        <v>215</v>
      </c>
      <c r="J1" s="14" t="s">
        <v>128</v>
      </c>
      <c r="K1" s="2" t="s">
        <v>127</v>
      </c>
    </row>
    <row r="2" spans="1:11" x14ac:dyDescent="0.25">
      <c r="A2" s="9" t="s">
        <v>45</v>
      </c>
      <c r="B2" s="7" t="s">
        <v>296</v>
      </c>
      <c r="C2" s="9" t="s">
        <v>49</v>
      </c>
      <c r="D2" s="7" t="s">
        <v>323</v>
      </c>
      <c r="E2" s="7" t="s">
        <v>310</v>
      </c>
      <c r="F2" s="7" t="s">
        <v>327</v>
      </c>
      <c r="G2" s="7" t="s">
        <v>325</v>
      </c>
      <c r="H2" s="7" t="s">
        <v>326</v>
      </c>
      <c r="I2" s="15" t="s">
        <v>207</v>
      </c>
      <c r="J2" s="14" t="s">
        <v>129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A1:C2"/>
    </sheetView>
  </sheetViews>
  <sheetFormatPr defaultRowHeight="15" x14ac:dyDescent="0.25"/>
  <cols>
    <col min="2" max="2" width="25.140625" bestFit="1" customWidth="1"/>
    <col min="3" max="3" width="10.5703125" bestFit="1" customWidth="1"/>
  </cols>
  <sheetData>
    <row r="1" spans="1:3" x14ac:dyDescent="0.25">
      <c r="A1" s="15" t="s">
        <v>6</v>
      </c>
      <c r="B1" s="14" t="s">
        <v>127</v>
      </c>
      <c r="C1" s="14" t="s">
        <v>128</v>
      </c>
    </row>
    <row r="2" spans="1:3" x14ac:dyDescent="0.25">
      <c r="A2" s="7" t="s">
        <v>45</v>
      </c>
      <c r="B2" s="14" t="s">
        <v>176</v>
      </c>
      <c r="C2" s="14" t="s">
        <v>129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sqref="A1:H2"/>
    </sheetView>
  </sheetViews>
  <sheetFormatPr defaultRowHeight="15" x14ac:dyDescent="0.25"/>
  <cols>
    <col min="1" max="1" width="3.28515625" bestFit="1" customWidth="1"/>
    <col min="2" max="2" width="23.7109375" bestFit="1" customWidth="1"/>
    <col min="3" max="3" width="10.28515625" bestFit="1" customWidth="1"/>
    <col min="4" max="4" width="10.5703125" bestFit="1" customWidth="1"/>
    <col min="5" max="5" width="19.28515625" bestFit="1" customWidth="1"/>
    <col min="6" max="7" width="12.42578125" bestFit="1" customWidth="1"/>
    <col min="8" max="8" width="8.85546875" bestFit="1" customWidth="1"/>
    <col min="9" max="9" width="6.140625" bestFit="1" customWidth="1"/>
  </cols>
  <sheetData>
    <row r="1" spans="1:8" x14ac:dyDescent="0.25">
      <c r="A1" s="2" t="s">
        <v>6</v>
      </c>
      <c r="B1" s="2" t="s">
        <v>133</v>
      </c>
      <c r="C1" s="2" t="s">
        <v>48</v>
      </c>
      <c r="D1" s="2" t="s">
        <v>128</v>
      </c>
      <c r="E1" s="2" t="s">
        <v>72</v>
      </c>
      <c r="F1" t="s">
        <v>73</v>
      </c>
      <c r="G1" t="s">
        <v>261</v>
      </c>
      <c r="H1" t="s">
        <v>262</v>
      </c>
    </row>
    <row r="2" spans="1:8" x14ac:dyDescent="0.25">
      <c r="A2" s="9" t="s">
        <v>45</v>
      </c>
      <c r="B2" s="13" t="s">
        <v>260</v>
      </c>
      <c r="C2" s="15" t="s">
        <v>49</v>
      </c>
      <c r="D2" s="14" t="s">
        <v>129</v>
      </c>
      <c r="E2" s="15" t="s">
        <v>74</v>
      </c>
      <c r="F2" t="str">
        <f ca="1">TEXT(NOW(),"YYYY-MM-DD")</f>
        <v>2026-09-03</v>
      </c>
      <c r="G2" t="s">
        <v>71</v>
      </c>
      <c r="H2" t="s">
        <v>71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3" sqref="E3"/>
    </sheetView>
  </sheetViews>
  <sheetFormatPr defaultRowHeight="15" x14ac:dyDescent="0.25"/>
  <cols>
    <col min="1" max="1" width="3.28515625" bestFit="1" customWidth="1"/>
    <col min="2" max="2" width="10.28515625" bestFit="1" customWidth="1"/>
    <col min="3" max="3" width="10.5703125" bestFit="1" customWidth="1"/>
    <col min="4" max="4" width="9" bestFit="1" customWidth="1"/>
    <col min="5" max="5" width="24.28515625" bestFit="1" customWidth="1"/>
    <col min="6" max="6" width="6.28515625" bestFit="1" customWidth="1"/>
    <col min="7" max="7" width="19" bestFit="1" customWidth="1"/>
    <col min="8" max="8" width="19.28515625" bestFit="1" customWidth="1"/>
  </cols>
  <sheetData>
    <row r="1" spans="1:6" x14ac:dyDescent="0.25">
      <c r="A1" s="2" t="s">
        <v>6</v>
      </c>
      <c r="B1" s="2" t="s">
        <v>48</v>
      </c>
      <c r="C1" s="2" t="s">
        <v>128</v>
      </c>
      <c r="D1" s="2" t="s">
        <v>65</v>
      </c>
      <c r="E1" s="2" t="s">
        <v>224</v>
      </c>
      <c r="F1" s="2" t="s">
        <v>228</v>
      </c>
    </row>
    <row r="2" spans="1:6" x14ac:dyDescent="0.25">
      <c r="A2" s="7" t="s">
        <v>45</v>
      </c>
      <c r="B2" s="15" t="s">
        <v>49</v>
      </c>
      <c r="C2" s="15" t="s">
        <v>129</v>
      </c>
      <c r="D2">
        <v>20252551</v>
      </c>
      <c r="E2" t="s">
        <v>478</v>
      </c>
      <c r="F2" t="s">
        <v>56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zoomScale="115" zoomScaleNormal="115" workbookViewId="0">
      <selection activeCell="F3" sqref="F3"/>
    </sheetView>
  </sheetViews>
  <sheetFormatPr defaultRowHeight="15" x14ac:dyDescent="0.25"/>
  <cols>
    <col min="1" max="1" width="3.28515625" bestFit="1" customWidth="1"/>
    <col min="2" max="2" width="30.7109375" bestFit="1" customWidth="1"/>
    <col min="3" max="3" width="10.28515625" bestFit="1" customWidth="1"/>
    <col min="4" max="4" width="10.5703125" bestFit="1" customWidth="1"/>
    <col min="5" max="8" width="10.5703125" style="14" customWidth="1"/>
    <col min="9" max="10" width="19" bestFit="1" customWidth="1"/>
    <col min="11" max="11" width="19.28515625" bestFit="1" customWidth="1"/>
  </cols>
  <sheetData>
    <row r="1" spans="1:9" x14ac:dyDescent="0.25">
      <c r="A1" s="2" t="s">
        <v>6</v>
      </c>
      <c r="B1" s="2" t="s">
        <v>133</v>
      </c>
      <c r="C1" s="2" t="s">
        <v>48</v>
      </c>
      <c r="D1" s="2" t="s">
        <v>128</v>
      </c>
      <c r="E1" s="2" t="s">
        <v>264</v>
      </c>
      <c r="F1" s="2" t="s">
        <v>265</v>
      </c>
      <c r="G1" s="2" t="s">
        <v>508</v>
      </c>
      <c r="H1" s="2" t="s">
        <v>509</v>
      </c>
      <c r="I1" s="15" t="s">
        <v>215</v>
      </c>
    </row>
    <row r="2" spans="1:9" x14ac:dyDescent="0.25">
      <c r="A2" s="7" t="s">
        <v>45</v>
      </c>
      <c r="B2" s="7" t="s">
        <v>263</v>
      </c>
      <c r="C2" s="15" t="s">
        <v>49</v>
      </c>
      <c r="D2" s="15" t="s">
        <v>129</v>
      </c>
      <c r="E2" s="7" t="s">
        <v>510</v>
      </c>
      <c r="F2" s="7" t="s">
        <v>10</v>
      </c>
      <c r="G2" s="7" t="s">
        <v>10</v>
      </c>
      <c r="H2" s="7" t="s">
        <v>10</v>
      </c>
      <c r="I2" s="15" t="s">
        <v>207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1" sqref="A1:H2"/>
    </sheetView>
  </sheetViews>
  <sheetFormatPr defaultRowHeight="15" x14ac:dyDescent="0.25"/>
  <cols>
    <col min="1" max="1" width="3.28515625" style="14" bestFit="1" customWidth="1"/>
    <col min="2" max="2" width="23.7109375" style="14" bestFit="1" customWidth="1"/>
    <col min="3" max="3" width="10.28515625" style="14" bestFit="1" customWidth="1"/>
    <col min="4" max="4" width="10.5703125" style="14" bestFit="1" customWidth="1"/>
    <col min="5" max="5" width="19.28515625" style="14" bestFit="1" customWidth="1"/>
    <col min="6" max="7" width="12.42578125" style="14" bestFit="1" customWidth="1"/>
    <col min="8" max="8" width="8.85546875" style="14" bestFit="1" customWidth="1"/>
    <col min="9" max="9" width="6.140625" style="14" bestFit="1" customWidth="1"/>
    <col min="10" max="16384" width="9.140625" style="14"/>
  </cols>
  <sheetData>
    <row r="1" spans="1:8" x14ac:dyDescent="0.25">
      <c r="A1" s="2" t="s">
        <v>6</v>
      </c>
      <c r="B1" s="2" t="s">
        <v>133</v>
      </c>
      <c r="C1" s="2" t="s">
        <v>48</v>
      </c>
      <c r="D1" s="2" t="s">
        <v>128</v>
      </c>
      <c r="E1" s="2" t="s">
        <v>72</v>
      </c>
      <c r="F1" s="14" t="s">
        <v>73</v>
      </c>
      <c r="G1" s="14" t="s">
        <v>261</v>
      </c>
      <c r="H1" s="14" t="s">
        <v>262</v>
      </c>
    </row>
    <row r="2" spans="1:8" x14ac:dyDescent="0.25">
      <c r="A2" s="9" t="s">
        <v>45</v>
      </c>
      <c r="B2" s="13" t="s">
        <v>260</v>
      </c>
      <c r="C2" s="15" t="s">
        <v>49</v>
      </c>
      <c r="D2" s="14" t="s">
        <v>129</v>
      </c>
      <c r="E2" s="15" t="s">
        <v>74</v>
      </c>
      <c r="F2" s="14" t="str">
        <f ca="1">TEXT(NOW(),"YYYY-MM-DD")</f>
        <v>2026-09-03</v>
      </c>
      <c r="G2" s="14" t="s">
        <v>71</v>
      </c>
      <c r="H2" s="14" t="s">
        <v>71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3" sqref="E3"/>
    </sheetView>
  </sheetViews>
  <sheetFormatPr defaultRowHeight="15" x14ac:dyDescent="0.25"/>
  <cols>
    <col min="1" max="1" width="3.28515625" style="14" bestFit="1" customWidth="1"/>
    <col min="2" max="2" width="10.28515625" style="14" bestFit="1" customWidth="1"/>
    <col min="3" max="3" width="10.5703125" style="14" bestFit="1" customWidth="1"/>
    <col min="4" max="4" width="14.42578125" style="14" customWidth="1"/>
    <col min="5" max="5" width="24.7109375" style="14" bestFit="1" customWidth="1"/>
    <col min="6" max="6" width="12.5703125" style="14" customWidth="1"/>
    <col min="7" max="7" width="19" style="14" bestFit="1" customWidth="1"/>
    <col min="8" max="8" width="19.28515625" style="14" bestFit="1" customWidth="1"/>
    <col min="9" max="16384" width="9.140625" style="14"/>
  </cols>
  <sheetData>
    <row r="1" spans="1:6" x14ac:dyDescent="0.25">
      <c r="A1" s="2" t="s">
        <v>6</v>
      </c>
      <c r="B1" s="2" t="s">
        <v>48</v>
      </c>
      <c r="C1" s="2" t="s">
        <v>128</v>
      </c>
      <c r="D1" s="2" t="s">
        <v>65</v>
      </c>
      <c r="E1" s="2" t="s">
        <v>224</v>
      </c>
      <c r="F1" s="2" t="s">
        <v>228</v>
      </c>
    </row>
    <row r="2" spans="1:6" x14ac:dyDescent="0.25">
      <c r="A2" s="7" t="s">
        <v>45</v>
      </c>
      <c r="B2" s="15" t="s">
        <v>49</v>
      </c>
      <c r="C2" s="15" t="s">
        <v>129</v>
      </c>
      <c r="D2" s="14">
        <v>20252551</v>
      </c>
      <c r="E2" s="14" t="s">
        <v>478</v>
      </c>
      <c r="F2" s="14" t="s">
        <v>56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F3" sqref="F3"/>
    </sheetView>
  </sheetViews>
  <sheetFormatPr defaultRowHeight="15" x14ac:dyDescent="0.25"/>
  <cols>
    <col min="1" max="1" width="3.28515625" style="14" bestFit="1" customWidth="1"/>
    <col min="2" max="2" width="30.7109375" style="14" bestFit="1" customWidth="1"/>
    <col min="3" max="3" width="10.28515625" style="14" bestFit="1" customWidth="1"/>
    <col min="4" max="4" width="10.5703125" style="14" bestFit="1" customWidth="1"/>
    <col min="5" max="8" width="10.5703125" style="14" customWidth="1"/>
    <col min="9" max="9" width="19" style="14" bestFit="1" customWidth="1"/>
    <col min="10" max="10" width="19.28515625" style="14" bestFit="1" customWidth="1"/>
    <col min="11" max="11" width="19" style="14" bestFit="1" customWidth="1"/>
    <col min="12" max="12" width="19.28515625" style="14" bestFit="1" customWidth="1"/>
    <col min="13" max="16384" width="9.140625" style="14"/>
  </cols>
  <sheetData>
    <row r="1" spans="1:10" x14ac:dyDescent="0.25">
      <c r="A1" s="2" t="s">
        <v>6</v>
      </c>
      <c r="B1" s="2" t="s">
        <v>133</v>
      </c>
      <c r="C1" s="2" t="s">
        <v>48</v>
      </c>
      <c r="D1" s="2" t="s">
        <v>128</v>
      </c>
      <c r="E1" s="2" t="s">
        <v>264</v>
      </c>
      <c r="F1" s="2" t="s">
        <v>265</v>
      </c>
      <c r="G1" s="2" t="s">
        <v>508</v>
      </c>
      <c r="H1" s="2" t="s">
        <v>509</v>
      </c>
      <c r="I1" s="15" t="s">
        <v>215</v>
      </c>
      <c r="J1" s="2" t="s">
        <v>127</v>
      </c>
    </row>
    <row r="2" spans="1:10" x14ac:dyDescent="0.25">
      <c r="A2" s="7" t="s">
        <v>45</v>
      </c>
      <c r="B2" s="7" t="s">
        <v>263</v>
      </c>
      <c r="C2" s="15" t="s">
        <v>49</v>
      </c>
      <c r="D2" s="15" t="s">
        <v>129</v>
      </c>
      <c r="E2" s="7" t="s">
        <v>510</v>
      </c>
      <c r="F2" s="7" t="s">
        <v>644</v>
      </c>
      <c r="G2" s="7" t="s">
        <v>10</v>
      </c>
      <c r="H2" s="7" t="s">
        <v>43</v>
      </c>
      <c r="I2" s="15" t="s">
        <v>207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2" sqref="A1:XFD1048576"/>
    </sheetView>
  </sheetViews>
  <sheetFormatPr defaultRowHeight="15" x14ac:dyDescent="0.25"/>
  <sheetData>
    <row r="1" spans="1:8" x14ac:dyDescent="0.25">
      <c r="A1" s="2" t="s">
        <v>6</v>
      </c>
      <c r="B1" s="2" t="s">
        <v>133</v>
      </c>
      <c r="C1" s="2" t="s">
        <v>48</v>
      </c>
      <c r="D1" s="2" t="s">
        <v>128</v>
      </c>
      <c r="E1" s="2" t="s">
        <v>72</v>
      </c>
      <c r="F1" s="14" t="s">
        <v>73</v>
      </c>
      <c r="G1" s="14" t="s">
        <v>261</v>
      </c>
      <c r="H1" s="14" t="s">
        <v>262</v>
      </c>
    </row>
    <row r="2" spans="1:8" x14ac:dyDescent="0.25">
      <c r="A2" s="9" t="s">
        <v>45</v>
      </c>
      <c r="B2" s="13" t="s">
        <v>260</v>
      </c>
      <c r="C2" s="15" t="s">
        <v>49</v>
      </c>
      <c r="D2" s="14" t="s">
        <v>129</v>
      </c>
      <c r="E2" s="15" t="s">
        <v>74</v>
      </c>
      <c r="F2" s="14" t="str">
        <f ca="1">TEXT(NOW(),"YYYY-MM-DD")</f>
        <v>2026-09-03</v>
      </c>
      <c r="G2" s="14" t="s">
        <v>71</v>
      </c>
      <c r="H2" s="14" t="s">
        <v>71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3" sqref="E3"/>
    </sheetView>
  </sheetViews>
  <sheetFormatPr defaultRowHeight="15" x14ac:dyDescent="0.25"/>
  <cols>
    <col min="1" max="1" width="3.28515625" bestFit="1" customWidth="1"/>
    <col min="2" max="2" width="10.28515625" bestFit="1" customWidth="1"/>
    <col min="3" max="3" width="10.5703125" bestFit="1" customWidth="1"/>
    <col min="4" max="4" width="9" bestFit="1" customWidth="1"/>
    <col min="5" max="5" width="11.5703125" bestFit="1" customWidth="1"/>
    <col min="6" max="6" width="6.5703125" bestFit="1" customWidth="1"/>
  </cols>
  <sheetData>
    <row r="1" spans="1:6" x14ac:dyDescent="0.25">
      <c r="A1" s="2" t="s">
        <v>6</v>
      </c>
      <c r="B1" s="2" t="s">
        <v>48</v>
      </c>
      <c r="C1" s="2" t="s">
        <v>128</v>
      </c>
      <c r="D1" s="2" t="s">
        <v>65</v>
      </c>
      <c r="E1" s="2" t="s">
        <v>224</v>
      </c>
      <c r="F1" s="2" t="s">
        <v>228</v>
      </c>
    </row>
    <row r="2" spans="1:6" x14ac:dyDescent="0.25">
      <c r="A2" s="7" t="s">
        <v>45</v>
      </c>
      <c r="B2" s="15" t="s">
        <v>49</v>
      </c>
      <c r="C2" s="15" t="s">
        <v>129</v>
      </c>
      <c r="D2" s="14">
        <v>20252551</v>
      </c>
      <c r="E2" s="14" t="s">
        <v>478</v>
      </c>
      <c r="F2" s="14" t="s">
        <v>56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F3" sqref="F3"/>
    </sheetView>
  </sheetViews>
  <sheetFormatPr defaultRowHeight="15" x14ac:dyDescent="0.25"/>
  <sheetData>
    <row r="1" spans="1:10" x14ac:dyDescent="0.25">
      <c r="A1" s="2" t="s">
        <v>6</v>
      </c>
      <c r="B1" s="2" t="s">
        <v>133</v>
      </c>
      <c r="C1" s="2" t="s">
        <v>48</v>
      </c>
      <c r="D1" s="2" t="s">
        <v>128</v>
      </c>
      <c r="E1" s="2" t="s">
        <v>264</v>
      </c>
      <c r="F1" s="2" t="s">
        <v>265</v>
      </c>
      <c r="G1" s="2" t="s">
        <v>508</v>
      </c>
      <c r="H1" s="2" t="s">
        <v>509</v>
      </c>
      <c r="I1" s="15" t="s">
        <v>215</v>
      </c>
      <c r="J1" s="2" t="s">
        <v>127</v>
      </c>
    </row>
    <row r="2" spans="1:10" x14ac:dyDescent="0.25">
      <c r="A2" s="7" t="s">
        <v>45</v>
      </c>
      <c r="B2" s="7" t="s">
        <v>263</v>
      </c>
      <c r="C2" s="15" t="s">
        <v>49</v>
      </c>
      <c r="D2" s="15" t="s">
        <v>129</v>
      </c>
      <c r="E2" s="7" t="s">
        <v>574</v>
      </c>
      <c r="F2" s="7" t="s">
        <v>644</v>
      </c>
      <c r="G2" s="7" t="s">
        <v>10</v>
      </c>
      <c r="H2" s="7" t="s">
        <v>43</v>
      </c>
      <c r="I2" s="15" t="s">
        <v>207</v>
      </c>
      <c r="J2" s="14"/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B2" sqref="B2"/>
    </sheetView>
  </sheetViews>
  <sheetFormatPr defaultRowHeight="15" x14ac:dyDescent="0.25"/>
  <cols>
    <col min="1" max="16384" width="9.140625" style="14"/>
  </cols>
  <sheetData>
    <row r="1" spans="1:8" x14ac:dyDescent="0.25">
      <c r="A1" s="2" t="s">
        <v>6</v>
      </c>
      <c r="B1" s="2" t="s">
        <v>133</v>
      </c>
      <c r="C1" s="2" t="s">
        <v>48</v>
      </c>
      <c r="D1" s="2" t="s">
        <v>128</v>
      </c>
      <c r="E1" s="2" t="s">
        <v>72</v>
      </c>
      <c r="F1" s="14" t="s">
        <v>73</v>
      </c>
      <c r="G1" s="14" t="s">
        <v>261</v>
      </c>
      <c r="H1" s="14" t="s">
        <v>262</v>
      </c>
    </row>
    <row r="2" spans="1:8" x14ac:dyDescent="0.25">
      <c r="A2" s="9" t="s">
        <v>45</v>
      </c>
      <c r="B2" s="7" t="s">
        <v>512</v>
      </c>
      <c r="C2" s="15" t="s">
        <v>49</v>
      </c>
      <c r="D2" s="14" t="s">
        <v>129</v>
      </c>
      <c r="E2" s="15" t="s">
        <v>74</v>
      </c>
      <c r="F2" s="14" t="str">
        <f ca="1">TEXT(NOW(),"YYYY-MM-DD")</f>
        <v>2026-09-03</v>
      </c>
      <c r="G2" s="14" t="s">
        <v>71</v>
      </c>
      <c r="H2" s="14" t="s">
        <v>71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3" sqref="F3"/>
    </sheetView>
  </sheetViews>
  <sheetFormatPr defaultRowHeight="15" x14ac:dyDescent="0.25"/>
  <cols>
    <col min="1" max="16384" width="9.140625" style="14"/>
  </cols>
  <sheetData>
    <row r="1" spans="1:6" x14ac:dyDescent="0.25">
      <c r="A1" s="2" t="s">
        <v>6</v>
      </c>
      <c r="B1" s="2" t="s">
        <v>48</v>
      </c>
      <c r="C1" s="2" t="s">
        <v>128</v>
      </c>
      <c r="D1" s="2" t="s">
        <v>65</v>
      </c>
      <c r="E1" s="2" t="s">
        <v>224</v>
      </c>
      <c r="F1" s="2" t="s">
        <v>228</v>
      </c>
    </row>
    <row r="2" spans="1:6" x14ac:dyDescent="0.25">
      <c r="A2" s="7" t="s">
        <v>45</v>
      </c>
      <c r="B2" s="15" t="s">
        <v>49</v>
      </c>
      <c r="C2" s="15" t="s">
        <v>129</v>
      </c>
      <c r="D2" s="14">
        <v>20252551</v>
      </c>
      <c r="E2" s="14" t="s">
        <v>478</v>
      </c>
      <c r="F2" s="9" t="s">
        <v>45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H1" sqref="H1"/>
    </sheetView>
  </sheetViews>
  <sheetFormatPr defaultRowHeight="15" x14ac:dyDescent="0.25"/>
  <cols>
    <col min="1" max="1" width="3.28515625" style="14" bestFit="1" customWidth="1"/>
    <col min="2" max="2" width="30.7109375" style="14" bestFit="1" customWidth="1"/>
    <col min="3" max="3" width="10.28515625" style="14" bestFit="1" customWidth="1"/>
    <col min="4" max="4" width="10.5703125" style="14" bestFit="1" customWidth="1"/>
    <col min="5" max="5" width="11.140625" style="14" bestFit="1" customWidth="1"/>
    <col min="6" max="6" width="10" style="14" bestFit="1" customWidth="1"/>
    <col min="7" max="7" width="11.28515625" style="14" bestFit="1" customWidth="1"/>
    <col min="8" max="8" width="10.140625" style="14" bestFit="1" customWidth="1"/>
    <col min="9" max="9" width="19" style="14" bestFit="1" customWidth="1"/>
    <col min="10" max="10" width="19.28515625" style="14" bestFit="1" customWidth="1"/>
    <col min="11" max="16384" width="9.140625" style="14"/>
  </cols>
  <sheetData>
    <row r="1" spans="1:10" x14ac:dyDescent="0.25">
      <c r="A1" s="2" t="s">
        <v>6</v>
      </c>
      <c r="B1" s="2" t="s">
        <v>133</v>
      </c>
      <c r="C1" s="2" t="s">
        <v>48</v>
      </c>
      <c r="D1" s="2" t="s">
        <v>128</v>
      </c>
      <c r="E1" s="2" t="s">
        <v>270</v>
      </c>
      <c r="F1" s="2" t="s">
        <v>271</v>
      </c>
      <c r="G1" s="2" t="s">
        <v>513</v>
      </c>
      <c r="H1" s="2" t="s">
        <v>514</v>
      </c>
      <c r="I1" s="15" t="s">
        <v>215</v>
      </c>
      <c r="J1" s="2" t="s">
        <v>127</v>
      </c>
    </row>
    <row r="2" spans="1:10" x14ac:dyDescent="0.25">
      <c r="A2" s="7" t="s">
        <v>45</v>
      </c>
      <c r="B2" s="7" t="s">
        <v>512</v>
      </c>
      <c r="C2" s="15" t="s">
        <v>49</v>
      </c>
      <c r="D2" s="15" t="s">
        <v>129</v>
      </c>
      <c r="E2" s="7" t="s">
        <v>10</v>
      </c>
      <c r="F2" s="7" t="s">
        <v>10</v>
      </c>
      <c r="G2" s="7" t="s">
        <v>10</v>
      </c>
      <c r="H2" s="7" t="s">
        <v>10</v>
      </c>
      <c r="I2" s="15" t="s">
        <v>207</v>
      </c>
    </row>
  </sheetData>
  <pageMargins left="0.7" right="0.7" top="0.75" bottom="0.75" header="0.3" footer="0.3"/>
  <pageSetup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E11" sqref="E11"/>
    </sheetView>
  </sheetViews>
  <sheetFormatPr defaultRowHeight="15" x14ac:dyDescent="0.25"/>
  <cols>
    <col min="2" max="2" width="25.140625" bestFit="1" customWidth="1"/>
  </cols>
  <sheetData>
    <row r="1" spans="1:3" x14ac:dyDescent="0.25">
      <c r="A1" s="15" t="s">
        <v>6</v>
      </c>
      <c r="B1" s="14" t="s">
        <v>127</v>
      </c>
      <c r="C1" s="14" t="s">
        <v>128</v>
      </c>
    </row>
    <row r="2" spans="1:3" x14ac:dyDescent="0.25">
      <c r="A2" s="7" t="s">
        <v>45</v>
      </c>
      <c r="B2" s="14"/>
      <c r="C2" s="14" t="s">
        <v>129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B2" sqref="B2"/>
    </sheetView>
  </sheetViews>
  <sheetFormatPr defaultRowHeight="15" x14ac:dyDescent="0.25"/>
  <cols>
    <col min="1" max="1" width="23.28515625" style="14" bestFit="1" customWidth="1"/>
    <col min="2" max="2" width="29.28515625" style="14" bestFit="1" customWidth="1"/>
    <col min="3" max="3" width="11.5703125" style="14" bestFit="1" customWidth="1"/>
    <col min="4" max="4" width="3.28515625" style="14" bestFit="1" customWidth="1"/>
    <col min="5" max="5" width="36.5703125" style="14" bestFit="1" customWidth="1"/>
    <col min="6" max="6" width="16.28515625" style="14" bestFit="1" customWidth="1"/>
    <col min="7" max="7" width="19.28515625" style="14" bestFit="1" customWidth="1"/>
    <col min="8" max="8" width="10.5703125" style="14" bestFit="1" customWidth="1"/>
    <col min="9" max="9" width="10.28515625" style="14" bestFit="1" customWidth="1"/>
    <col min="10" max="10" width="5.28515625" style="14" bestFit="1" customWidth="1"/>
    <col min="11" max="11" width="23.28515625" style="14" bestFit="1" customWidth="1"/>
    <col min="12" max="16384" width="9.140625" style="14"/>
  </cols>
  <sheetData>
    <row r="1" spans="1:11" x14ac:dyDescent="0.25">
      <c r="A1" s="15" t="s">
        <v>274</v>
      </c>
      <c r="B1" s="15" t="s">
        <v>275</v>
      </c>
      <c r="C1" s="15" t="s">
        <v>5</v>
      </c>
      <c r="D1" s="15" t="s">
        <v>6</v>
      </c>
      <c r="E1" s="15" t="s">
        <v>133</v>
      </c>
      <c r="F1" s="15" t="s">
        <v>172</v>
      </c>
      <c r="G1" s="14" t="s">
        <v>127</v>
      </c>
      <c r="H1" s="14" t="s">
        <v>128</v>
      </c>
      <c r="I1" s="14" t="s">
        <v>48</v>
      </c>
      <c r="J1" s="14" t="s">
        <v>65</v>
      </c>
      <c r="K1" s="15" t="s">
        <v>276</v>
      </c>
    </row>
    <row r="2" spans="1:11" x14ac:dyDescent="0.25">
      <c r="A2" s="15" t="s">
        <v>277</v>
      </c>
      <c r="B2" s="15" t="s">
        <v>288</v>
      </c>
      <c r="C2" s="15" t="s">
        <v>266</v>
      </c>
      <c r="D2" s="7" t="s">
        <v>45</v>
      </c>
      <c r="E2" s="15" t="s">
        <v>278</v>
      </c>
      <c r="F2" s="7" t="s">
        <v>279</v>
      </c>
      <c r="G2" s="14" t="s">
        <v>131</v>
      </c>
      <c r="H2" s="14" t="s">
        <v>129</v>
      </c>
      <c r="I2" s="14" t="s">
        <v>49</v>
      </c>
      <c r="J2" s="14" t="s">
        <v>65</v>
      </c>
      <c r="K2" s="15" t="s">
        <v>277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D3" sqref="D3"/>
    </sheetView>
  </sheetViews>
  <sheetFormatPr defaultColWidth="20.7109375" defaultRowHeight="15" x14ac:dyDescent="0.25"/>
  <cols>
    <col min="1" max="1" width="11.42578125" style="14" customWidth="1"/>
    <col min="2" max="2" width="12.5703125" style="14" customWidth="1"/>
    <col min="3" max="3" width="7.85546875" style="14" customWidth="1"/>
    <col min="4" max="4" width="14.5703125" style="14" customWidth="1"/>
    <col min="5" max="6" width="7.140625" style="14" customWidth="1"/>
    <col min="7" max="7" width="8.5703125" style="14" customWidth="1"/>
    <col min="8" max="8" width="29.7109375" style="14" customWidth="1"/>
    <col min="9" max="9" width="17.7109375" style="14" customWidth="1"/>
    <col min="10" max="10" width="26.5703125" style="14" customWidth="1"/>
    <col min="11" max="11" width="13.28515625" style="14" customWidth="1"/>
    <col min="12" max="12" width="13" style="14" customWidth="1"/>
    <col min="13" max="16384" width="20.7109375" style="14"/>
  </cols>
  <sheetData>
    <row r="1" spans="1:12" x14ac:dyDescent="0.25">
      <c r="A1" s="15" t="s">
        <v>52</v>
      </c>
      <c r="B1" s="15" t="s">
        <v>53</v>
      </c>
      <c r="C1" s="15" t="s">
        <v>54</v>
      </c>
      <c r="D1" s="15" t="s">
        <v>26</v>
      </c>
      <c r="E1" s="15" t="s">
        <v>42</v>
      </c>
      <c r="F1" s="15" t="s">
        <v>505</v>
      </c>
      <c r="G1" s="15" t="s">
        <v>6</v>
      </c>
      <c r="H1" s="15" t="s">
        <v>133</v>
      </c>
      <c r="I1" s="15" t="s">
        <v>172</v>
      </c>
      <c r="J1" s="14" t="s">
        <v>127</v>
      </c>
      <c r="K1" s="14" t="s">
        <v>128</v>
      </c>
      <c r="L1" s="14" t="s">
        <v>48</v>
      </c>
    </row>
    <row r="2" spans="1:12" x14ac:dyDescent="0.25">
      <c r="A2" s="15">
        <v>20252551</v>
      </c>
      <c r="B2" s="7" t="s">
        <v>280</v>
      </c>
      <c r="C2" s="15" t="s">
        <v>57</v>
      </c>
      <c r="D2" s="15" t="s">
        <v>609</v>
      </c>
      <c r="E2" s="7" t="s">
        <v>58</v>
      </c>
      <c r="F2" s="7" t="s">
        <v>43</v>
      </c>
      <c r="G2" s="7" t="s">
        <v>81</v>
      </c>
      <c r="H2" s="15" t="s">
        <v>278</v>
      </c>
      <c r="I2" s="7" t="s">
        <v>279</v>
      </c>
      <c r="J2" s="14" t="s">
        <v>176</v>
      </c>
      <c r="K2" s="14" t="s">
        <v>129</v>
      </c>
      <c r="L2" s="14" t="s">
        <v>49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2" sqref="A1:C2"/>
    </sheetView>
  </sheetViews>
  <sheetFormatPr defaultRowHeight="15" x14ac:dyDescent="0.25"/>
  <cols>
    <col min="1" max="1" width="20.28515625" style="14" bestFit="1" customWidth="1"/>
    <col min="2" max="2" width="5.7109375" style="14" bestFit="1" customWidth="1"/>
    <col min="3" max="3" width="23.28515625" style="14" bestFit="1" customWidth="1"/>
    <col min="4" max="16384" width="9.140625" style="14"/>
  </cols>
  <sheetData>
    <row r="1" spans="1:3" x14ac:dyDescent="0.25">
      <c r="A1" s="14" t="s">
        <v>65</v>
      </c>
      <c r="B1" s="14" t="s">
        <v>6</v>
      </c>
      <c r="C1" s="14" t="s">
        <v>276</v>
      </c>
    </row>
    <row r="2" spans="1:3" x14ac:dyDescent="0.25">
      <c r="A2" s="14" t="s">
        <v>80</v>
      </c>
      <c r="B2" s="7" t="s">
        <v>81</v>
      </c>
      <c r="C2" s="15" t="s">
        <v>277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E3" sqref="E3"/>
    </sheetView>
  </sheetViews>
  <sheetFormatPr defaultRowHeight="15" x14ac:dyDescent="0.25"/>
  <cols>
    <col min="1" max="1" width="32.7109375" style="14" bestFit="1" customWidth="1"/>
    <col min="2" max="2" width="29.28515625" style="14" bestFit="1" customWidth="1"/>
    <col min="3" max="3" width="29.42578125" style="14" bestFit="1" customWidth="1"/>
    <col min="4" max="4" width="11.5703125" style="14" bestFit="1" customWidth="1"/>
    <col min="5" max="5" width="3.28515625" style="14" bestFit="1" customWidth="1"/>
    <col min="6" max="6" width="46.85546875" style="14" bestFit="1" customWidth="1"/>
    <col min="7" max="7" width="16.28515625" style="14" bestFit="1" customWidth="1"/>
    <col min="8" max="8" width="19.28515625" style="14" bestFit="1" customWidth="1"/>
    <col min="9" max="9" width="10.5703125" style="14" bestFit="1" customWidth="1"/>
    <col min="10" max="10" width="10.28515625" style="14" bestFit="1" customWidth="1"/>
    <col min="11" max="11" width="5.28515625" style="14" bestFit="1" customWidth="1"/>
    <col min="12" max="12" width="24.7109375" style="14" bestFit="1" customWidth="1"/>
    <col min="13" max="16384" width="9.140625" style="14"/>
  </cols>
  <sheetData>
    <row r="1" spans="1:12" x14ac:dyDescent="0.25">
      <c r="A1" s="15" t="s">
        <v>274</v>
      </c>
      <c r="B1" s="15" t="s">
        <v>275</v>
      </c>
      <c r="C1" s="15" t="s">
        <v>281</v>
      </c>
      <c r="D1" s="15" t="s">
        <v>5</v>
      </c>
      <c r="E1" s="15" t="s">
        <v>6</v>
      </c>
      <c r="F1" s="15" t="s">
        <v>133</v>
      </c>
      <c r="G1" s="15" t="s">
        <v>172</v>
      </c>
      <c r="H1" s="14" t="s">
        <v>127</v>
      </c>
      <c r="I1" s="14" t="s">
        <v>128</v>
      </c>
      <c r="J1" s="14" t="s">
        <v>48</v>
      </c>
      <c r="K1" s="14" t="s">
        <v>65</v>
      </c>
      <c r="L1" s="15" t="s">
        <v>276</v>
      </c>
    </row>
    <row r="2" spans="1:12" x14ac:dyDescent="0.25">
      <c r="A2" s="15" t="s">
        <v>282</v>
      </c>
      <c r="B2" s="15" t="s">
        <v>288</v>
      </c>
      <c r="C2" s="15" t="s">
        <v>293</v>
      </c>
      <c r="D2" s="15" t="s">
        <v>266</v>
      </c>
      <c r="E2" s="7" t="s">
        <v>45</v>
      </c>
      <c r="F2" s="15" t="s">
        <v>283</v>
      </c>
      <c r="G2" s="7" t="s">
        <v>279</v>
      </c>
      <c r="H2" s="14" t="s">
        <v>131</v>
      </c>
      <c r="I2" s="14" t="s">
        <v>129</v>
      </c>
      <c r="J2" s="14" t="s">
        <v>49</v>
      </c>
      <c r="K2" s="14" t="s">
        <v>65</v>
      </c>
      <c r="L2" s="15" t="s">
        <v>284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D2" sqref="D2"/>
    </sheetView>
  </sheetViews>
  <sheetFormatPr defaultColWidth="25.7109375" defaultRowHeight="15" x14ac:dyDescent="0.25"/>
  <cols>
    <col min="1" max="16384" width="25.7109375" style="14"/>
  </cols>
  <sheetData>
    <row r="1" spans="1:12" x14ac:dyDescent="0.25">
      <c r="A1" s="15" t="s">
        <v>52</v>
      </c>
      <c r="B1" s="15" t="s">
        <v>53</v>
      </c>
      <c r="C1" s="15" t="s">
        <v>54</v>
      </c>
      <c r="D1" s="15" t="s">
        <v>26</v>
      </c>
      <c r="E1" s="15" t="s">
        <v>42</v>
      </c>
      <c r="F1" s="15" t="s">
        <v>505</v>
      </c>
      <c r="G1" s="15" t="s">
        <v>6</v>
      </c>
      <c r="H1" s="15" t="s">
        <v>133</v>
      </c>
      <c r="I1" s="15" t="s">
        <v>172</v>
      </c>
      <c r="J1" s="14" t="s">
        <v>127</v>
      </c>
      <c r="K1" s="14" t="s">
        <v>128</v>
      </c>
      <c r="L1" s="14" t="s">
        <v>48</v>
      </c>
    </row>
    <row r="2" spans="1:12" x14ac:dyDescent="0.25">
      <c r="A2" s="15">
        <v>20252551</v>
      </c>
      <c r="B2" s="7" t="s">
        <v>280</v>
      </c>
      <c r="C2" s="15" t="s">
        <v>57</v>
      </c>
      <c r="D2" s="15" t="s">
        <v>609</v>
      </c>
      <c r="E2" s="15" t="s">
        <v>58</v>
      </c>
      <c r="F2" s="7" t="s">
        <v>43</v>
      </c>
      <c r="G2" s="7" t="s">
        <v>81</v>
      </c>
      <c r="H2" s="15" t="s">
        <v>283</v>
      </c>
      <c r="I2" s="7" t="s">
        <v>279</v>
      </c>
      <c r="J2" s="14" t="s">
        <v>176</v>
      </c>
      <c r="K2" s="14" t="s">
        <v>129</v>
      </c>
      <c r="L2" s="14" t="s">
        <v>49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3" sqref="B3"/>
    </sheetView>
  </sheetViews>
  <sheetFormatPr defaultRowHeight="15" x14ac:dyDescent="0.25"/>
  <cols>
    <col min="1" max="16384" width="9.140625" style="14"/>
  </cols>
  <sheetData>
    <row r="1" spans="1:3" x14ac:dyDescent="0.25">
      <c r="A1" s="14" t="s">
        <v>65</v>
      </c>
      <c r="B1" s="14" t="s">
        <v>6</v>
      </c>
      <c r="C1" s="14" t="s">
        <v>276</v>
      </c>
    </row>
    <row r="2" spans="1:3" x14ac:dyDescent="0.25">
      <c r="A2" s="14" t="s">
        <v>80</v>
      </c>
      <c r="B2" s="7" t="s">
        <v>81</v>
      </c>
      <c r="C2" s="14" t="s">
        <v>284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B9" sqref="B9"/>
    </sheetView>
  </sheetViews>
  <sheetFormatPr defaultRowHeight="15" x14ac:dyDescent="0.25"/>
  <cols>
    <col min="1" max="1" width="23.28515625" style="14" bestFit="1" customWidth="1"/>
    <col min="2" max="2" width="29.28515625" style="14" bestFit="1" customWidth="1"/>
    <col min="3" max="3" width="11.5703125" style="14" bestFit="1" customWidth="1"/>
    <col min="4" max="4" width="3.28515625" style="14" bestFit="1" customWidth="1"/>
    <col min="5" max="5" width="36.5703125" style="14" bestFit="1" customWidth="1"/>
    <col min="6" max="6" width="16.28515625" style="14" bestFit="1" customWidth="1"/>
    <col min="7" max="7" width="19.28515625" style="14" bestFit="1" customWidth="1"/>
    <col min="8" max="8" width="10.5703125" style="14" bestFit="1" customWidth="1"/>
    <col min="9" max="9" width="10.28515625" style="14" bestFit="1" customWidth="1"/>
    <col min="10" max="10" width="5.28515625" style="14" bestFit="1" customWidth="1"/>
    <col min="11" max="11" width="23.28515625" style="14" bestFit="1" customWidth="1"/>
    <col min="12" max="16384" width="9.140625" style="14"/>
  </cols>
  <sheetData>
    <row r="1" spans="1:11" x14ac:dyDescent="0.25">
      <c r="A1" s="15" t="s">
        <v>274</v>
      </c>
      <c r="B1" s="15" t="s">
        <v>275</v>
      </c>
      <c r="C1" s="15" t="s">
        <v>5</v>
      </c>
      <c r="D1" s="15" t="s">
        <v>6</v>
      </c>
      <c r="E1" s="15" t="s">
        <v>133</v>
      </c>
      <c r="F1" s="15" t="s">
        <v>172</v>
      </c>
      <c r="G1" s="14" t="s">
        <v>127</v>
      </c>
      <c r="H1" s="14" t="s">
        <v>128</v>
      </c>
      <c r="I1" s="14" t="s">
        <v>48</v>
      </c>
      <c r="J1" s="14" t="s">
        <v>65</v>
      </c>
      <c r="K1" s="15" t="s">
        <v>276</v>
      </c>
    </row>
    <row r="2" spans="1:11" x14ac:dyDescent="0.25">
      <c r="A2" s="15" t="s">
        <v>385</v>
      </c>
      <c r="B2" s="15" t="s">
        <v>293</v>
      </c>
      <c r="C2" s="15" t="s">
        <v>266</v>
      </c>
      <c r="D2" s="7" t="s">
        <v>45</v>
      </c>
      <c r="E2" s="15" t="s">
        <v>384</v>
      </c>
      <c r="F2" s="7" t="s">
        <v>279</v>
      </c>
      <c r="G2" s="14" t="s">
        <v>131</v>
      </c>
      <c r="H2" s="14" t="s">
        <v>129</v>
      </c>
      <c r="I2" s="14" t="s">
        <v>49</v>
      </c>
      <c r="J2" s="14" t="s">
        <v>65</v>
      </c>
      <c r="K2" s="15" t="s">
        <v>385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workbookViewId="0">
      <selection activeCell="D2" sqref="D2"/>
    </sheetView>
  </sheetViews>
  <sheetFormatPr defaultColWidth="20.7109375" defaultRowHeight="15" x14ac:dyDescent="0.25"/>
  <cols>
    <col min="1" max="1" width="11.42578125" style="14" customWidth="1"/>
    <col min="2" max="2" width="12.5703125" style="14" customWidth="1"/>
    <col min="3" max="3" width="7.85546875" style="14" customWidth="1"/>
    <col min="4" max="4" width="14.5703125" style="14" customWidth="1"/>
    <col min="5" max="6" width="7.140625" style="14" customWidth="1"/>
    <col min="7" max="7" width="8.5703125" style="14" customWidth="1"/>
    <col min="8" max="8" width="29.7109375" style="14" customWidth="1"/>
    <col min="9" max="9" width="17.7109375" style="14" customWidth="1"/>
    <col min="10" max="10" width="26.5703125" style="14" customWidth="1"/>
    <col min="11" max="11" width="13.28515625" style="14" customWidth="1"/>
    <col min="12" max="12" width="13" style="14" customWidth="1"/>
    <col min="13" max="16384" width="20.7109375" style="14"/>
  </cols>
  <sheetData>
    <row r="1" spans="1:12" x14ac:dyDescent="0.25">
      <c r="A1" s="15" t="s">
        <v>52</v>
      </c>
      <c r="B1" s="15" t="s">
        <v>53</v>
      </c>
      <c r="C1" s="15" t="s">
        <v>54</v>
      </c>
      <c r="D1" s="15" t="s">
        <v>26</v>
      </c>
      <c r="E1" s="15" t="s">
        <v>42</v>
      </c>
      <c r="F1" s="15" t="s">
        <v>505</v>
      </c>
      <c r="G1" s="15" t="s">
        <v>6</v>
      </c>
      <c r="H1" s="15" t="s">
        <v>133</v>
      </c>
      <c r="I1" s="15" t="s">
        <v>172</v>
      </c>
      <c r="J1" s="14" t="s">
        <v>127</v>
      </c>
      <c r="K1" s="14" t="s">
        <v>128</v>
      </c>
      <c r="L1" s="14" t="s">
        <v>48</v>
      </c>
    </row>
    <row r="2" spans="1:12" x14ac:dyDescent="0.25">
      <c r="A2" s="15">
        <v>20252551</v>
      </c>
      <c r="B2" s="7" t="s">
        <v>56</v>
      </c>
      <c r="C2" s="15" t="s">
        <v>57</v>
      </c>
      <c r="D2" s="15" t="s">
        <v>609</v>
      </c>
      <c r="E2" s="7" t="s">
        <v>388</v>
      </c>
      <c r="F2" s="7" t="s">
        <v>602</v>
      </c>
      <c r="G2" s="7" t="s">
        <v>81</v>
      </c>
      <c r="H2" s="15" t="s">
        <v>393</v>
      </c>
      <c r="I2" s="7" t="s">
        <v>279</v>
      </c>
      <c r="J2" s="14" t="s">
        <v>176</v>
      </c>
      <c r="K2" s="14" t="s">
        <v>129</v>
      </c>
      <c r="L2" s="14" t="s">
        <v>49</v>
      </c>
    </row>
    <row r="3" spans="1:12" x14ac:dyDescent="0.25">
      <c r="A3" s="15">
        <v>20252551</v>
      </c>
      <c r="B3" s="7" t="s">
        <v>248</v>
      </c>
      <c r="C3" s="15" t="s">
        <v>57</v>
      </c>
      <c r="D3" s="15" t="s">
        <v>482</v>
      </c>
      <c r="E3" s="7" t="s">
        <v>387</v>
      </c>
      <c r="F3" s="7" t="s">
        <v>43</v>
      </c>
      <c r="G3" s="7" t="s">
        <v>82</v>
      </c>
      <c r="H3" s="15" t="s">
        <v>394</v>
      </c>
      <c r="I3" s="7" t="s">
        <v>279</v>
      </c>
      <c r="J3" s="14" t="s">
        <v>176</v>
      </c>
      <c r="K3" s="14" t="s">
        <v>129</v>
      </c>
      <c r="L3" s="14" t="s">
        <v>49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B9" sqref="B9"/>
    </sheetView>
  </sheetViews>
  <sheetFormatPr defaultRowHeight="15" x14ac:dyDescent="0.25"/>
  <cols>
    <col min="1" max="1" width="20.28515625" style="14" bestFit="1" customWidth="1"/>
    <col min="2" max="2" width="5.7109375" style="14" bestFit="1" customWidth="1"/>
    <col min="3" max="3" width="23.28515625" style="14" bestFit="1" customWidth="1"/>
    <col min="4" max="16384" width="9.140625" style="14"/>
  </cols>
  <sheetData>
    <row r="1" spans="1:3" x14ac:dyDescent="0.25">
      <c r="A1" s="14" t="s">
        <v>65</v>
      </c>
      <c r="B1" s="14" t="s">
        <v>6</v>
      </c>
      <c r="C1" s="14" t="s">
        <v>276</v>
      </c>
    </row>
    <row r="2" spans="1:3" x14ac:dyDescent="0.25">
      <c r="A2" s="14" t="s">
        <v>80</v>
      </c>
      <c r="B2" s="7" t="s">
        <v>81</v>
      </c>
      <c r="C2" s="15" t="s">
        <v>385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2" sqref="B2"/>
    </sheetView>
  </sheetViews>
  <sheetFormatPr defaultRowHeight="15" x14ac:dyDescent="0.25"/>
  <cols>
    <col min="1" max="1" width="9.140625" style="14"/>
    <col min="2" max="2" width="26.140625" style="14" bestFit="1" customWidth="1"/>
    <col min="3" max="16384" width="9.140625" style="14"/>
  </cols>
  <sheetData>
    <row r="1" spans="1:4" x14ac:dyDescent="0.25">
      <c r="A1" s="14" t="s">
        <v>6</v>
      </c>
      <c r="B1" s="14" t="s">
        <v>133</v>
      </c>
      <c r="C1" s="14" t="s">
        <v>127</v>
      </c>
      <c r="D1" s="14" t="s">
        <v>128</v>
      </c>
    </row>
    <row r="2" spans="1:4" x14ac:dyDescent="0.25">
      <c r="A2" s="7" t="s">
        <v>81</v>
      </c>
      <c r="B2" s="14" t="s">
        <v>285</v>
      </c>
      <c r="C2" s="15" t="s">
        <v>132</v>
      </c>
      <c r="D2" s="14" t="s">
        <v>129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opLeftCell="A7" zoomScale="85" zoomScaleNormal="85" workbookViewId="0">
      <selection activeCell="H14" sqref="H14"/>
    </sheetView>
  </sheetViews>
  <sheetFormatPr defaultRowHeight="15" x14ac:dyDescent="0.25"/>
  <cols>
    <col min="1" max="1" width="20" style="14" bestFit="1" customWidth="1"/>
    <col min="2" max="2" width="9.140625" style="14"/>
    <col min="3" max="3" width="20.85546875" style="14" bestFit="1" customWidth="1"/>
    <col min="4" max="4" width="22" style="14" bestFit="1" customWidth="1"/>
    <col min="5" max="16384" width="9.140625" style="14"/>
  </cols>
  <sheetData>
    <row r="1" spans="1:6" x14ac:dyDescent="0.25">
      <c r="A1" s="15" t="s">
        <v>65</v>
      </c>
      <c r="B1" s="15" t="s">
        <v>6</v>
      </c>
      <c r="C1" s="14" t="s">
        <v>133</v>
      </c>
      <c r="D1" s="14" t="s">
        <v>127</v>
      </c>
      <c r="E1" s="14" t="s">
        <v>128</v>
      </c>
      <c r="F1" s="14" t="s">
        <v>48</v>
      </c>
    </row>
    <row r="2" spans="1:6" x14ac:dyDescent="0.25">
      <c r="A2" s="15" t="s">
        <v>331</v>
      </c>
      <c r="B2" s="7" t="s">
        <v>45</v>
      </c>
      <c r="C2" s="14" t="s">
        <v>332</v>
      </c>
      <c r="D2" s="14" t="s">
        <v>132</v>
      </c>
      <c r="E2" s="14" t="s">
        <v>129</v>
      </c>
      <c r="F2" s="14" t="s">
        <v>49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RowHeight="15" x14ac:dyDescent="0.25"/>
  <cols>
    <col min="1" max="16384" width="9.140625" style="14"/>
  </cols>
  <sheetData>
    <row r="1" spans="1:4" x14ac:dyDescent="0.25">
      <c r="A1" s="14" t="s">
        <v>6</v>
      </c>
      <c r="B1" s="14" t="s">
        <v>133</v>
      </c>
      <c r="C1" s="14" t="s">
        <v>127</v>
      </c>
      <c r="D1" s="14" t="s">
        <v>128</v>
      </c>
    </row>
    <row r="2" spans="1:4" x14ac:dyDescent="0.25">
      <c r="A2" s="7" t="s">
        <v>81</v>
      </c>
      <c r="B2" s="14" t="s">
        <v>286</v>
      </c>
      <c r="C2" s="15" t="s">
        <v>132</v>
      </c>
      <c r="D2" s="14" t="s">
        <v>129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2" sqref="F2"/>
    </sheetView>
  </sheetViews>
  <sheetFormatPr defaultRowHeight="15" x14ac:dyDescent="0.25"/>
  <cols>
    <col min="1" max="16384" width="9.140625" style="14"/>
  </cols>
  <sheetData>
    <row r="1" spans="1:8" x14ac:dyDescent="0.25">
      <c r="A1" s="2" t="s">
        <v>6</v>
      </c>
      <c r="B1" s="2" t="s">
        <v>133</v>
      </c>
      <c r="C1" s="2" t="s">
        <v>48</v>
      </c>
      <c r="D1" s="2" t="s">
        <v>128</v>
      </c>
      <c r="E1" s="2" t="s">
        <v>72</v>
      </c>
      <c r="F1" s="14" t="s">
        <v>73</v>
      </c>
      <c r="G1" s="14" t="s">
        <v>261</v>
      </c>
      <c r="H1" s="14" t="s">
        <v>262</v>
      </c>
    </row>
    <row r="2" spans="1:8" x14ac:dyDescent="0.25">
      <c r="A2" s="9" t="s">
        <v>45</v>
      </c>
      <c r="B2" s="13" t="s">
        <v>287</v>
      </c>
      <c r="C2" s="15" t="s">
        <v>49</v>
      </c>
      <c r="D2" s="14" t="s">
        <v>129</v>
      </c>
      <c r="E2" s="15" t="s">
        <v>74</v>
      </c>
      <c r="F2" s="14" t="str">
        <f ca="1">TEXT(NOW(),"YYYY-MM-DD")</f>
        <v>2026-09-03</v>
      </c>
      <c r="G2" s="14" t="s">
        <v>71</v>
      </c>
      <c r="H2" s="14" t="s">
        <v>71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2" sqref="D2"/>
    </sheetView>
  </sheetViews>
  <sheetFormatPr defaultRowHeight="15" x14ac:dyDescent="0.25"/>
  <cols>
    <col min="1" max="4" width="9.140625" style="14"/>
    <col min="5" max="5" width="17.85546875" style="14" bestFit="1" customWidth="1"/>
    <col min="6" max="16384" width="9.140625" style="14"/>
  </cols>
  <sheetData>
    <row r="1" spans="1:6" x14ac:dyDescent="0.25">
      <c r="A1" s="2" t="s">
        <v>6</v>
      </c>
      <c r="B1" s="2" t="s">
        <v>48</v>
      </c>
      <c r="C1" s="2" t="s">
        <v>128</v>
      </c>
      <c r="D1" s="2" t="s">
        <v>65</v>
      </c>
      <c r="E1" s="2" t="s">
        <v>224</v>
      </c>
      <c r="F1" s="2" t="s">
        <v>228</v>
      </c>
    </row>
    <row r="2" spans="1:6" x14ac:dyDescent="0.25">
      <c r="A2" s="7" t="s">
        <v>81</v>
      </c>
      <c r="B2" s="15" t="s">
        <v>49</v>
      </c>
      <c r="C2" s="15" t="s">
        <v>129</v>
      </c>
      <c r="D2" s="9" t="s">
        <v>465</v>
      </c>
      <c r="E2" s="14" t="s">
        <v>288</v>
      </c>
      <c r="F2" s="9" t="s">
        <v>56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G3" sqref="G3"/>
    </sheetView>
  </sheetViews>
  <sheetFormatPr defaultRowHeight="15" x14ac:dyDescent="0.25"/>
  <cols>
    <col min="1" max="3" width="9.140625" style="14"/>
    <col min="4" max="4" width="10.5703125" style="14" bestFit="1" customWidth="1"/>
    <col min="5" max="16384" width="9.140625" style="14"/>
  </cols>
  <sheetData>
    <row r="1" spans="1:10" x14ac:dyDescent="0.25">
      <c r="A1" s="2" t="s">
        <v>6</v>
      </c>
      <c r="B1" s="2" t="s">
        <v>133</v>
      </c>
      <c r="C1" s="2" t="s">
        <v>48</v>
      </c>
      <c r="D1" s="2" t="s">
        <v>128</v>
      </c>
      <c r="E1" s="2" t="s">
        <v>264</v>
      </c>
      <c r="F1" s="2" t="s">
        <v>265</v>
      </c>
      <c r="G1" s="2" t="s">
        <v>267</v>
      </c>
      <c r="H1" s="2" t="s">
        <v>268</v>
      </c>
      <c r="I1" s="15" t="s">
        <v>215</v>
      </c>
      <c r="J1" s="2" t="s">
        <v>127</v>
      </c>
    </row>
    <row r="2" spans="1:10" x14ac:dyDescent="0.25">
      <c r="A2" s="7" t="s">
        <v>81</v>
      </c>
      <c r="B2" s="13" t="s">
        <v>287</v>
      </c>
      <c r="C2" s="15" t="s">
        <v>49</v>
      </c>
      <c r="D2" s="15" t="s">
        <v>129</v>
      </c>
      <c r="E2" s="7" t="s">
        <v>58</v>
      </c>
      <c r="F2" s="7" t="s">
        <v>10</v>
      </c>
      <c r="G2" s="7" t="s">
        <v>43</v>
      </c>
      <c r="H2" s="7" t="s">
        <v>10</v>
      </c>
      <c r="I2" s="15" t="s">
        <v>207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2" sqref="F2"/>
    </sheetView>
  </sheetViews>
  <sheetFormatPr defaultRowHeight="15" x14ac:dyDescent="0.25"/>
  <cols>
    <col min="1" max="16384" width="9.140625" style="14"/>
  </cols>
  <sheetData>
    <row r="1" spans="1:8" x14ac:dyDescent="0.25">
      <c r="A1" s="2" t="s">
        <v>6</v>
      </c>
      <c r="B1" s="2" t="s">
        <v>133</v>
      </c>
      <c r="C1" s="2" t="s">
        <v>48</v>
      </c>
      <c r="D1" s="2" t="s">
        <v>128</v>
      </c>
      <c r="E1" s="2" t="s">
        <v>72</v>
      </c>
      <c r="F1" s="14" t="s">
        <v>73</v>
      </c>
      <c r="G1" s="14" t="s">
        <v>261</v>
      </c>
      <c r="H1" s="14" t="s">
        <v>262</v>
      </c>
    </row>
    <row r="2" spans="1:8" x14ac:dyDescent="0.25">
      <c r="A2" s="9" t="s">
        <v>45</v>
      </c>
      <c r="B2" s="13" t="s">
        <v>289</v>
      </c>
      <c r="C2" s="15" t="s">
        <v>49</v>
      </c>
      <c r="D2" s="14" t="s">
        <v>129</v>
      </c>
      <c r="E2" s="15" t="s">
        <v>74</v>
      </c>
      <c r="F2" s="14" t="str">
        <f ca="1">TEXT(NOW(),"YYYY-MM-DD")</f>
        <v>2026-09-03</v>
      </c>
      <c r="G2" s="14" t="s">
        <v>71</v>
      </c>
      <c r="H2" s="14" t="s">
        <v>71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2" sqref="D2"/>
    </sheetView>
  </sheetViews>
  <sheetFormatPr defaultRowHeight="15" x14ac:dyDescent="0.25"/>
  <cols>
    <col min="1" max="4" width="9.140625" style="14"/>
    <col min="5" max="5" width="17.85546875" style="14" bestFit="1" customWidth="1"/>
    <col min="6" max="16384" width="9.140625" style="14"/>
  </cols>
  <sheetData>
    <row r="1" spans="1:6" x14ac:dyDescent="0.25">
      <c r="A1" s="2" t="s">
        <v>6</v>
      </c>
      <c r="B1" s="2" t="s">
        <v>48</v>
      </c>
      <c r="C1" s="2" t="s">
        <v>128</v>
      </c>
      <c r="D1" s="2" t="s">
        <v>65</v>
      </c>
      <c r="E1" s="2" t="s">
        <v>224</v>
      </c>
      <c r="F1" s="2" t="s">
        <v>228</v>
      </c>
    </row>
    <row r="2" spans="1:6" x14ac:dyDescent="0.25">
      <c r="A2" s="7" t="s">
        <v>81</v>
      </c>
      <c r="B2" s="15" t="s">
        <v>49</v>
      </c>
      <c r="C2" s="15" t="s">
        <v>129</v>
      </c>
      <c r="D2" s="9" t="s">
        <v>465</v>
      </c>
      <c r="E2" s="14" t="s">
        <v>290</v>
      </c>
      <c r="F2" s="14" t="s">
        <v>56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L2" sqref="L2"/>
    </sheetView>
  </sheetViews>
  <sheetFormatPr defaultColWidth="10.7109375" defaultRowHeight="15" x14ac:dyDescent="0.25"/>
  <cols>
    <col min="1" max="1" width="10.7109375" style="14"/>
    <col min="2" max="2" width="30.7109375" style="14" bestFit="1" customWidth="1"/>
    <col min="3" max="16384" width="10.7109375" style="14"/>
  </cols>
  <sheetData>
    <row r="1" spans="1:14" x14ac:dyDescent="0.25">
      <c r="A1" s="2" t="s">
        <v>6</v>
      </c>
      <c r="B1" s="2" t="s">
        <v>133</v>
      </c>
      <c r="C1" s="2" t="s">
        <v>48</v>
      </c>
      <c r="D1" s="2" t="s">
        <v>128</v>
      </c>
      <c r="E1" s="2" t="s">
        <v>264</v>
      </c>
      <c r="F1" s="2" t="s">
        <v>265</v>
      </c>
      <c r="G1" s="2" t="s">
        <v>508</v>
      </c>
      <c r="H1" s="2" t="s">
        <v>509</v>
      </c>
      <c r="I1" s="2" t="s">
        <v>291</v>
      </c>
      <c r="J1" s="2" t="s">
        <v>292</v>
      </c>
      <c r="K1" s="2" t="s">
        <v>603</v>
      </c>
      <c r="L1" s="2" t="s">
        <v>604</v>
      </c>
      <c r="M1" s="15" t="s">
        <v>215</v>
      </c>
      <c r="N1" s="2" t="s">
        <v>127</v>
      </c>
    </row>
    <row r="2" spans="1:14" x14ac:dyDescent="0.25">
      <c r="A2" s="7" t="s">
        <v>81</v>
      </c>
      <c r="B2" s="7" t="s">
        <v>289</v>
      </c>
      <c r="C2" s="15" t="s">
        <v>49</v>
      </c>
      <c r="D2" s="15" t="s">
        <v>129</v>
      </c>
      <c r="E2" s="7" t="s">
        <v>58</v>
      </c>
      <c r="F2" s="7" t="s">
        <v>10</v>
      </c>
      <c r="G2" s="7" t="s">
        <v>43</v>
      </c>
      <c r="H2" s="7" t="s">
        <v>10</v>
      </c>
      <c r="I2" s="7" t="s">
        <v>58</v>
      </c>
      <c r="J2" s="7" t="s">
        <v>58</v>
      </c>
      <c r="K2" s="7" t="s">
        <v>43</v>
      </c>
      <c r="L2" s="7" t="s">
        <v>43</v>
      </c>
      <c r="M2" s="15" t="s">
        <v>207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F3" sqref="F3"/>
    </sheetView>
  </sheetViews>
  <sheetFormatPr defaultRowHeight="15" x14ac:dyDescent="0.25"/>
  <cols>
    <col min="1" max="5" width="9.140625" style="14"/>
    <col min="6" max="6" width="10.7109375" style="14" bestFit="1" customWidth="1"/>
    <col min="7" max="16384" width="9.140625" style="14"/>
  </cols>
  <sheetData>
    <row r="1" spans="1:8" x14ac:dyDescent="0.25">
      <c r="A1" s="2" t="s">
        <v>6</v>
      </c>
      <c r="B1" s="2" t="s">
        <v>133</v>
      </c>
      <c r="C1" s="2" t="s">
        <v>48</v>
      </c>
      <c r="D1" s="2" t="s">
        <v>128</v>
      </c>
      <c r="E1" s="2" t="s">
        <v>72</v>
      </c>
      <c r="F1" s="14" t="s">
        <v>73</v>
      </c>
      <c r="G1" s="14" t="s">
        <v>261</v>
      </c>
      <c r="H1" s="14" t="s">
        <v>262</v>
      </c>
    </row>
    <row r="2" spans="1:8" x14ac:dyDescent="0.25">
      <c r="A2" s="9" t="s">
        <v>45</v>
      </c>
      <c r="B2" s="13" t="s">
        <v>386</v>
      </c>
      <c r="C2" s="15" t="s">
        <v>49</v>
      </c>
      <c r="D2" s="14" t="s">
        <v>129</v>
      </c>
      <c r="E2" s="15" t="s">
        <v>74</v>
      </c>
      <c r="F2" s="22" t="str">
        <f ca="1">TEXT(NOW(),"YYYY-MM-DD")</f>
        <v>2026-09-03</v>
      </c>
      <c r="G2" s="14" t="s">
        <v>71</v>
      </c>
      <c r="H2" s="14" t="s">
        <v>71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2" sqref="D2"/>
    </sheetView>
  </sheetViews>
  <sheetFormatPr defaultRowHeight="15" x14ac:dyDescent="0.25"/>
  <cols>
    <col min="1" max="4" width="9.140625" style="14"/>
    <col min="5" max="5" width="17.85546875" style="14" bestFit="1" customWidth="1"/>
    <col min="6" max="16384" width="9.140625" style="14"/>
  </cols>
  <sheetData>
    <row r="1" spans="1:6" x14ac:dyDescent="0.25">
      <c r="A1" s="2" t="s">
        <v>6</v>
      </c>
      <c r="B1" s="2" t="s">
        <v>48</v>
      </c>
      <c r="C1" s="2" t="s">
        <v>128</v>
      </c>
      <c r="D1" s="2" t="s">
        <v>65</v>
      </c>
      <c r="E1" s="2" t="s">
        <v>224</v>
      </c>
      <c r="F1" s="2" t="s">
        <v>228</v>
      </c>
    </row>
    <row r="2" spans="1:6" x14ac:dyDescent="0.25">
      <c r="A2" s="7" t="s">
        <v>81</v>
      </c>
      <c r="B2" s="15" t="s">
        <v>49</v>
      </c>
      <c r="C2" s="15" t="s">
        <v>129</v>
      </c>
      <c r="D2" s="9" t="s">
        <v>465</v>
      </c>
      <c r="E2" s="14" t="s">
        <v>293</v>
      </c>
      <c r="F2" s="9" t="s">
        <v>10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C11" sqref="C11"/>
    </sheetView>
  </sheetViews>
  <sheetFormatPr defaultColWidth="10.42578125" defaultRowHeight="15" x14ac:dyDescent="0.25"/>
  <cols>
    <col min="1" max="1" width="5.7109375" style="14" bestFit="1" customWidth="1"/>
    <col min="2" max="2" width="30.140625" style="14" bestFit="1" customWidth="1"/>
    <col min="3" max="3" width="10.28515625" style="14" bestFit="1" customWidth="1"/>
    <col min="4" max="4" width="10.5703125" style="14" bestFit="1" customWidth="1"/>
    <col min="5" max="5" width="12.42578125" style="14" bestFit="1" customWidth="1"/>
    <col min="6" max="6" width="14.140625" style="14" bestFit="1" customWidth="1"/>
    <col min="7" max="7" width="12.5703125" style="14" bestFit="1" customWidth="1"/>
    <col min="8" max="8" width="14.28515625" style="14" bestFit="1" customWidth="1"/>
    <col min="9" max="9" width="15.28515625" style="14" bestFit="1" customWidth="1"/>
    <col min="10" max="10" width="16.85546875" style="14" bestFit="1" customWidth="1"/>
    <col min="11" max="11" width="15.42578125" style="14" bestFit="1" customWidth="1"/>
    <col min="12" max="12" width="17" style="14" bestFit="1" customWidth="1"/>
    <col min="13" max="13" width="19" style="14" bestFit="1" customWidth="1"/>
    <col min="14" max="14" width="19.28515625" style="14" bestFit="1" customWidth="1"/>
    <col min="15" max="16384" width="10.42578125" style="14"/>
  </cols>
  <sheetData>
    <row r="1" spans="1:14" x14ac:dyDescent="0.25">
      <c r="A1" s="2" t="s">
        <v>6</v>
      </c>
      <c r="B1" s="2" t="s">
        <v>133</v>
      </c>
      <c r="C1" s="2" t="s">
        <v>48</v>
      </c>
      <c r="D1" s="2" t="s">
        <v>128</v>
      </c>
      <c r="E1" s="2" t="s">
        <v>389</v>
      </c>
      <c r="F1" s="2" t="s">
        <v>390</v>
      </c>
      <c r="G1" s="2" t="s">
        <v>605</v>
      </c>
      <c r="H1" s="2" t="s">
        <v>606</v>
      </c>
      <c r="I1" s="2" t="s">
        <v>391</v>
      </c>
      <c r="J1" s="2" t="s">
        <v>392</v>
      </c>
      <c r="K1" s="2" t="s">
        <v>607</v>
      </c>
      <c r="L1" s="2" t="s">
        <v>608</v>
      </c>
      <c r="M1" s="15" t="s">
        <v>215</v>
      </c>
      <c r="N1" s="2" t="s">
        <v>127</v>
      </c>
    </row>
    <row r="2" spans="1:14" x14ac:dyDescent="0.25">
      <c r="A2" s="7" t="s">
        <v>81</v>
      </c>
      <c r="B2" s="13" t="s">
        <v>386</v>
      </c>
      <c r="C2" s="15" t="s">
        <v>49</v>
      </c>
      <c r="D2" s="15" t="s">
        <v>129</v>
      </c>
      <c r="E2" s="7" t="s">
        <v>58</v>
      </c>
      <c r="F2" s="7" t="s">
        <v>387</v>
      </c>
      <c r="G2" s="7" t="s">
        <v>43</v>
      </c>
      <c r="H2" s="7" t="s">
        <v>43</v>
      </c>
      <c r="I2" s="7" t="s">
        <v>387</v>
      </c>
      <c r="J2" s="7" t="s">
        <v>10</v>
      </c>
      <c r="K2" s="7" t="s">
        <v>43</v>
      </c>
      <c r="L2" s="7" t="s">
        <v>10</v>
      </c>
      <c r="M2" s="15" t="s">
        <v>207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B3" sqref="B3"/>
    </sheetView>
  </sheetViews>
  <sheetFormatPr defaultRowHeight="15" x14ac:dyDescent="0.25"/>
  <cols>
    <col min="1" max="1" width="23.28515625" bestFit="1" customWidth="1"/>
    <col min="2" max="2" width="17" bestFit="1" customWidth="1"/>
    <col min="3" max="3" width="11.5703125" bestFit="1" customWidth="1"/>
    <col min="4" max="4" width="3.28515625" bestFit="1" customWidth="1"/>
    <col min="5" max="5" width="29" bestFit="1" customWidth="1"/>
    <col min="6" max="6" width="16.28515625" bestFit="1" customWidth="1"/>
    <col min="7" max="7" width="19.28515625" bestFit="1" customWidth="1"/>
    <col min="8" max="8" width="10.5703125" bestFit="1" customWidth="1"/>
    <col min="9" max="9" width="10.28515625" bestFit="1" customWidth="1"/>
    <col min="10" max="10" width="5.28515625" bestFit="1" customWidth="1"/>
    <col min="11" max="11" width="23.28515625" bestFit="1" customWidth="1"/>
  </cols>
  <sheetData>
    <row r="1" spans="1:11" x14ac:dyDescent="0.25">
      <c r="A1" s="15" t="s">
        <v>274</v>
      </c>
      <c r="B1" s="15" t="s">
        <v>275</v>
      </c>
      <c r="C1" s="15" t="s">
        <v>5</v>
      </c>
      <c r="D1" s="15" t="s">
        <v>6</v>
      </c>
      <c r="E1" s="15" t="s">
        <v>133</v>
      </c>
      <c r="F1" s="15" t="s">
        <v>172</v>
      </c>
      <c r="G1" s="14" t="s">
        <v>127</v>
      </c>
      <c r="H1" s="14" t="s">
        <v>128</v>
      </c>
      <c r="I1" s="14" t="s">
        <v>48</v>
      </c>
      <c r="J1" s="14" t="s">
        <v>65</v>
      </c>
      <c r="K1" s="15" t="s">
        <v>276</v>
      </c>
    </row>
    <row r="2" spans="1:11" x14ac:dyDescent="0.25">
      <c r="A2" s="15" t="s">
        <v>277</v>
      </c>
      <c r="B2" s="15" t="s">
        <v>478</v>
      </c>
      <c r="C2" s="15" t="s">
        <v>266</v>
      </c>
      <c r="D2" s="7" t="s">
        <v>45</v>
      </c>
      <c r="E2" s="15" t="s">
        <v>294</v>
      </c>
      <c r="F2" s="7" t="s">
        <v>279</v>
      </c>
      <c r="G2" s="14" t="s">
        <v>131</v>
      </c>
      <c r="H2" s="14" t="s">
        <v>129</v>
      </c>
      <c r="I2" s="14" t="s">
        <v>49</v>
      </c>
      <c r="J2" s="14" t="s">
        <v>65</v>
      </c>
      <c r="K2" s="15" t="s">
        <v>277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E3" sqref="E3"/>
    </sheetView>
  </sheetViews>
  <sheetFormatPr defaultColWidth="15.7109375" defaultRowHeight="15" x14ac:dyDescent="0.25"/>
  <sheetData>
    <row r="1" spans="1:12" x14ac:dyDescent="0.25">
      <c r="A1" s="15" t="s">
        <v>52</v>
      </c>
      <c r="B1" s="15" t="s">
        <v>53</v>
      </c>
      <c r="C1" s="15" t="s">
        <v>54</v>
      </c>
      <c r="D1" s="15" t="s">
        <v>26</v>
      </c>
      <c r="E1" s="15" t="s">
        <v>42</v>
      </c>
      <c r="F1" s="15" t="s">
        <v>505</v>
      </c>
      <c r="G1" s="15" t="s">
        <v>6</v>
      </c>
      <c r="H1" s="15" t="s">
        <v>133</v>
      </c>
      <c r="I1" s="15" t="s">
        <v>172</v>
      </c>
      <c r="J1" s="14" t="s">
        <v>127</v>
      </c>
      <c r="K1" s="14" t="s">
        <v>128</v>
      </c>
      <c r="L1" s="14" t="s">
        <v>48</v>
      </c>
    </row>
    <row r="2" spans="1:12" x14ac:dyDescent="0.25">
      <c r="A2" s="15" t="s">
        <v>465</v>
      </c>
      <c r="B2" s="7" t="s">
        <v>280</v>
      </c>
      <c r="C2" s="15" t="s">
        <v>57</v>
      </c>
      <c r="D2" s="15" t="s">
        <v>481</v>
      </c>
      <c r="E2" s="7" t="s">
        <v>645</v>
      </c>
      <c r="F2" s="7" t="s">
        <v>602</v>
      </c>
      <c r="G2" s="7" t="s">
        <v>81</v>
      </c>
      <c r="H2" s="15" t="s">
        <v>294</v>
      </c>
      <c r="I2" s="7" t="s">
        <v>279</v>
      </c>
      <c r="J2" s="14" t="s">
        <v>176</v>
      </c>
      <c r="K2" s="14" t="s">
        <v>129</v>
      </c>
      <c r="L2" s="14" t="s">
        <v>49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G30" sqref="G30"/>
    </sheetView>
  </sheetViews>
  <sheetFormatPr defaultColWidth="19.7109375" defaultRowHeight="15" x14ac:dyDescent="0.25"/>
  <cols>
    <col min="1" max="1" width="20.28515625" bestFit="1" customWidth="1"/>
    <col min="3" max="3" width="23.28515625" bestFit="1" customWidth="1"/>
  </cols>
  <sheetData>
    <row r="1" spans="1:3" x14ac:dyDescent="0.25">
      <c r="A1" s="14" t="s">
        <v>65</v>
      </c>
      <c r="B1" s="14" t="s">
        <v>6</v>
      </c>
      <c r="C1" s="14" t="s">
        <v>276</v>
      </c>
    </row>
    <row r="2" spans="1:3" x14ac:dyDescent="0.25">
      <c r="A2" s="14" t="s">
        <v>80</v>
      </c>
      <c r="B2" s="7" t="s">
        <v>81</v>
      </c>
      <c r="C2" s="15" t="s">
        <v>277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defaultRowHeight="15" x14ac:dyDescent="0.25"/>
  <cols>
    <col min="1" max="1" width="15" style="14" bestFit="1" customWidth="1"/>
    <col min="2" max="2" width="16.140625" style="14" bestFit="1" customWidth="1"/>
    <col min="3" max="3" width="20" style="14" bestFit="1" customWidth="1"/>
    <col min="4" max="4" width="17.5703125" style="14" bestFit="1" customWidth="1"/>
    <col min="5" max="5" width="9.140625" style="14"/>
    <col min="6" max="6" width="10.28515625" style="14" bestFit="1" customWidth="1"/>
    <col min="7" max="7" width="11" style="14" bestFit="1" customWidth="1"/>
    <col min="8" max="16384" width="9.140625" style="14"/>
  </cols>
  <sheetData>
    <row r="1" spans="1:7" x14ac:dyDescent="0.25">
      <c r="A1" s="15" t="s">
        <v>66</v>
      </c>
      <c r="B1" s="15" t="s">
        <v>67</v>
      </c>
      <c r="C1" s="15" t="s">
        <v>68</v>
      </c>
      <c r="D1" s="15" t="s">
        <v>69</v>
      </c>
      <c r="E1" s="15" t="s">
        <v>6</v>
      </c>
      <c r="F1" s="14" t="s">
        <v>48</v>
      </c>
      <c r="G1" s="15" t="s">
        <v>65</v>
      </c>
    </row>
    <row r="2" spans="1:7" x14ac:dyDescent="0.25">
      <c r="A2" s="15" t="s">
        <v>336</v>
      </c>
      <c r="B2" s="15" t="s">
        <v>71</v>
      </c>
      <c r="C2" s="6" t="str">
        <f ca="1">TEXT(NOW(),"YYYY-MM-DD")</f>
        <v>2026-09-03</v>
      </c>
      <c r="D2" s="6" t="str">
        <f ca="1">TEXT(NOW(),"YYYY-MM-DD")</f>
        <v>2026-09-03</v>
      </c>
      <c r="E2" s="7" t="s">
        <v>45</v>
      </c>
      <c r="F2" s="15" t="s">
        <v>49</v>
      </c>
      <c r="G2" s="15" t="s">
        <v>306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E9" sqref="E9"/>
    </sheetView>
  </sheetViews>
  <sheetFormatPr defaultRowHeight="15" x14ac:dyDescent="0.25"/>
  <cols>
    <col min="1" max="1" width="14.140625" style="14" bestFit="1" customWidth="1"/>
    <col min="2" max="2" width="14.140625" style="14" customWidth="1"/>
    <col min="3" max="3" width="16.85546875" style="14" bestFit="1" customWidth="1"/>
    <col min="4" max="4" width="16.85546875" style="14" customWidth="1"/>
    <col min="5" max="5" width="13.140625" style="14" bestFit="1" customWidth="1"/>
    <col min="6" max="6" width="16.140625" style="14" bestFit="1" customWidth="1"/>
    <col min="7" max="7" width="9.140625" style="14" customWidth="1"/>
    <col min="8" max="8" width="39.5703125" style="14" bestFit="1" customWidth="1"/>
    <col min="9" max="9" width="10.28515625" style="14" bestFit="1" customWidth="1"/>
    <col min="10" max="10" width="19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9" t="s">
        <v>99</v>
      </c>
      <c r="B1" s="9" t="s">
        <v>304</v>
      </c>
      <c r="C1" s="9" t="s">
        <v>100</v>
      </c>
      <c r="D1" s="9" t="s">
        <v>305</v>
      </c>
      <c r="E1" s="9" t="s">
        <v>101</v>
      </c>
      <c r="F1" s="9" t="s">
        <v>102</v>
      </c>
      <c r="G1" s="9" t="s">
        <v>6</v>
      </c>
      <c r="H1" s="9" t="s">
        <v>133</v>
      </c>
      <c r="I1" s="9" t="s">
        <v>48</v>
      </c>
      <c r="J1" s="15" t="s">
        <v>215</v>
      </c>
      <c r="K1" s="14" t="s">
        <v>127</v>
      </c>
    </row>
    <row r="2" spans="1:11" x14ac:dyDescent="0.25">
      <c r="A2" s="13" t="s">
        <v>492</v>
      </c>
      <c r="B2" s="13" t="s">
        <v>10</v>
      </c>
      <c r="C2" s="13" t="s">
        <v>521</v>
      </c>
      <c r="D2" s="21" t="s">
        <v>524</v>
      </c>
      <c r="E2" s="13" t="s">
        <v>522</v>
      </c>
      <c r="F2" s="13" t="s">
        <v>523</v>
      </c>
      <c r="G2" s="9" t="s">
        <v>81</v>
      </c>
      <c r="H2" s="7" t="s">
        <v>439</v>
      </c>
      <c r="I2" s="9" t="s">
        <v>49</v>
      </c>
      <c r="J2" s="15" t="s">
        <v>207</v>
      </c>
    </row>
    <row r="3" spans="1:11" x14ac:dyDescent="0.25">
      <c r="A3" s="13" t="s">
        <v>525</v>
      </c>
      <c r="B3" s="13" t="s">
        <v>10</v>
      </c>
      <c r="C3" s="13" t="s">
        <v>526</v>
      </c>
      <c r="D3" s="25" t="s">
        <v>529</v>
      </c>
      <c r="E3" s="13" t="s">
        <v>527</v>
      </c>
      <c r="F3" s="13" t="s">
        <v>528</v>
      </c>
      <c r="G3" s="9" t="s">
        <v>82</v>
      </c>
      <c r="H3" s="7" t="s">
        <v>440</v>
      </c>
      <c r="I3" s="9" t="s">
        <v>49</v>
      </c>
      <c r="J3" s="15" t="s">
        <v>207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A7" sqref="A7"/>
    </sheetView>
  </sheetViews>
  <sheetFormatPr defaultRowHeight="15" x14ac:dyDescent="0.25"/>
  <cols>
    <col min="1" max="1" width="14.140625" style="14" bestFit="1" customWidth="1"/>
    <col min="2" max="2" width="13.85546875" style="14" bestFit="1" customWidth="1"/>
    <col min="3" max="3" width="9.140625" style="14"/>
    <col min="4" max="4" width="39.5703125" style="14" bestFit="1" customWidth="1"/>
    <col min="5" max="5" width="10.28515625" style="14" bestFit="1" customWidth="1"/>
    <col min="6" max="6" width="19" style="14" bestFit="1" customWidth="1"/>
    <col min="7" max="7" width="19.28515625" style="14" bestFit="1" customWidth="1"/>
    <col min="8" max="16384" width="9.140625" style="14"/>
  </cols>
  <sheetData>
    <row r="1" spans="1:7" x14ac:dyDescent="0.25">
      <c r="A1" s="6" t="s">
        <v>100</v>
      </c>
      <c r="B1" s="9" t="s">
        <v>334</v>
      </c>
      <c r="C1" s="9" t="s">
        <v>6</v>
      </c>
      <c r="D1" s="9" t="s">
        <v>133</v>
      </c>
      <c r="E1" s="9" t="s">
        <v>48</v>
      </c>
      <c r="F1" s="15" t="s">
        <v>215</v>
      </c>
      <c r="G1" s="14" t="s">
        <v>127</v>
      </c>
    </row>
    <row r="2" spans="1:7" x14ac:dyDescent="0.25">
      <c r="A2" s="13" t="s">
        <v>530</v>
      </c>
      <c r="B2" s="13" t="s">
        <v>10</v>
      </c>
      <c r="C2" s="9" t="s">
        <v>81</v>
      </c>
      <c r="D2" s="7" t="s">
        <v>398</v>
      </c>
      <c r="E2" s="9" t="s">
        <v>49</v>
      </c>
      <c r="F2" s="15" t="s">
        <v>207</v>
      </c>
    </row>
    <row r="3" spans="1:7" x14ac:dyDescent="0.25">
      <c r="A3" s="13" t="s">
        <v>279</v>
      </c>
      <c r="B3" s="13" t="s">
        <v>10</v>
      </c>
      <c r="C3" s="9" t="s">
        <v>82</v>
      </c>
      <c r="D3" s="7" t="s">
        <v>397</v>
      </c>
      <c r="E3" s="9" t="s">
        <v>49</v>
      </c>
      <c r="F3" s="15" t="s">
        <v>207</v>
      </c>
    </row>
    <row r="4" spans="1:7" x14ac:dyDescent="0.25">
      <c r="A4" s="13" t="s">
        <v>531</v>
      </c>
      <c r="B4" s="13" t="s">
        <v>10</v>
      </c>
      <c r="C4" s="9" t="s">
        <v>235</v>
      </c>
      <c r="D4" s="7" t="s">
        <v>399</v>
      </c>
      <c r="E4" s="9" t="s">
        <v>49</v>
      </c>
      <c r="F4" s="15" t="s">
        <v>207</v>
      </c>
    </row>
    <row r="5" spans="1:7" x14ac:dyDescent="0.25">
      <c r="A5" s="13" t="s">
        <v>531</v>
      </c>
      <c r="B5" s="13" t="s">
        <v>10</v>
      </c>
      <c r="C5" s="9" t="s">
        <v>236</v>
      </c>
      <c r="D5" s="7" t="s">
        <v>400</v>
      </c>
      <c r="E5" s="9" t="s">
        <v>49</v>
      </c>
      <c r="F5" s="15" t="s">
        <v>207</v>
      </c>
    </row>
    <row r="6" spans="1:7" x14ac:dyDescent="0.25">
      <c r="A6" s="13" t="s">
        <v>532</v>
      </c>
      <c r="B6" s="13" t="s">
        <v>10</v>
      </c>
      <c r="C6" s="9" t="s">
        <v>333</v>
      </c>
      <c r="D6" s="7" t="s">
        <v>401</v>
      </c>
      <c r="E6" s="9" t="s">
        <v>49</v>
      </c>
      <c r="F6" s="15" t="s">
        <v>207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D6" sqref="D6"/>
    </sheetView>
  </sheetViews>
  <sheetFormatPr defaultRowHeight="15" x14ac:dyDescent="0.25"/>
  <cols>
    <col min="1" max="1" width="14.140625" style="14" bestFit="1" customWidth="1"/>
    <col min="2" max="2" width="13.85546875" style="14" bestFit="1" customWidth="1"/>
    <col min="3" max="3" width="9.140625" style="14"/>
    <col min="4" max="4" width="39.5703125" style="14" bestFit="1" customWidth="1"/>
    <col min="5" max="5" width="10.28515625" style="14" bestFit="1" customWidth="1"/>
    <col min="6" max="6" width="19" style="14" bestFit="1" customWidth="1"/>
    <col min="7" max="7" width="19.28515625" style="14" bestFit="1" customWidth="1"/>
    <col min="8" max="16384" width="9.140625" style="14"/>
  </cols>
  <sheetData>
    <row r="1" spans="1:7" x14ac:dyDescent="0.25">
      <c r="A1" s="6" t="s">
        <v>100</v>
      </c>
      <c r="B1" s="9" t="s">
        <v>334</v>
      </c>
      <c r="C1" s="9" t="s">
        <v>6</v>
      </c>
      <c r="D1" s="9" t="s">
        <v>133</v>
      </c>
      <c r="E1" s="9" t="s">
        <v>48</v>
      </c>
      <c r="F1" s="15" t="s">
        <v>215</v>
      </c>
      <c r="G1" s="14" t="s">
        <v>127</v>
      </c>
    </row>
    <row r="2" spans="1:7" x14ac:dyDescent="0.25">
      <c r="A2" s="13" t="s">
        <v>632</v>
      </c>
      <c r="B2" s="13" t="s">
        <v>10</v>
      </c>
      <c r="C2" s="9" t="s">
        <v>547</v>
      </c>
      <c r="D2" s="7" t="s">
        <v>398</v>
      </c>
      <c r="E2" s="9" t="s">
        <v>49</v>
      </c>
      <c r="F2" s="15" t="s">
        <v>207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3" sqref="A3"/>
    </sheetView>
  </sheetViews>
  <sheetFormatPr defaultRowHeight="15" x14ac:dyDescent="0.25"/>
  <cols>
    <col min="1" max="1" width="15.7109375" style="14" bestFit="1" customWidth="1"/>
    <col min="2" max="2" width="9.140625" style="14"/>
    <col min="3" max="3" width="42.4257812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335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</row>
    <row r="2" spans="1:6" x14ac:dyDescent="0.25">
      <c r="A2" s="14" t="s">
        <v>575</v>
      </c>
      <c r="B2" s="9" t="s">
        <v>81</v>
      </c>
      <c r="C2" s="7" t="s">
        <v>343</v>
      </c>
      <c r="D2" s="9" t="s">
        <v>49</v>
      </c>
      <c r="E2" s="15" t="s">
        <v>207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Normal="100" workbookViewId="0">
      <selection activeCell="A3" sqref="A3"/>
    </sheetView>
  </sheetViews>
  <sheetFormatPr defaultRowHeight="15" x14ac:dyDescent="0.25"/>
  <cols>
    <col min="1" max="1" width="15.7109375" style="14" bestFit="1" customWidth="1"/>
    <col min="2" max="2" width="10" style="14" customWidth="1"/>
    <col min="3" max="3" width="39.570312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335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</row>
    <row r="2" spans="1:6" x14ac:dyDescent="0.25">
      <c r="A2" s="9" t="s">
        <v>279</v>
      </c>
      <c r="B2" s="9" t="s">
        <v>81</v>
      </c>
      <c r="C2" s="7" t="s">
        <v>396</v>
      </c>
      <c r="D2" s="9" t="s">
        <v>49</v>
      </c>
      <c r="E2" s="15" t="s">
        <v>49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E3" sqref="E3"/>
    </sheetView>
  </sheetViews>
  <sheetFormatPr defaultRowHeight="15" x14ac:dyDescent="0.25"/>
  <cols>
    <col min="1" max="1" width="13.5703125" style="14" bestFit="1" customWidth="1"/>
    <col min="2" max="2" width="10.140625" style="14" bestFit="1" customWidth="1"/>
    <col min="3" max="3" width="12" style="14" bestFit="1" customWidth="1"/>
    <col min="4" max="4" width="10.42578125" style="14" bestFit="1" customWidth="1"/>
    <col min="5" max="5" width="6.5703125" style="14" bestFit="1" customWidth="1"/>
    <col min="6" max="6" width="11.5703125" style="14" bestFit="1" customWidth="1"/>
    <col min="7" max="7" width="6.5703125" style="14" customWidth="1"/>
    <col min="8" max="8" width="43.85546875" style="14" bestFit="1" customWidth="1"/>
    <col min="9" max="9" width="10.28515625" style="14" bestFit="1" customWidth="1"/>
    <col min="10" max="10" width="19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14" t="s">
        <v>99</v>
      </c>
      <c r="B1" s="14" t="s">
        <v>100</v>
      </c>
      <c r="C1" s="14" t="s">
        <v>102</v>
      </c>
      <c r="D1" s="14" t="s">
        <v>304</v>
      </c>
      <c r="E1" s="14" t="s">
        <v>305</v>
      </c>
      <c r="F1" s="14" t="s">
        <v>334</v>
      </c>
      <c r="G1" s="9" t="s">
        <v>6</v>
      </c>
      <c r="H1" s="9" t="s">
        <v>133</v>
      </c>
      <c r="I1" s="9" t="s">
        <v>48</v>
      </c>
      <c r="J1" s="15" t="s">
        <v>215</v>
      </c>
      <c r="K1" s="14" t="s">
        <v>127</v>
      </c>
    </row>
    <row r="2" spans="1:11" x14ac:dyDescent="0.25">
      <c r="A2" s="9" t="s">
        <v>576</v>
      </c>
      <c r="B2" s="9" t="s">
        <v>577</v>
      </c>
      <c r="C2" s="9" t="s">
        <v>578</v>
      </c>
      <c r="D2" s="9" t="s">
        <v>10</v>
      </c>
      <c r="E2" s="9" t="s">
        <v>518</v>
      </c>
      <c r="F2" s="9" t="s">
        <v>575</v>
      </c>
      <c r="G2" s="9" t="s">
        <v>81</v>
      </c>
      <c r="H2" s="7" t="s">
        <v>395</v>
      </c>
      <c r="I2" s="9" t="s">
        <v>49</v>
      </c>
      <c r="J2" s="15" t="s">
        <v>207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defaultRowHeight="15" x14ac:dyDescent="0.25"/>
  <cols>
    <col min="1" max="1" width="15" style="14" bestFit="1" customWidth="1"/>
    <col min="2" max="2" width="16.140625" style="14" bestFit="1" customWidth="1"/>
    <col min="3" max="3" width="20" style="14" bestFit="1" customWidth="1"/>
    <col min="4" max="4" width="17.5703125" style="14" bestFit="1" customWidth="1"/>
    <col min="5" max="5" width="7.28515625" style="14" customWidth="1"/>
    <col min="6" max="6" width="10.28515625" style="14" bestFit="1" customWidth="1"/>
    <col min="7" max="7" width="11" style="14" bestFit="1" customWidth="1"/>
    <col min="8" max="16384" width="9.140625" style="14"/>
  </cols>
  <sheetData>
    <row r="1" spans="1:7" x14ac:dyDescent="0.25">
      <c r="A1" s="15" t="s">
        <v>66</v>
      </c>
      <c r="B1" s="15" t="s">
        <v>67</v>
      </c>
      <c r="C1" s="15" t="s">
        <v>68</v>
      </c>
      <c r="D1" s="15" t="s">
        <v>69</v>
      </c>
      <c r="E1" s="15" t="s">
        <v>6</v>
      </c>
      <c r="F1" s="14" t="s">
        <v>48</v>
      </c>
      <c r="G1" s="15" t="s">
        <v>65</v>
      </c>
    </row>
    <row r="2" spans="1:7" x14ac:dyDescent="0.25">
      <c r="A2" s="15" t="s">
        <v>336</v>
      </c>
      <c r="B2" s="15" t="s">
        <v>71</v>
      </c>
      <c r="C2" s="6" t="str">
        <f ca="1">TEXT(NOW(),"YYYY-MM-DD")</f>
        <v>2026-09-03</v>
      </c>
      <c r="D2" s="6" t="str">
        <f ca="1">TEXT(NOW(),"YYYY-MM-DD")</f>
        <v>2026-09-03</v>
      </c>
      <c r="E2" s="7" t="s">
        <v>45</v>
      </c>
      <c r="F2" s="15" t="s">
        <v>49</v>
      </c>
      <c r="G2" s="15" t="s">
        <v>272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J2" sqref="J2"/>
    </sheetView>
  </sheetViews>
  <sheetFormatPr defaultRowHeight="15" x14ac:dyDescent="0.25"/>
  <cols>
    <col min="1" max="1" width="14.140625" style="14" bestFit="1" customWidth="1"/>
    <col min="2" max="2" width="14.140625" style="14" customWidth="1"/>
    <col min="3" max="3" width="16.85546875" style="14" bestFit="1" customWidth="1"/>
    <col min="4" max="4" width="16.85546875" style="14" customWidth="1"/>
    <col min="5" max="5" width="13.140625" style="14" bestFit="1" customWidth="1"/>
    <col min="6" max="6" width="16.140625" style="14" bestFit="1" customWidth="1"/>
    <col min="7" max="7" width="9.140625" style="14" customWidth="1"/>
    <col min="8" max="8" width="39.5703125" style="14" bestFit="1" customWidth="1"/>
    <col min="9" max="9" width="10.28515625" style="14" bestFit="1" customWidth="1"/>
    <col min="10" max="10" width="19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9" t="s">
        <v>99</v>
      </c>
      <c r="B1" s="9" t="s">
        <v>304</v>
      </c>
      <c r="C1" s="9" t="s">
        <v>100</v>
      </c>
      <c r="D1" s="9" t="s">
        <v>305</v>
      </c>
      <c r="E1" s="9" t="s">
        <v>101</v>
      </c>
      <c r="F1" s="9" t="s">
        <v>102</v>
      </c>
      <c r="G1" s="9" t="s">
        <v>6</v>
      </c>
      <c r="H1" s="9" t="s">
        <v>133</v>
      </c>
      <c r="I1" s="9" t="s">
        <v>48</v>
      </c>
      <c r="J1" s="15" t="s">
        <v>215</v>
      </c>
      <c r="K1" s="14" t="s">
        <v>127</v>
      </c>
    </row>
    <row r="2" spans="1:11" x14ac:dyDescent="0.25">
      <c r="A2" s="13" t="s">
        <v>492</v>
      </c>
      <c r="B2" s="13" t="s">
        <v>10</v>
      </c>
      <c r="C2" s="13" t="s">
        <v>533</v>
      </c>
      <c r="D2" s="13" t="s">
        <v>535</v>
      </c>
      <c r="E2" s="13" t="s">
        <v>534</v>
      </c>
      <c r="F2" s="13" t="s">
        <v>536</v>
      </c>
      <c r="G2" s="9" t="s">
        <v>81</v>
      </c>
      <c r="H2" s="7" t="s">
        <v>363</v>
      </c>
      <c r="I2" s="9" t="s">
        <v>49</v>
      </c>
      <c r="J2" s="15" t="s">
        <v>207</v>
      </c>
    </row>
    <row r="3" spans="1:11" x14ac:dyDescent="0.25">
      <c r="A3" s="13" t="s">
        <v>491</v>
      </c>
      <c r="B3" s="13" t="s">
        <v>10</v>
      </c>
      <c r="C3" s="13" t="s">
        <v>537</v>
      </c>
      <c r="D3" s="13" t="s">
        <v>539</v>
      </c>
      <c r="E3" s="13" t="s">
        <v>538</v>
      </c>
      <c r="F3" s="13" t="s">
        <v>540</v>
      </c>
      <c r="G3" s="9" t="s">
        <v>82</v>
      </c>
      <c r="H3" s="7" t="s">
        <v>364</v>
      </c>
      <c r="I3" s="9" t="s">
        <v>49</v>
      </c>
      <c r="J3" s="15" t="s">
        <v>207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B2" sqref="B2:B5"/>
    </sheetView>
  </sheetViews>
  <sheetFormatPr defaultRowHeight="15" x14ac:dyDescent="0.25"/>
  <cols>
    <col min="1" max="1" width="14.140625" style="14" bestFit="1" customWidth="1"/>
    <col min="2" max="2" width="13.85546875" style="14" bestFit="1" customWidth="1"/>
    <col min="3" max="3" width="9.140625" style="14"/>
    <col min="4" max="4" width="39.5703125" style="14" bestFit="1" customWidth="1"/>
    <col min="5" max="5" width="10.28515625" style="14" bestFit="1" customWidth="1"/>
    <col min="6" max="6" width="19" style="14" bestFit="1" customWidth="1"/>
    <col min="7" max="7" width="19.28515625" style="14" bestFit="1" customWidth="1"/>
    <col min="8" max="16384" width="9.140625" style="14"/>
  </cols>
  <sheetData>
    <row r="1" spans="1:7" x14ac:dyDescent="0.25">
      <c r="A1" s="6" t="s">
        <v>100</v>
      </c>
      <c r="B1" s="9" t="s">
        <v>334</v>
      </c>
      <c r="C1" s="9" t="s">
        <v>6</v>
      </c>
      <c r="D1" s="9" t="s">
        <v>133</v>
      </c>
      <c r="E1" s="9" t="s">
        <v>48</v>
      </c>
      <c r="F1" s="15" t="s">
        <v>215</v>
      </c>
      <c r="G1" s="14" t="s">
        <v>127</v>
      </c>
    </row>
    <row r="2" spans="1:7" x14ac:dyDescent="0.25">
      <c r="A2" s="13" t="s">
        <v>530</v>
      </c>
      <c r="B2" s="13" t="s">
        <v>10</v>
      </c>
      <c r="C2" s="9" t="s">
        <v>81</v>
      </c>
      <c r="D2" s="7" t="s">
        <v>356</v>
      </c>
      <c r="E2" s="9" t="s">
        <v>49</v>
      </c>
      <c r="F2" s="15" t="s">
        <v>207</v>
      </c>
    </row>
    <row r="3" spans="1:7" x14ac:dyDescent="0.25">
      <c r="A3" s="13" t="s">
        <v>279</v>
      </c>
      <c r="B3" s="13" t="s">
        <v>10</v>
      </c>
      <c r="C3" s="9" t="s">
        <v>82</v>
      </c>
      <c r="D3" s="7" t="s">
        <v>360</v>
      </c>
      <c r="E3" s="9" t="s">
        <v>49</v>
      </c>
      <c r="F3" s="15" t="s">
        <v>207</v>
      </c>
    </row>
    <row r="4" spans="1:7" x14ac:dyDescent="0.25">
      <c r="A4" s="13" t="s">
        <v>531</v>
      </c>
      <c r="B4" s="13" t="s">
        <v>10</v>
      </c>
      <c r="C4" s="9" t="s">
        <v>235</v>
      </c>
      <c r="D4" s="7" t="s">
        <v>359</v>
      </c>
      <c r="E4" s="9" t="s">
        <v>49</v>
      </c>
      <c r="F4" s="15" t="s">
        <v>207</v>
      </c>
    </row>
    <row r="5" spans="1:7" x14ac:dyDescent="0.25">
      <c r="A5" s="13" t="s">
        <v>531</v>
      </c>
      <c r="B5" s="13" t="s">
        <v>10</v>
      </c>
      <c r="C5" s="9" t="s">
        <v>236</v>
      </c>
      <c r="D5" s="7" t="s">
        <v>358</v>
      </c>
      <c r="E5" s="9" t="s">
        <v>49</v>
      </c>
      <c r="F5" s="15" t="s">
        <v>207</v>
      </c>
    </row>
    <row r="6" spans="1:7" x14ac:dyDescent="0.25">
      <c r="A6" s="13" t="s">
        <v>544</v>
      </c>
      <c r="B6" s="13" t="s">
        <v>10</v>
      </c>
      <c r="C6" s="9" t="s">
        <v>333</v>
      </c>
      <c r="D6" s="7" t="s">
        <v>361</v>
      </c>
      <c r="E6" s="9" t="s">
        <v>49</v>
      </c>
      <c r="F6" s="15" t="s">
        <v>207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2" sqref="B2"/>
    </sheetView>
  </sheetViews>
  <sheetFormatPr defaultRowHeight="15" x14ac:dyDescent="0.25"/>
  <cols>
    <col min="1" max="1" width="10.140625" bestFit="1" customWidth="1"/>
    <col min="2" max="2" width="11.5703125" bestFit="1" customWidth="1"/>
    <col min="4" max="4" width="39.5703125" bestFit="1" customWidth="1"/>
  </cols>
  <sheetData>
    <row r="1" spans="1:7" x14ac:dyDescent="0.25">
      <c r="A1" s="6" t="s">
        <v>100</v>
      </c>
      <c r="B1" s="9" t="s">
        <v>334</v>
      </c>
      <c r="C1" s="9" t="s">
        <v>6</v>
      </c>
      <c r="D1" s="9" t="s">
        <v>133</v>
      </c>
      <c r="E1" s="9" t="s">
        <v>48</v>
      </c>
      <c r="F1" s="15" t="s">
        <v>215</v>
      </c>
      <c r="G1" s="14" t="s">
        <v>127</v>
      </c>
    </row>
    <row r="2" spans="1:7" x14ac:dyDescent="0.25">
      <c r="A2" s="13" t="s">
        <v>545</v>
      </c>
      <c r="B2" s="13" t="s">
        <v>10</v>
      </c>
      <c r="C2" s="9" t="s">
        <v>81</v>
      </c>
      <c r="D2" s="7" t="s">
        <v>362</v>
      </c>
      <c r="E2" s="9" t="s">
        <v>49</v>
      </c>
      <c r="F2" s="15" t="s">
        <v>207</v>
      </c>
      <c r="G2" s="14"/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I3" sqref="I3"/>
    </sheetView>
  </sheetViews>
  <sheetFormatPr defaultRowHeight="15" x14ac:dyDescent="0.25"/>
  <cols>
    <col min="1" max="1" width="9.140625" style="14"/>
    <col min="2" max="2" width="34.7109375" style="14" bestFit="1" customWidth="1"/>
    <col min="3" max="3" width="10.28515625" style="14" bestFit="1" customWidth="1"/>
    <col min="4" max="4" width="15.140625" style="14" bestFit="1" customWidth="1"/>
    <col min="5" max="5" width="14.140625" style="14" customWidth="1"/>
    <col min="6" max="6" width="15.85546875" style="14" bestFit="1" customWidth="1"/>
    <col min="7" max="7" width="16.85546875" style="14" customWidth="1"/>
    <col min="8" max="8" width="14.140625" style="14" bestFit="1" customWidth="1"/>
    <col min="9" max="9" width="15.140625" style="14" bestFit="1" customWidth="1"/>
    <col min="10" max="10" width="19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9" t="s">
        <v>6</v>
      </c>
      <c r="B1" s="9" t="s">
        <v>133</v>
      </c>
      <c r="C1" s="9" t="s">
        <v>48</v>
      </c>
      <c r="D1" s="9" t="s">
        <v>99</v>
      </c>
      <c r="E1" s="9" t="s">
        <v>304</v>
      </c>
      <c r="F1" s="9" t="s">
        <v>100</v>
      </c>
      <c r="G1" s="9" t="s">
        <v>305</v>
      </c>
      <c r="H1" s="9" t="s">
        <v>101</v>
      </c>
      <c r="I1" s="9" t="s">
        <v>102</v>
      </c>
      <c r="J1" s="15" t="s">
        <v>215</v>
      </c>
      <c r="K1" s="14" t="s">
        <v>127</v>
      </c>
    </row>
    <row r="2" spans="1:11" x14ac:dyDescent="0.25">
      <c r="A2" s="9" t="s">
        <v>81</v>
      </c>
      <c r="B2" s="7" t="s">
        <v>357</v>
      </c>
      <c r="C2" s="9" t="s">
        <v>49</v>
      </c>
      <c r="D2" s="7" t="s">
        <v>541</v>
      </c>
      <c r="E2" s="13" t="s">
        <v>10</v>
      </c>
      <c r="F2" s="7" t="s">
        <v>542</v>
      </c>
      <c r="G2" s="21" t="s">
        <v>493</v>
      </c>
      <c r="H2" s="13" t="s">
        <v>543</v>
      </c>
      <c r="I2" s="7" t="s">
        <v>495</v>
      </c>
      <c r="J2" s="15" t="s">
        <v>207</v>
      </c>
    </row>
  </sheetData>
  <pageMargins left="0.7" right="0.7" top="0.75" bottom="0.75" header="0.3" footer="0.3"/>
  <pageSetup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3" sqref="A3"/>
    </sheetView>
  </sheetViews>
  <sheetFormatPr defaultRowHeight="15" x14ac:dyDescent="0.25"/>
  <cols>
    <col min="1" max="1" width="15.7109375" style="14" bestFit="1" customWidth="1"/>
    <col min="2" max="2" width="10" style="14" customWidth="1"/>
    <col min="3" max="3" width="39.570312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335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</row>
    <row r="2" spans="1:6" x14ac:dyDescent="0.25">
      <c r="A2" s="9" t="s">
        <v>543</v>
      </c>
      <c r="B2" s="9" t="s">
        <v>81</v>
      </c>
      <c r="C2" s="7" t="s">
        <v>355</v>
      </c>
      <c r="D2" s="9" t="s">
        <v>49</v>
      </c>
      <c r="E2" s="15" t="s">
        <v>207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3" sqref="A3"/>
    </sheetView>
  </sheetViews>
  <sheetFormatPr defaultRowHeight="15" x14ac:dyDescent="0.25"/>
  <cols>
    <col min="1" max="1" width="15.7109375" style="14" bestFit="1" customWidth="1"/>
    <col min="2" max="2" width="10" style="14" customWidth="1"/>
    <col min="3" max="3" width="39.570312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335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</row>
    <row r="2" spans="1:6" x14ac:dyDescent="0.25">
      <c r="A2" s="9" t="s">
        <v>279</v>
      </c>
      <c r="B2" s="9" t="s">
        <v>81</v>
      </c>
      <c r="C2" s="7" t="s">
        <v>354</v>
      </c>
      <c r="D2" s="9" t="s">
        <v>49</v>
      </c>
      <c r="E2" s="15" t="s">
        <v>49</v>
      </c>
    </row>
  </sheetData>
  <pageMargins left="0.7" right="0.7" top="0.75" bottom="0.75" header="0.3" footer="0.3"/>
  <pageSetup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2" sqref="C2"/>
    </sheetView>
  </sheetViews>
  <sheetFormatPr defaultRowHeight="15" x14ac:dyDescent="0.25"/>
  <cols>
    <col min="1" max="1" width="15" bestFit="1" customWidth="1"/>
    <col min="2" max="2" width="16.140625" bestFit="1" customWidth="1"/>
    <col min="3" max="3" width="20" bestFit="1" customWidth="1"/>
    <col min="4" max="4" width="17.5703125" bestFit="1" customWidth="1"/>
    <col min="5" max="5" width="3.28515625" bestFit="1" customWidth="1"/>
    <col min="6" max="6" width="10.28515625" bestFit="1" customWidth="1"/>
    <col min="7" max="7" width="11" bestFit="1" customWidth="1"/>
    <col min="8" max="8" width="36.28515625" bestFit="1" customWidth="1"/>
  </cols>
  <sheetData>
    <row r="1" spans="1:8" x14ac:dyDescent="0.25">
      <c r="A1" s="15" t="s">
        <v>66</v>
      </c>
      <c r="B1" s="15" t="s">
        <v>67</v>
      </c>
      <c r="C1" s="15" t="s">
        <v>68</v>
      </c>
      <c r="D1" s="15" t="s">
        <v>69</v>
      </c>
      <c r="E1" s="15" t="s">
        <v>6</v>
      </c>
      <c r="F1" s="14" t="s">
        <v>48</v>
      </c>
      <c r="G1" s="15" t="s">
        <v>65</v>
      </c>
      <c r="H1" s="9" t="s">
        <v>133</v>
      </c>
    </row>
    <row r="2" spans="1:8" x14ac:dyDescent="0.25">
      <c r="A2" s="15" t="s">
        <v>336</v>
      </c>
      <c r="B2" s="15" t="s">
        <v>71</v>
      </c>
      <c r="C2" s="6" t="str">
        <f ca="1">TEXT(NOW(),"YYYY-MM-DD")</f>
        <v>2026-09-03</v>
      </c>
      <c r="D2" s="6" t="str">
        <f ca="1">TEXT(NOW(),"YYYY-MM-DD")</f>
        <v>2026-09-03</v>
      </c>
      <c r="E2" s="7" t="s">
        <v>45</v>
      </c>
      <c r="F2" s="15" t="s">
        <v>49</v>
      </c>
      <c r="G2" s="15" t="s">
        <v>306</v>
      </c>
      <c r="H2" s="7" t="s">
        <v>338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"/>
    </sheetView>
  </sheetViews>
  <sheetFormatPr defaultRowHeight="15" x14ac:dyDescent="0.25"/>
  <cols>
    <col min="3" max="3" width="36.28515625" bestFit="1" customWidth="1"/>
  </cols>
  <sheetData>
    <row r="1" spans="1:6" x14ac:dyDescent="0.25">
      <c r="A1" s="14" t="s">
        <v>319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</row>
    <row r="2" spans="1:6" x14ac:dyDescent="0.25">
      <c r="A2" s="9" t="s">
        <v>625</v>
      </c>
      <c r="B2" s="9" t="s">
        <v>45</v>
      </c>
      <c r="C2" s="7" t="s">
        <v>337</v>
      </c>
      <c r="D2" s="9" t="s">
        <v>49</v>
      </c>
      <c r="E2" s="15" t="s">
        <v>207</v>
      </c>
      <c r="F2" s="14"/>
    </row>
  </sheetData>
  <pageMargins left="0.7" right="0.7" top="0.75" bottom="0.75" header="0.3" footer="0.3"/>
  <pageSetup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G3" sqref="G3"/>
    </sheetView>
  </sheetViews>
  <sheetFormatPr defaultRowHeight="15" x14ac:dyDescent="0.25"/>
  <cols>
    <col min="1" max="1" width="15" style="14" bestFit="1" customWidth="1"/>
    <col min="2" max="2" width="16.140625" style="14" bestFit="1" customWidth="1"/>
    <col min="3" max="3" width="20" style="14" bestFit="1" customWidth="1"/>
    <col min="4" max="4" width="17.5703125" style="14" bestFit="1" customWidth="1"/>
    <col min="5" max="5" width="9.140625" style="14"/>
    <col min="6" max="6" width="10.28515625" style="14" bestFit="1" customWidth="1"/>
    <col min="7" max="7" width="11" style="14" bestFit="1" customWidth="1"/>
    <col min="8" max="16384" width="9.140625" style="14"/>
  </cols>
  <sheetData>
    <row r="1" spans="1:7" x14ac:dyDescent="0.25">
      <c r="A1" s="15" t="s">
        <v>66</v>
      </c>
      <c r="B1" s="15" t="s">
        <v>67</v>
      </c>
      <c r="C1" s="15" t="s">
        <v>68</v>
      </c>
      <c r="D1" s="15" t="s">
        <v>69</v>
      </c>
      <c r="E1" s="15" t="s">
        <v>6</v>
      </c>
      <c r="F1" s="14" t="s">
        <v>48</v>
      </c>
      <c r="G1" s="15" t="s">
        <v>65</v>
      </c>
    </row>
    <row r="2" spans="1:7" x14ac:dyDescent="0.25">
      <c r="A2" s="15" t="s">
        <v>336</v>
      </c>
      <c r="B2" s="15" t="s">
        <v>71</v>
      </c>
      <c r="C2" s="6" t="str">
        <f t="shared" ref="C2:D7" ca="1" si="0">TEXT(NOW(),"YYYY-MM-DD")</f>
        <v>2026-09-03</v>
      </c>
      <c r="D2" s="6" t="str">
        <f t="shared" ca="1" si="0"/>
        <v>2026-09-03</v>
      </c>
      <c r="E2" s="7" t="s">
        <v>45</v>
      </c>
      <c r="F2" s="15" t="s">
        <v>49</v>
      </c>
      <c r="G2" s="15" t="s">
        <v>339</v>
      </c>
    </row>
    <row r="3" spans="1:7" x14ac:dyDescent="0.25">
      <c r="A3" s="15" t="s">
        <v>336</v>
      </c>
      <c r="B3" s="15" t="s">
        <v>71</v>
      </c>
      <c r="C3" s="6" t="str">
        <f t="shared" ca="1" si="0"/>
        <v>2026-09-03</v>
      </c>
      <c r="D3" s="6" t="str">
        <f t="shared" ca="1" si="0"/>
        <v>2026-09-03</v>
      </c>
      <c r="E3" s="7" t="s">
        <v>78</v>
      </c>
      <c r="F3" s="15" t="s">
        <v>49</v>
      </c>
      <c r="G3" s="15" t="s">
        <v>340</v>
      </c>
    </row>
    <row r="4" spans="1:7" x14ac:dyDescent="0.25">
      <c r="A4" s="15" t="s">
        <v>336</v>
      </c>
      <c r="B4" s="15" t="s">
        <v>71</v>
      </c>
      <c r="C4" s="6" t="str">
        <f t="shared" ca="1" si="0"/>
        <v>2026-09-03</v>
      </c>
      <c r="D4" s="6" t="str">
        <f t="shared" ca="1" si="0"/>
        <v>2026-09-03</v>
      </c>
      <c r="E4" s="7" t="s">
        <v>79</v>
      </c>
      <c r="F4" s="15" t="s">
        <v>49</v>
      </c>
      <c r="G4" s="15" t="s">
        <v>341</v>
      </c>
    </row>
    <row r="5" spans="1:7" x14ac:dyDescent="0.25">
      <c r="A5" s="15" t="s">
        <v>336</v>
      </c>
      <c r="B5" s="15" t="s">
        <v>71</v>
      </c>
      <c r="C5" s="6" t="str">
        <f t="shared" ca="1" si="0"/>
        <v>2026-09-03</v>
      </c>
      <c r="D5" s="6" t="str">
        <f t="shared" ca="1" si="0"/>
        <v>2026-09-03</v>
      </c>
      <c r="E5" s="7" t="s">
        <v>87</v>
      </c>
      <c r="F5" s="15" t="s">
        <v>49</v>
      </c>
      <c r="G5" s="15" t="s">
        <v>306</v>
      </c>
    </row>
    <row r="6" spans="1:7" x14ac:dyDescent="0.25">
      <c r="A6" s="15" t="s">
        <v>336</v>
      </c>
      <c r="B6" s="15" t="s">
        <v>71</v>
      </c>
      <c r="C6" s="6" t="str">
        <f t="shared" ca="1" si="0"/>
        <v>2026-09-03</v>
      </c>
      <c r="D6" s="6" t="str">
        <f t="shared" ca="1" si="0"/>
        <v>2026-09-03</v>
      </c>
      <c r="E6" s="7" t="s">
        <v>119</v>
      </c>
      <c r="F6" s="15" t="s">
        <v>49</v>
      </c>
      <c r="G6" s="15" t="s">
        <v>342</v>
      </c>
    </row>
    <row r="7" spans="1:7" x14ac:dyDescent="0.25">
      <c r="A7" s="15" t="s">
        <v>336</v>
      </c>
      <c r="B7" s="15" t="s">
        <v>71</v>
      </c>
      <c r="C7" s="6" t="str">
        <f t="shared" ca="1" si="0"/>
        <v>2026-09-03</v>
      </c>
      <c r="D7" s="6" t="str">
        <f t="shared" ca="1" si="0"/>
        <v>2026-09-03</v>
      </c>
      <c r="E7" s="7" t="s">
        <v>120</v>
      </c>
      <c r="F7" s="15" t="s">
        <v>49</v>
      </c>
      <c r="G7" s="15" t="s">
        <v>272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5" sqref="A5"/>
    </sheetView>
  </sheetViews>
  <sheetFormatPr defaultRowHeight="15" x14ac:dyDescent="0.25"/>
  <cols>
    <col min="1" max="1" width="15.7109375" style="14" bestFit="1" customWidth="1"/>
    <col min="2" max="2" width="9.140625" style="14"/>
    <col min="3" max="3" width="69.14062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335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</row>
    <row r="2" spans="1:6" x14ac:dyDescent="0.25">
      <c r="A2" s="14" t="s">
        <v>543</v>
      </c>
      <c r="B2" s="9" t="s">
        <v>81</v>
      </c>
      <c r="C2" s="7" t="s">
        <v>343</v>
      </c>
      <c r="D2" s="9" t="s">
        <v>49</v>
      </c>
      <c r="E2" s="15" t="s">
        <v>207</v>
      </c>
    </row>
    <row r="3" spans="1:6" x14ac:dyDescent="0.25">
      <c r="A3" s="14" t="s">
        <v>598</v>
      </c>
      <c r="B3" s="9" t="s">
        <v>106</v>
      </c>
      <c r="C3" s="7" t="s">
        <v>343</v>
      </c>
      <c r="D3" s="9" t="s">
        <v>49</v>
      </c>
      <c r="E3" s="15" t="s">
        <v>207</v>
      </c>
    </row>
    <row r="4" spans="1:6" x14ac:dyDescent="0.25">
      <c r="A4" s="14" t="s">
        <v>543</v>
      </c>
      <c r="B4" s="9" t="s">
        <v>108</v>
      </c>
      <c r="C4" s="7" t="s">
        <v>343</v>
      </c>
      <c r="D4" s="9" t="s">
        <v>49</v>
      </c>
      <c r="E4" s="15" t="s">
        <v>207</v>
      </c>
    </row>
    <row r="5" spans="1:6" x14ac:dyDescent="0.25">
      <c r="A5" s="9" t="s">
        <v>575</v>
      </c>
      <c r="B5" s="9" t="s">
        <v>110</v>
      </c>
      <c r="C5" s="7" t="s">
        <v>343</v>
      </c>
      <c r="D5" s="9" t="s">
        <v>49</v>
      </c>
      <c r="E5" s="15" t="s">
        <v>207</v>
      </c>
    </row>
    <row r="6" spans="1:6" x14ac:dyDescent="0.25">
      <c r="A6" s="14" t="s">
        <v>543</v>
      </c>
      <c r="B6" s="9" t="s">
        <v>121</v>
      </c>
      <c r="C6" s="7" t="s">
        <v>343</v>
      </c>
      <c r="D6" s="9" t="s">
        <v>49</v>
      </c>
      <c r="E6" s="15" t="s">
        <v>207</v>
      </c>
    </row>
    <row r="7" spans="1:6" x14ac:dyDescent="0.25">
      <c r="A7" s="14" t="s">
        <v>543</v>
      </c>
      <c r="B7" s="9" t="s">
        <v>123</v>
      </c>
      <c r="C7" s="7" t="s">
        <v>343</v>
      </c>
      <c r="D7" s="9" t="s">
        <v>49</v>
      </c>
      <c r="E7" s="15" t="s">
        <v>207</v>
      </c>
    </row>
  </sheetData>
  <pageMargins left="0.7" right="0.7" top="0.75" bottom="0.75" header="0.3" footer="0.3"/>
  <pageSetup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8" sqref="A8"/>
    </sheetView>
  </sheetViews>
  <sheetFormatPr defaultRowHeight="15" x14ac:dyDescent="0.25"/>
  <cols>
    <col min="1" max="1" width="15.7109375" style="14" bestFit="1" customWidth="1"/>
    <col min="2" max="2" width="9.140625" style="14"/>
    <col min="3" max="3" width="43.8554687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334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</row>
    <row r="2" spans="1:6" x14ac:dyDescent="0.25">
      <c r="A2" s="9" t="s">
        <v>543</v>
      </c>
      <c r="B2" s="9" t="s">
        <v>45</v>
      </c>
      <c r="C2" s="7" t="s">
        <v>344</v>
      </c>
      <c r="D2" s="9" t="s">
        <v>49</v>
      </c>
      <c r="E2" s="15" t="s">
        <v>207</v>
      </c>
    </row>
    <row r="3" spans="1:6" x14ac:dyDescent="0.25">
      <c r="A3" s="9" t="s">
        <v>598</v>
      </c>
      <c r="B3" s="9" t="s">
        <v>78</v>
      </c>
      <c r="C3" s="7" t="s">
        <v>344</v>
      </c>
      <c r="D3" s="9" t="s">
        <v>49</v>
      </c>
      <c r="E3" s="15" t="s">
        <v>207</v>
      </c>
    </row>
    <row r="4" spans="1:6" x14ac:dyDescent="0.25">
      <c r="A4" s="9" t="s">
        <v>543</v>
      </c>
      <c r="B4" s="9" t="s">
        <v>79</v>
      </c>
      <c r="C4" s="7" t="s">
        <v>344</v>
      </c>
      <c r="D4" s="9" t="s">
        <v>49</v>
      </c>
      <c r="E4" s="15" t="s">
        <v>207</v>
      </c>
    </row>
    <row r="5" spans="1:6" x14ac:dyDescent="0.25">
      <c r="A5" s="9" t="s">
        <v>575</v>
      </c>
      <c r="B5" s="9" t="s">
        <v>87</v>
      </c>
      <c r="C5" s="7" t="s">
        <v>344</v>
      </c>
      <c r="D5" s="9" t="s">
        <v>49</v>
      </c>
      <c r="E5" s="15" t="s">
        <v>207</v>
      </c>
    </row>
    <row r="6" spans="1:6" x14ac:dyDescent="0.25">
      <c r="A6" s="9" t="s">
        <v>543</v>
      </c>
      <c r="B6" s="9" t="s">
        <v>119</v>
      </c>
      <c r="C6" s="7" t="s">
        <v>344</v>
      </c>
      <c r="D6" s="9" t="s">
        <v>49</v>
      </c>
      <c r="E6" s="15" t="s">
        <v>207</v>
      </c>
    </row>
    <row r="7" spans="1:6" x14ac:dyDescent="0.25">
      <c r="A7" s="9" t="s">
        <v>543</v>
      </c>
      <c r="B7" s="9" t="s">
        <v>120</v>
      </c>
      <c r="C7" s="7" t="s">
        <v>344</v>
      </c>
      <c r="D7" s="9" t="s">
        <v>49</v>
      </c>
      <c r="E7" s="15" t="s">
        <v>207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3" sqref="G3"/>
    </sheetView>
  </sheetViews>
  <sheetFormatPr defaultRowHeight="15" x14ac:dyDescent="0.25"/>
  <cols>
    <col min="1" max="1" width="15" style="14" bestFit="1" customWidth="1"/>
    <col min="2" max="2" width="16.140625" style="14" bestFit="1" customWidth="1"/>
    <col min="3" max="3" width="20" style="14" bestFit="1" customWidth="1"/>
    <col min="4" max="4" width="17.5703125" style="14" bestFit="1" customWidth="1"/>
    <col min="5" max="5" width="9.140625" style="14"/>
    <col min="6" max="6" width="10.28515625" style="14" bestFit="1" customWidth="1"/>
    <col min="7" max="7" width="11" style="14" bestFit="1" customWidth="1"/>
    <col min="8" max="16384" width="9.140625" style="14"/>
  </cols>
  <sheetData>
    <row r="1" spans="1:7" x14ac:dyDescent="0.25">
      <c r="A1" s="15" t="s">
        <v>66</v>
      </c>
      <c r="B1" s="15" t="s">
        <v>67</v>
      </c>
      <c r="C1" s="15" t="s">
        <v>68</v>
      </c>
      <c r="D1" s="15" t="s">
        <v>69</v>
      </c>
      <c r="E1" s="15" t="s">
        <v>6</v>
      </c>
      <c r="F1" s="14" t="s">
        <v>48</v>
      </c>
      <c r="G1" s="15" t="s">
        <v>65</v>
      </c>
    </row>
    <row r="2" spans="1:7" x14ac:dyDescent="0.25">
      <c r="A2" s="15" t="s">
        <v>336</v>
      </c>
      <c r="B2" s="15" t="s">
        <v>71</v>
      </c>
      <c r="C2" s="6" t="str">
        <f ca="1">TEXT(NOW(),"YYYY-MM-DD")</f>
        <v>2026-09-03</v>
      </c>
      <c r="D2" s="6" t="str">
        <f ca="1">TEXT(NOW(),"YYYY-MM-DD")</f>
        <v>2026-09-03</v>
      </c>
      <c r="E2" s="7" t="s">
        <v>45</v>
      </c>
      <c r="F2" s="15" t="s">
        <v>49</v>
      </c>
      <c r="G2" s="15" t="s">
        <v>340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H6" sqref="H6"/>
    </sheetView>
  </sheetViews>
  <sheetFormatPr defaultRowHeight="15" x14ac:dyDescent="0.25"/>
  <cols>
    <col min="1" max="1" width="14.140625" style="14" bestFit="1" customWidth="1"/>
    <col min="2" max="2" width="14.140625" style="14" customWidth="1"/>
    <col min="3" max="3" width="16.85546875" style="14" bestFit="1" customWidth="1"/>
    <col min="4" max="4" width="16.85546875" style="14" customWidth="1"/>
    <col min="5" max="5" width="13.140625" style="14" bestFit="1" customWidth="1"/>
    <col min="6" max="6" width="16.140625" style="14" bestFit="1" customWidth="1"/>
    <col min="7" max="7" width="9.140625" style="14" customWidth="1"/>
    <col min="8" max="8" width="39.5703125" style="14" bestFit="1" customWidth="1"/>
    <col min="9" max="9" width="10.28515625" style="14" bestFit="1" customWidth="1"/>
    <col min="10" max="10" width="19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9" t="s">
        <v>99</v>
      </c>
      <c r="B1" s="9" t="s">
        <v>304</v>
      </c>
      <c r="C1" s="9" t="s">
        <v>100</v>
      </c>
      <c r="D1" s="9" t="s">
        <v>305</v>
      </c>
      <c r="E1" s="9" t="s">
        <v>101</v>
      </c>
      <c r="F1" s="9" t="s">
        <v>102</v>
      </c>
      <c r="G1" s="9" t="s">
        <v>6</v>
      </c>
      <c r="H1" s="9" t="s">
        <v>133</v>
      </c>
      <c r="I1" s="9" t="s">
        <v>48</v>
      </c>
      <c r="J1" s="15" t="s">
        <v>215</v>
      </c>
      <c r="K1" s="14" t="s">
        <v>127</v>
      </c>
    </row>
    <row r="2" spans="1:11" x14ac:dyDescent="0.25">
      <c r="A2" s="13" t="s">
        <v>546</v>
      </c>
      <c r="B2" s="13" t="s">
        <v>10</v>
      </c>
      <c r="C2" s="13" t="s">
        <v>579</v>
      </c>
      <c r="D2" s="21" t="s">
        <v>582</v>
      </c>
      <c r="E2" s="13" t="s">
        <v>580</v>
      </c>
      <c r="F2" s="13" t="s">
        <v>581</v>
      </c>
      <c r="G2" s="9" t="s">
        <v>81</v>
      </c>
      <c r="H2" s="7" t="s">
        <v>439</v>
      </c>
      <c r="I2" s="9" t="s">
        <v>49</v>
      </c>
      <c r="J2" s="15" t="s">
        <v>207</v>
      </c>
    </row>
    <row r="3" spans="1:11" x14ac:dyDescent="0.25">
      <c r="A3" s="13" t="s">
        <v>491</v>
      </c>
      <c r="B3" s="13" t="s">
        <v>10</v>
      </c>
      <c r="C3" s="13" t="s">
        <v>583</v>
      </c>
      <c r="D3" s="25" t="s">
        <v>586</v>
      </c>
      <c r="E3" s="13" t="s">
        <v>584</v>
      </c>
      <c r="F3" s="13" t="s">
        <v>585</v>
      </c>
      <c r="G3" s="9" t="s">
        <v>82</v>
      </c>
      <c r="H3" s="7" t="s">
        <v>440</v>
      </c>
      <c r="I3" s="9" t="s">
        <v>49</v>
      </c>
      <c r="J3" s="15" t="s">
        <v>207</v>
      </c>
    </row>
  </sheetData>
  <pageMargins left="0.7" right="0.7" top="0.75" bottom="0.75" header="0.3" footer="0.3"/>
  <pageSetup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A7" sqref="A7"/>
    </sheetView>
  </sheetViews>
  <sheetFormatPr defaultRowHeight="15" x14ac:dyDescent="0.25"/>
  <cols>
    <col min="1" max="1" width="14.140625" style="14" bestFit="1" customWidth="1"/>
    <col min="2" max="2" width="13.85546875" style="14" bestFit="1" customWidth="1"/>
    <col min="3" max="3" width="9.140625" style="14"/>
    <col min="4" max="4" width="39.5703125" style="14" bestFit="1" customWidth="1"/>
    <col min="5" max="5" width="10.28515625" style="14" bestFit="1" customWidth="1"/>
    <col min="6" max="6" width="19" style="14" bestFit="1" customWidth="1"/>
    <col min="7" max="7" width="19.28515625" style="14" bestFit="1" customWidth="1"/>
    <col min="8" max="16384" width="9.140625" style="14"/>
  </cols>
  <sheetData>
    <row r="1" spans="1:7" x14ac:dyDescent="0.25">
      <c r="A1" s="6" t="s">
        <v>100</v>
      </c>
      <c r="B1" s="9" t="s">
        <v>334</v>
      </c>
      <c r="C1" s="9" t="s">
        <v>6</v>
      </c>
      <c r="D1" s="9" t="s">
        <v>133</v>
      </c>
      <c r="E1" s="9" t="s">
        <v>48</v>
      </c>
      <c r="F1" s="15" t="s">
        <v>215</v>
      </c>
      <c r="G1" s="14" t="s">
        <v>127</v>
      </c>
    </row>
    <row r="2" spans="1:7" x14ac:dyDescent="0.25">
      <c r="A2" s="13" t="s">
        <v>530</v>
      </c>
      <c r="B2" s="13" t="s">
        <v>10</v>
      </c>
      <c r="C2" s="9" t="s">
        <v>81</v>
      </c>
      <c r="D2" s="7" t="s">
        <v>398</v>
      </c>
      <c r="E2" s="9" t="s">
        <v>49</v>
      </c>
      <c r="F2" s="15" t="s">
        <v>207</v>
      </c>
    </row>
    <row r="3" spans="1:7" x14ac:dyDescent="0.25">
      <c r="A3" s="13" t="s">
        <v>279</v>
      </c>
      <c r="B3" s="13" t="s">
        <v>10</v>
      </c>
      <c r="C3" s="9" t="s">
        <v>82</v>
      </c>
      <c r="D3" s="7" t="s">
        <v>397</v>
      </c>
      <c r="E3" s="9" t="s">
        <v>49</v>
      </c>
      <c r="F3" s="15" t="s">
        <v>207</v>
      </c>
    </row>
    <row r="4" spans="1:7" x14ac:dyDescent="0.25">
      <c r="A4" s="13" t="s">
        <v>629</v>
      </c>
      <c r="B4" s="13" t="s">
        <v>10</v>
      </c>
      <c r="C4" s="9" t="s">
        <v>235</v>
      </c>
      <c r="D4" s="7" t="s">
        <v>399</v>
      </c>
      <c r="E4" s="9" t="s">
        <v>49</v>
      </c>
      <c r="F4" s="15" t="s">
        <v>207</v>
      </c>
    </row>
    <row r="5" spans="1:7" x14ac:dyDescent="0.25">
      <c r="A5" s="13" t="s">
        <v>629</v>
      </c>
      <c r="B5" s="13" t="s">
        <v>10</v>
      </c>
      <c r="C5" s="9" t="s">
        <v>236</v>
      </c>
      <c r="D5" s="7" t="s">
        <v>400</v>
      </c>
      <c r="E5" s="9" t="s">
        <v>49</v>
      </c>
      <c r="F5" s="15" t="s">
        <v>207</v>
      </c>
    </row>
    <row r="6" spans="1:7" x14ac:dyDescent="0.25">
      <c r="A6" s="13" t="s">
        <v>630</v>
      </c>
      <c r="B6" s="13" t="s">
        <v>10</v>
      </c>
      <c r="C6" s="9" t="s">
        <v>333</v>
      </c>
      <c r="D6" s="7" t="s">
        <v>401</v>
      </c>
      <c r="E6" s="9" t="s">
        <v>49</v>
      </c>
      <c r="F6" s="15" t="s">
        <v>207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3" sqref="A3"/>
    </sheetView>
  </sheetViews>
  <sheetFormatPr defaultRowHeight="15" x14ac:dyDescent="0.25"/>
  <cols>
    <col min="1" max="1" width="15.7109375" style="14" bestFit="1" customWidth="1"/>
    <col min="2" max="2" width="9.140625" style="14"/>
    <col min="3" max="3" width="42.4257812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335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</row>
    <row r="2" spans="1:6" x14ac:dyDescent="0.25">
      <c r="A2" s="14" t="s">
        <v>598</v>
      </c>
      <c r="B2" s="9" t="s">
        <v>81</v>
      </c>
      <c r="C2" s="7" t="s">
        <v>343</v>
      </c>
      <c r="D2" s="9" t="s">
        <v>49</v>
      </c>
      <c r="E2" s="15" t="s">
        <v>207</v>
      </c>
    </row>
  </sheetData>
  <pageMargins left="0.7" right="0.7" top="0.75" bottom="0.75" header="0.3" footer="0.3"/>
  <pageSetup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Normal="100" workbookViewId="0">
      <selection activeCell="E3" sqref="E3"/>
    </sheetView>
  </sheetViews>
  <sheetFormatPr defaultRowHeight="15" x14ac:dyDescent="0.25"/>
  <cols>
    <col min="1" max="1" width="15.7109375" style="14" bestFit="1" customWidth="1"/>
    <col min="2" max="2" width="10" style="14" customWidth="1"/>
    <col min="3" max="3" width="39.570312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335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</row>
    <row r="2" spans="1:6" x14ac:dyDescent="0.25">
      <c r="A2" s="9" t="s">
        <v>365</v>
      </c>
      <c r="B2" s="9" t="s">
        <v>81</v>
      </c>
      <c r="C2" s="7" t="s">
        <v>396</v>
      </c>
      <c r="D2" s="9" t="s">
        <v>49</v>
      </c>
      <c r="E2" s="15" t="s">
        <v>49</v>
      </c>
    </row>
  </sheetData>
  <pageMargins left="0.7" right="0.7" top="0.75" bottom="0.75" header="0.3" footer="0.3"/>
  <pageSetup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J2" sqref="J2"/>
    </sheetView>
  </sheetViews>
  <sheetFormatPr defaultRowHeight="15" x14ac:dyDescent="0.25"/>
  <cols>
    <col min="1" max="1" width="13.5703125" style="14" bestFit="1" customWidth="1"/>
    <col min="2" max="2" width="10.140625" style="14" bestFit="1" customWidth="1"/>
    <col min="3" max="3" width="12" style="14" bestFit="1" customWidth="1"/>
    <col min="4" max="4" width="10.42578125" style="14" bestFit="1" customWidth="1"/>
    <col min="5" max="5" width="6.5703125" style="14" bestFit="1" customWidth="1"/>
    <col min="6" max="6" width="11.5703125" style="14" bestFit="1" customWidth="1"/>
    <col min="7" max="7" width="6.5703125" style="14" customWidth="1"/>
    <col min="8" max="8" width="43.85546875" style="14" bestFit="1" customWidth="1"/>
    <col min="9" max="9" width="10.28515625" style="14" bestFit="1" customWidth="1"/>
    <col min="10" max="10" width="19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14" t="s">
        <v>99</v>
      </c>
      <c r="B1" s="14" t="s">
        <v>100</v>
      </c>
      <c r="C1" s="14" t="s">
        <v>102</v>
      </c>
      <c r="D1" s="14" t="s">
        <v>304</v>
      </c>
      <c r="E1" s="14" t="s">
        <v>305</v>
      </c>
      <c r="F1" s="14" t="s">
        <v>334</v>
      </c>
      <c r="G1" s="9" t="s">
        <v>6</v>
      </c>
      <c r="H1" s="9" t="s">
        <v>133</v>
      </c>
      <c r="I1" s="9" t="s">
        <v>48</v>
      </c>
      <c r="J1" s="15" t="s">
        <v>215</v>
      </c>
      <c r="K1" s="14" t="s">
        <v>127</v>
      </c>
    </row>
    <row r="2" spans="1:11" x14ac:dyDescent="0.25">
      <c r="A2" s="9" t="s">
        <v>596</v>
      </c>
      <c r="B2" s="9" t="s">
        <v>597</v>
      </c>
      <c r="C2" s="9" t="s">
        <v>599</v>
      </c>
      <c r="D2" s="9" t="s">
        <v>10</v>
      </c>
      <c r="E2" s="9" t="s">
        <v>498</v>
      </c>
      <c r="F2" s="9" t="s">
        <v>598</v>
      </c>
      <c r="G2" s="9" t="s">
        <v>81</v>
      </c>
      <c r="H2" s="7" t="s">
        <v>395</v>
      </c>
      <c r="I2" s="9" t="s">
        <v>49</v>
      </c>
      <c r="J2" s="15" t="s">
        <v>207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C3" sqref="C3"/>
    </sheetView>
  </sheetViews>
  <sheetFormatPr defaultRowHeight="15" x14ac:dyDescent="0.25"/>
  <cols>
    <col min="1" max="1" width="15" style="14" bestFit="1" customWidth="1"/>
    <col min="2" max="2" width="9.140625" style="14"/>
    <col min="3" max="3" width="20" style="14" bestFit="1" customWidth="1"/>
    <col min="4" max="4" width="17.5703125" style="14" bestFit="1" customWidth="1"/>
    <col min="5" max="6" width="9.140625" style="14"/>
    <col min="7" max="7" width="11" style="14" bestFit="1" customWidth="1"/>
    <col min="8" max="16384" width="9.140625" style="14"/>
  </cols>
  <sheetData>
    <row r="1" spans="1:7" x14ac:dyDescent="0.25">
      <c r="A1" s="15" t="s">
        <v>66</v>
      </c>
      <c r="B1" s="15" t="s">
        <v>67</v>
      </c>
      <c r="C1" s="15" t="s">
        <v>68</v>
      </c>
      <c r="D1" s="15" t="s">
        <v>69</v>
      </c>
      <c r="E1" s="15" t="s">
        <v>6</v>
      </c>
      <c r="F1" s="14" t="s">
        <v>48</v>
      </c>
      <c r="G1" s="15" t="s">
        <v>65</v>
      </c>
    </row>
    <row r="2" spans="1:7" x14ac:dyDescent="0.25">
      <c r="A2" s="15" t="s">
        <v>345</v>
      </c>
      <c r="B2" s="15" t="s">
        <v>71</v>
      </c>
      <c r="C2" s="13" t="str">
        <f ca="1">TEXT(NOW(),"YYYY-MM-DD")</f>
        <v>2026-09-03</v>
      </c>
      <c r="D2" s="6" t="str">
        <f ca="1">TEXT(NOW(),"YYYY-MM-DD")</f>
        <v>2026-09-03</v>
      </c>
      <c r="E2" s="7" t="s">
        <v>45</v>
      </c>
      <c r="F2" s="15" t="s">
        <v>49</v>
      </c>
      <c r="G2" s="15" t="s">
        <v>339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F4" sqref="F4"/>
    </sheetView>
  </sheetViews>
  <sheetFormatPr defaultRowHeight="15" x14ac:dyDescent="0.25"/>
  <cols>
    <col min="1" max="1" width="14.140625" style="14" bestFit="1" customWidth="1"/>
    <col min="2" max="2" width="14.140625" style="14" customWidth="1"/>
    <col min="3" max="3" width="16.85546875" style="14" bestFit="1" customWidth="1"/>
    <col min="4" max="4" width="16.85546875" style="14" customWidth="1"/>
    <col min="5" max="5" width="13.140625" style="14" bestFit="1" customWidth="1"/>
    <col min="6" max="6" width="16.140625" style="14" bestFit="1" customWidth="1"/>
    <col min="7" max="7" width="9.140625" style="14" customWidth="1"/>
    <col min="8" max="8" width="39.5703125" style="14" bestFit="1" customWidth="1"/>
    <col min="9" max="9" width="10.28515625" style="14" bestFit="1" customWidth="1"/>
    <col min="10" max="10" width="19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9" t="s">
        <v>99</v>
      </c>
      <c r="B1" s="9" t="s">
        <v>304</v>
      </c>
      <c r="C1" s="9" t="s">
        <v>100</v>
      </c>
      <c r="D1" s="9" t="s">
        <v>305</v>
      </c>
      <c r="E1" s="9" t="s">
        <v>101</v>
      </c>
      <c r="F1" s="9" t="s">
        <v>102</v>
      </c>
      <c r="G1" s="9" t="s">
        <v>6</v>
      </c>
      <c r="H1" s="9" t="s">
        <v>133</v>
      </c>
      <c r="I1" s="9" t="s">
        <v>48</v>
      </c>
      <c r="J1" s="15" t="s">
        <v>215</v>
      </c>
      <c r="K1" s="14" t="s">
        <v>127</v>
      </c>
    </row>
    <row r="2" spans="1:11" x14ac:dyDescent="0.25">
      <c r="A2" s="13" t="s">
        <v>10</v>
      </c>
      <c r="B2" s="13" t="s">
        <v>10</v>
      </c>
      <c r="C2" s="13" t="s">
        <v>558</v>
      </c>
      <c r="D2" s="13" t="s">
        <v>560</v>
      </c>
      <c r="E2" s="13" t="s">
        <v>559</v>
      </c>
      <c r="F2" s="13" t="s">
        <v>561</v>
      </c>
      <c r="G2" s="9" t="s">
        <v>81</v>
      </c>
      <c r="H2" s="7" t="s">
        <v>444</v>
      </c>
      <c r="I2" s="9" t="s">
        <v>49</v>
      </c>
      <c r="J2" s="15" t="s">
        <v>207</v>
      </c>
    </row>
    <row r="3" spans="1:11" x14ac:dyDescent="0.25">
      <c r="A3" s="13" t="s">
        <v>562</v>
      </c>
      <c r="B3" s="13" t="s">
        <v>10</v>
      </c>
      <c r="C3" s="13" t="s">
        <v>563</v>
      </c>
      <c r="D3" s="13" t="s">
        <v>564</v>
      </c>
      <c r="E3" s="13" t="s">
        <v>565</v>
      </c>
      <c r="F3" s="13" t="s">
        <v>566</v>
      </c>
      <c r="G3" s="9" t="s">
        <v>82</v>
      </c>
      <c r="H3" s="7" t="s">
        <v>443</v>
      </c>
      <c r="I3" s="9" t="s">
        <v>49</v>
      </c>
      <c r="J3" s="15" t="s">
        <v>207</v>
      </c>
    </row>
  </sheetData>
  <pageMargins left="0.7" right="0.7" top="0.75" bottom="0.75" header="0.3" footer="0.3"/>
  <pageSetup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3" sqref="A3"/>
    </sheetView>
  </sheetViews>
  <sheetFormatPr defaultRowHeight="15" x14ac:dyDescent="0.25"/>
  <cols>
    <col min="1" max="1" width="15.7109375" style="14" bestFit="1" customWidth="1"/>
    <col min="2" max="2" width="13.85546875" style="14" bestFit="1" customWidth="1"/>
    <col min="3" max="3" width="32.140625" style="14" bestFit="1" customWidth="1"/>
    <col min="4" max="4" width="14.140625" style="14" bestFit="1" customWidth="1"/>
    <col min="5" max="5" width="9.140625" style="14"/>
    <col min="6" max="6" width="19.28515625" style="14" bestFit="1" customWidth="1"/>
    <col min="7" max="7" width="10.28515625" style="14" bestFit="1" customWidth="1"/>
    <col min="8" max="8" width="19" style="14" bestFit="1" customWidth="1"/>
    <col min="9" max="9" width="19.28515625" style="14" bestFit="1" customWidth="1"/>
    <col min="10" max="16384" width="9.140625" style="14"/>
  </cols>
  <sheetData>
    <row r="1" spans="1:8" x14ac:dyDescent="0.25">
      <c r="A1" s="14" t="s">
        <v>335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  <c r="G1" s="9"/>
      <c r="H1" s="15"/>
    </row>
    <row r="2" spans="1:8" x14ac:dyDescent="0.25">
      <c r="A2" s="14" t="s">
        <v>569</v>
      </c>
      <c r="B2" s="9" t="s">
        <v>81</v>
      </c>
      <c r="C2" s="7" t="s">
        <v>343</v>
      </c>
      <c r="D2" s="9" t="s">
        <v>49</v>
      </c>
      <c r="E2" s="15" t="s">
        <v>207</v>
      </c>
      <c r="G2" s="9"/>
      <c r="H2" s="15"/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A7" sqref="A7"/>
    </sheetView>
  </sheetViews>
  <sheetFormatPr defaultRowHeight="15" x14ac:dyDescent="0.25"/>
  <cols>
    <col min="1" max="1" width="14.140625" style="14" bestFit="1" customWidth="1"/>
    <col min="2" max="2" width="13.85546875" style="14" bestFit="1" customWidth="1"/>
    <col min="3" max="3" width="9.140625" style="14"/>
    <col min="4" max="4" width="39.5703125" style="14" bestFit="1" customWidth="1"/>
    <col min="5" max="5" width="10.28515625" style="14" bestFit="1" customWidth="1"/>
    <col min="6" max="6" width="19" style="14" bestFit="1" customWidth="1"/>
    <col min="7" max="7" width="19.28515625" style="14" bestFit="1" customWidth="1"/>
    <col min="8" max="16384" width="9.140625" style="14"/>
  </cols>
  <sheetData>
    <row r="1" spans="1:7" x14ac:dyDescent="0.25">
      <c r="A1" s="6" t="s">
        <v>100</v>
      </c>
      <c r="B1" s="9" t="s">
        <v>334</v>
      </c>
      <c r="C1" s="9" t="s">
        <v>6</v>
      </c>
      <c r="D1" s="9" t="s">
        <v>133</v>
      </c>
      <c r="E1" s="9" t="s">
        <v>48</v>
      </c>
      <c r="F1" s="15" t="s">
        <v>215</v>
      </c>
      <c r="G1" s="14" t="s">
        <v>127</v>
      </c>
    </row>
    <row r="2" spans="1:7" x14ac:dyDescent="0.25">
      <c r="A2" s="13" t="s">
        <v>10</v>
      </c>
      <c r="B2" s="13" t="s">
        <v>10</v>
      </c>
      <c r="C2" s="9" t="s">
        <v>81</v>
      </c>
      <c r="D2" s="7" t="s">
        <v>405</v>
      </c>
      <c r="E2" s="9" t="s">
        <v>49</v>
      </c>
      <c r="F2" s="15" t="s">
        <v>207</v>
      </c>
    </row>
    <row r="3" spans="1:7" x14ac:dyDescent="0.25">
      <c r="A3" s="13" t="s">
        <v>10</v>
      </c>
      <c r="B3" s="13" t="s">
        <v>10</v>
      </c>
      <c r="C3" s="9" t="s">
        <v>82</v>
      </c>
      <c r="D3" s="7" t="s">
        <v>404</v>
      </c>
      <c r="E3" s="9" t="s">
        <v>49</v>
      </c>
      <c r="F3" s="15" t="s">
        <v>207</v>
      </c>
    </row>
    <row r="4" spans="1:7" x14ac:dyDescent="0.25">
      <c r="A4" s="13" t="s">
        <v>10</v>
      </c>
      <c r="B4" s="13" t="s">
        <v>10</v>
      </c>
      <c r="C4" s="9" t="s">
        <v>235</v>
      </c>
      <c r="D4" s="7" t="s">
        <v>406</v>
      </c>
      <c r="E4" s="9" t="s">
        <v>49</v>
      </c>
      <c r="F4" s="15" t="s">
        <v>207</v>
      </c>
    </row>
    <row r="5" spans="1:7" x14ac:dyDescent="0.25">
      <c r="A5" s="13" t="s">
        <v>10</v>
      </c>
      <c r="B5" s="13" t="s">
        <v>10</v>
      </c>
      <c r="C5" s="9" t="s">
        <v>236</v>
      </c>
      <c r="D5" s="7" t="s">
        <v>407</v>
      </c>
      <c r="E5" s="9" t="s">
        <v>49</v>
      </c>
      <c r="F5" s="15" t="s">
        <v>207</v>
      </c>
    </row>
    <row r="6" spans="1:7" x14ac:dyDescent="0.25">
      <c r="A6" s="13" t="s">
        <v>567</v>
      </c>
      <c r="B6" s="13" t="s">
        <v>10</v>
      </c>
      <c r="C6" s="9" t="s">
        <v>333</v>
      </c>
      <c r="D6" s="7" t="s">
        <v>408</v>
      </c>
      <c r="E6" s="9" t="s">
        <v>49</v>
      </c>
      <c r="F6" s="15" t="s">
        <v>207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F2" sqref="F2"/>
    </sheetView>
  </sheetViews>
  <sheetFormatPr defaultRowHeight="15" x14ac:dyDescent="0.25"/>
  <cols>
    <col min="1" max="1" width="10.140625" style="14" bestFit="1" customWidth="1"/>
    <col min="2" max="2" width="11.5703125" style="14" bestFit="1" customWidth="1"/>
    <col min="3" max="3" width="9.140625" style="14"/>
    <col min="4" max="4" width="39.5703125" style="14" bestFit="1" customWidth="1"/>
    <col min="5" max="16384" width="9.140625" style="14"/>
  </cols>
  <sheetData>
    <row r="1" spans="1:7" x14ac:dyDescent="0.25">
      <c r="A1" s="6" t="s">
        <v>100</v>
      </c>
      <c r="B1" s="9" t="s">
        <v>334</v>
      </c>
      <c r="C1" s="9" t="s">
        <v>6</v>
      </c>
      <c r="D1" s="9" t="s">
        <v>133</v>
      </c>
      <c r="E1" s="9" t="s">
        <v>48</v>
      </c>
      <c r="F1" s="15" t="s">
        <v>215</v>
      </c>
      <c r="G1" s="14" t="s">
        <v>127</v>
      </c>
    </row>
    <row r="2" spans="1:7" x14ac:dyDescent="0.25">
      <c r="A2" s="13" t="s">
        <v>568</v>
      </c>
      <c r="B2" s="13" t="s">
        <v>279</v>
      </c>
      <c r="C2" s="9" t="s">
        <v>81</v>
      </c>
      <c r="D2" s="7" t="s">
        <v>403</v>
      </c>
      <c r="E2" s="9" t="s">
        <v>49</v>
      </c>
      <c r="F2" s="14" t="s">
        <v>207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E3" sqref="E3"/>
    </sheetView>
  </sheetViews>
  <sheetFormatPr defaultRowHeight="15" x14ac:dyDescent="0.25"/>
  <cols>
    <col min="1" max="1" width="15.7109375" style="14" bestFit="1" customWidth="1"/>
    <col min="2" max="2" width="10" style="14" customWidth="1"/>
    <col min="3" max="3" width="39.570312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335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</row>
    <row r="2" spans="1:6" x14ac:dyDescent="0.25">
      <c r="A2" s="9" t="s">
        <v>279</v>
      </c>
      <c r="B2" s="9" t="s">
        <v>81</v>
      </c>
      <c r="C2" s="7" t="s">
        <v>402</v>
      </c>
      <c r="D2" s="9" t="s">
        <v>49</v>
      </c>
      <c r="E2" s="14" t="s">
        <v>49</v>
      </c>
    </row>
  </sheetData>
  <pageMargins left="0.7" right="0.7" top="0.75" bottom="0.75" header="0.3" footer="0.3"/>
  <pageSetup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D3" sqref="D3"/>
    </sheetView>
  </sheetViews>
  <sheetFormatPr defaultRowHeight="15" x14ac:dyDescent="0.25"/>
  <cols>
    <col min="1" max="1" width="13.5703125" style="14" bestFit="1" customWidth="1"/>
    <col min="2" max="2" width="10.140625" style="14" bestFit="1" customWidth="1"/>
    <col min="3" max="3" width="12" style="14" bestFit="1" customWidth="1"/>
    <col min="4" max="4" width="10.42578125" style="14" bestFit="1" customWidth="1"/>
    <col min="5" max="5" width="6.5703125" style="14" bestFit="1" customWidth="1"/>
    <col min="6" max="6" width="13.140625" style="14" bestFit="1" customWidth="1"/>
    <col min="7" max="7" width="9.140625" style="14"/>
    <col min="8" max="8" width="40.7109375" style="14" bestFit="1" customWidth="1"/>
    <col min="9" max="9" width="9.140625" style="14"/>
    <col min="10" max="10" width="19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14" t="s">
        <v>99</v>
      </c>
      <c r="B1" s="14" t="s">
        <v>100</v>
      </c>
      <c r="C1" s="14" t="s">
        <v>102</v>
      </c>
      <c r="D1" s="14" t="s">
        <v>304</v>
      </c>
      <c r="E1" s="14" t="s">
        <v>305</v>
      </c>
      <c r="F1" s="14" t="s">
        <v>334</v>
      </c>
      <c r="G1" s="9" t="s">
        <v>6</v>
      </c>
      <c r="H1" s="9" t="s">
        <v>133</v>
      </c>
      <c r="I1" s="9" t="s">
        <v>48</v>
      </c>
      <c r="J1" s="15" t="s">
        <v>215</v>
      </c>
      <c r="K1" s="14" t="s">
        <v>127</v>
      </c>
    </row>
    <row r="2" spans="1:11" x14ac:dyDescent="0.25">
      <c r="A2" s="14" t="s">
        <v>562</v>
      </c>
      <c r="B2" s="14" t="s">
        <v>549</v>
      </c>
      <c r="C2" s="14" t="s">
        <v>570</v>
      </c>
      <c r="D2" s="9" t="s">
        <v>10</v>
      </c>
      <c r="E2" s="9" t="s">
        <v>571</v>
      </c>
      <c r="F2" s="14" t="s">
        <v>569</v>
      </c>
      <c r="G2" s="9" t="s">
        <v>45</v>
      </c>
      <c r="H2" s="7" t="s">
        <v>346</v>
      </c>
      <c r="I2" s="9" t="s">
        <v>49</v>
      </c>
      <c r="J2" s="15" t="s">
        <v>207</v>
      </c>
    </row>
  </sheetData>
  <pageMargins left="0.7" right="0.7" top="0.75" bottom="0.75" header="0.3" footer="0.3"/>
  <pageSetup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C3" sqref="C3"/>
    </sheetView>
  </sheetViews>
  <sheetFormatPr defaultColWidth="9.140625" defaultRowHeight="15" x14ac:dyDescent="0.25"/>
  <cols>
    <col min="1" max="1" width="22.140625" style="14" bestFit="1" customWidth="1"/>
    <col min="2" max="2" width="12" style="14" customWidth="1"/>
    <col min="3" max="3" width="15.5703125" style="14" bestFit="1" customWidth="1"/>
    <col min="4" max="4" width="9.140625" style="14"/>
    <col min="5" max="5" width="20" style="14" bestFit="1" customWidth="1"/>
    <col min="6" max="6" width="19.28515625" style="14" bestFit="1" customWidth="1"/>
    <col min="7" max="7" width="10.5703125" style="14" bestFit="1" customWidth="1"/>
    <col min="8" max="16384" width="9.140625" style="14"/>
  </cols>
  <sheetData>
    <row r="1" spans="1:8" x14ac:dyDescent="0.25">
      <c r="A1" s="15" t="s">
        <v>29</v>
      </c>
      <c r="B1" s="15" t="s">
        <v>30</v>
      </c>
      <c r="C1" s="15" t="s">
        <v>33</v>
      </c>
      <c r="D1" s="15" t="s">
        <v>6</v>
      </c>
      <c r="E1" s="15" t="s">
        <v>133</v>
      </c>
      <c r="F1" s="14" t="s">
        <v>127</v>
      </c>
      <c r="G1" s="14" t="s">
        <v>128</v>
      </c>
      <c r="H1" s="14" t="s">
        <v>48</v>
      </c>
    </row>
    <row r="2" spans="1:8" x14ac:dyDescent="0.25">
      <c r="A2" s="15" t="s">
        <v>506</v>
      </c>
      <c r="B2" s="15" t="s">
        <v>237</v>
      </c>
      <c r="C2" s="7" t="s">
        <v>587</v>
      </c>
      <c r="D2" s="7" t="s">
        <v>45</v>
      </c>
      <c r="E2" s="16" t="s">
        <v>220</v>
      </c>
      <c r="F2" s="14" t="s">
        <v>131</v>
      </c>
      <c r="G2" s="14" t="s">
        <v>129</v>
      </c>
      <c r="H2" s="15" t="s">
        <v>49</v>
      </c>
    </row>
  </sheetData>
  <pageMargins left="0.7" right="0.7" top="0.75" bottom="0.75" header="0.3" footer="0.3"/>
  <pageSetup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A3" sqref="A3"/>
    </sheetView>
  </sheetViews>
  <sheetFormatPr defaultRowHeight="15" x14ac:dyDescent="0.25"/>
  <cols>
    <col min="1" max="1" width="22.140625" style="14" bestFit="1" customWidth="1"/>
    <col min="2" max="2" width="12.28515625" style="14" bestFit="1" customWidth="1"/>
    <col min="3" max="3" width="12.28515625" style="14" customWidth="1"/>
    <col min="4" max="4" width="11" style="14" bestFit="1" customWidth="1"/>
    <col min="5" max="16384" width="9.140625" style="14"/>
  </cols>
  <sheetData>
    <row r="1" spans="1:4" x14ac:dyDescent="0.25">
      <c r="A1" s="15" t="s">
        <v>33</v>
      </c>
      <c r="B1" s="15" t="s">
        <v>6</v>
      </c>
      <c r="C1" s="14" t="s">
        <v>48</v>
      </c>
      <c r="D1" s="15" t="s">
        <v>65</v>
      </c>
    </row>
    <row r="2" spans="1:4" x14ac:dyDescent="0.25">
      <c r="A2" s="7" t="s">
        <v>587</v>
      </c>
      <c r="B2" s="15" t="s">
        <v>45</v>
      </c>
      <c r="C2" s="15" t="s">
        <v>49</v>
      </c>
      <c r="D2" s="7" t="s">
        <v>340</v>
      </c>
    </row>
  </sheetData>
  <pageMargins left="0.7" right="0.7" top="0.75" bottom="0.75" header="0.3" footer="0.3"/>
  <pageSetup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E3" sqref="E3"/>
    </sheetView>
  </sheetViews>
  <sheetFormatPr defaultRowHeight="15" x14ac:dyDescent="0.25"/>
  <cols>
    <col min="1" max="1" width="8.140625" style="14" bestFit="1" customWidth="1"/>
    <col min="2" max="2" width="7.85546875" style="14" bestFit="1" customWidth="1"/>
    <col min="3" max="3" width="13.28515625" style="14" bestFit="1" customWidth="1"/>
    <col min="4" max="4" width="11.7109375" style="14" bestFit="1" customWidth="1"/>
    <col min="5" max="5" width="15.5703125" style="14" bestFit="1" customWidth="1"/>
    <col min="6" max="6" width="3.28515625" style="14" bestFit="1" customWidth="1"/>
    <col min="7" max="7" width="20" style="14" bestFit="1" customWidth="1"/>
    <col min="8" max="8" width="19.28515625" style="14" bestFit="1" customWidth="1"/>
    <col min="9" max="9" width="10.5703125" style="14" bestFit="1" customWidth="1"/>
    <col min="10" max="10" width="10.28515625" style="14" bestFit="1" customWidth="1"/>
    <col min="11" max="16384" width="9.140625" style="14"/>
  </cols>
  <sheetData>
    <row r="1" spans="1:10" x14ac:dyDescent="0.25">
      <c r="A1" s="15" t="s">
        <v>29</v>
      </c>
      <c r="B1" s="15" t="s">
        <v>30</v>
      </c>
      <c r="C1" s="15" t="s">
        <v>31</v>
      </c>
      <c r="D1" s="15" t="s">
        <v>32</v>
      </c>
      <c r="E1" s="15" t="s">
        <v>33</v>
      </c>
      <c r="F1" s="15" t="s">
        <v>6</v>
      </c>
      <c r="G1" s="15" t="s">
        <v>133</v>
      </c>
      <c r="H1" s="14" t="s">
        <v>127</v>
      </c>
      <c r="I1" s="14" t="s">
        <v>128</v>
      </c>
      <c r="J1" s="14" t="s">
        <v>48</v>
      </c>
    </row>
    <row r="2" spans="1:10" x14ac:dyDescent="0.25">
      <c r="A2" s="15" t="s">
        <v>506</v>
      </c>
      <c r="B2" s="15" t="s">
        <v>217</v>
      </c>
      <c r="C2" s="15" t="s">
        <v>507</v>
      </c>
      <c r="D2" s="15" t="s">
        <v>507</v>
      </c>
      <c r="E2" s="15" t="s">
        <v>589</v>
      </c>
      <c r="F2" s="7" t="s">
        <v>45</v>
      </c>
      <c r="G2" s="16" t="s">
        <v>220</v>
      </c>
      <c r="H2" s="14" t="s">
        <v>131</v>
      </c>
      <c r="I2" s="14" t="s">
        <v>129</v>
      </c>
      <c r="J2" s="15" t="s">
        <v>49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S30" sqref="S30"/>
    </sheetView>
  </sheetViews>
  <sheetFormatPr defaultRowHeight="15" x14ac:dyDescent="0.25"/>
  <cols>
    <col min="1" max="1" width="10.85546875" style="14" bestFit="1" customWidth="1"/>
    <col min="2" max="2" width="12.42578125" style="14" bestFit="1" customWidth="1"/>
    <col min="3" max="3" width="13.28515625" style="14" bestFit="1" customWidth="1"/>
    <col min="4" max="4" width="15.5703125" style="14" bestFit="1" customWidth="1"/>
    <col min="5" max="5" width="3.28515625" style="14" bestFit="1" customWidth="1"/>
    <col min="6" max="6" width="10.28515625" style="14" bestFit="1" customWidth="1"/>
    <col min="7" max="7" width="11" style="14" bestFit="1" customWidth="1"/>
    <col min="8" max="16384" width="9.140625" style="14"/>
  </cols>
  <sheetData>
    <row r="1" spans="1:7" x14ac:dyDescent="0.25">
      <c r="A1" s="15" t="s">
        <v>34</v>
      </c>
      <c r="B1" s="6" t="s">
        <v>35</v>
      </c>
      <c r="C1" s="15" t="s">
        <v>36</v>
      </c>
      <c r="D1" s="15" t="s">
        <v>33</v>
      </c>
      <c r="E1" s="15" t="s">
        <v>6</v>
      </c>
      <c r="F1" s="14" t="s">
        <v>48</v>
      </c>
      <c r="G1" s="15" t="s">
        <v>65</v>
      </c>
    </row>
    <row r="2" spans="1:7" x14ac:dyDescent="0.25">
      <c r="A2" s="15" t="s">
        <v>347</v>
      </c>
      <c r="B2" s="6" t="str">
        <f ca="1">TEXT(NOW(),"YYYY-MM-DD")</f>
        <v>2026-09-03</v>
      </c>
      <c r="C2" s="15" t="s">
        <v>507</v>
      </c>
      <c r="D2" s="15" t="s">
        <v>589</v>
      </c>
      <c r="E2" s="15" t="s">
        <v>45</v>
      </c>
      <c r="F2" s="15" t="s">
        <v>49</v>
      </c>
      <c r="G2" s="15" t="s">
        <v>272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E5" sqref="E5"/>
    </sheetView>
  </sheetViews>
  <sheetFormatPr defaultColWidth="25.7109375" defaultRowHeight="15" x14ac:dyDescent="0.25"/>
  <cols>
    <col min="1" max="4" width="25.7109375" style="14"/>
    <col min="5" max="5" width="29.28515625" style="14" bestFit="1" customWidth="1"/>
    <col min="6" max="16384" width="25.7109375" style="14"/>
  </cols>
  <sheetData>
    <row r="1" spans="1:8" x14ac:dyDescent="0.25">
      <c r="A1" s="15" t="s">
        <v>29</v>
      </c>
      <c r="B1" s="15" t="s">
        <v>30</v>
      </c>
      <c r="C1" s="15" t="s">
        <v>33</v>
      </c>
      <c r="D1" s="15" t="s">
        <v>6</v>
      </c>
      <c r="E1" s="15" t="s">
        <v>133</v>
      </c>
      <c r="F1" s="14" t="s">
        <v>127</v>
      </c>
      <c r="G1" s="14" t="s">
        <v>128</v>
      </c>
      <c r="H1" s="14" t="s">
        <v>48</v>
      </c>
    </row>
    <row r="2" spans="1:8" x14ac:dyDescent="0.25">
      <c r="A2" s="15" t="s">
        <v>506</v>
      </c>
      <c r="B2" s="15" t="s">
        <v>237</v>
      </c>
      <c r="C2" s="15" t="s">
        <v>252</v>
      </c>
      <c r="D2" s="7" t="s">
        <v>45</v>
      </c>
      <c r="E2" s="16" t="s">
        <v>348</v>
      </c>
      <c r="F2" s="14" t="s">
        <v>131</v>
      </c>
      <c r="G2" s="14" t="s">
        <v>129</v>
      </c>
      <c r="H2" s="15" t="s">
        <v>49</v>
      </c>
    </row>
    <row r="3" spans="1:8" x14ac:dyDescent="0.25">
      <c r="A3" s="15" t="s">
        <v>506</v>
      </c>
      <c r="B3" s="15" t="s">
        <v>237</v>
      </c>
      <c r="C3" s="15" t="s">
        <v>252</v>
      </c>
      <c r="D3" s="7" t="s">
        <v>78</v>
      </c>
      <c r="E3" s="16" t="s">
        <v>348</v>
      </c>
      <c r="F3" s="14" t="s">
        <v>131</v>
      </c>
      <c r="G3" s="14" t="s">
        <v>129</v>
      </c>
      <c r="H3" s="15" t="s">
        <v>49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A3" sqref="A3"/>
    </sheetView>
  </sheetViews>
  <sheetFormatPr defaultRowHeight="15" x14ac:dyDescent="0.25"/>
  <cols>
    <col min="1" max="1" width="15.5703125" style="14" bestFit="1" customWidth="1"/>
    <col min="2" max="2" width="11" style="14" customWidth="1"/>
    <col min="3" max="3" width="10.28515625" style="14" bestFit="1" customWidth="1"/>
    <col min="4" max="4" width="11" style="14" bestFit="1" customWidth="1"/>
    <col min="5" max="16384" width="9.140625" style="14"/>
  </cols>
  <sheetData>
    <row r="1" spans="1:4" x14ac:dyDescent="0.25">
      <c r="A1" s="15" t="s">
        <v>33</v>
      </c>
      <c r="B1" s="15" t="s">
        <v>6</v>
      </c>
      <c r="C1" s="14" t="s">
        <v>48</v>
      </c>
      <c r="D1" s="15" t="s">
        <v>65</v>
      </c>
    </row>
    <row r="2" spans="1:4" x14ac:dyDescent="0.25">
      <c r="A2" s="15" t="s">
        <v>252</v>
      </c>
      <c r="B2" s="15" t="s">
        <v>81</v>
      </c>
      <c r="C2" s="15" t="s">
        <v>49</v>
      </c>
      <c r="D2" s="7" t="s">
        <v>306</v>
      </c>
    </row>
    <row r="3" spans="1:4" x14ac:dyDescent="0.25">
      <c r="A3" s="9" t="s">
        <v>252</v>
      </c>
      <c r="B3" s="11" t="s">
        <v>106</v>
      </c>
      <c r="C3" s="14" t="s">
        <v>49</v>
      </c>
      <c r="D3" s="9" t="s">
        <v>306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D3" sqref="D3"/>
    </sheetView>
  </sheetViews>
  <sheetFormatPr defaultRowHeight="15" x14ac:dyDescent="0.25"/>
  <cols>
    <col min="1" max="1" width="5.7109375" style="14" bestFit="1" customWidth="1"/>
    <col min="2" max="2" width="39.140625" style="14" bestFit="1" customWidth="1"/>
    <col min="3" max="3" width="10.28515625" style="14" bestFit="1" customWidth="1"/>
    <col min="4" max="4" width="17.85546875" style="14" bestFit="1" customWidth="1"/>
    <col min="5" max="5" width="10.42578125" style="14" customWidth="1"/>
    <col min="6" max="6" width="3.85546875" style="14" customWidth="1"/>
    <col min="7" max="7" width="19.28515625" style="14" bestFit="1" customWidth="1"/>
    <col min="8" max="16384" width="9.140625" style="14"/>
  </cols>
  <sheetData>
    <row r="1" spans="1:7" x14ac:dyDescent="0.25">
      <c r="A1" s="9" t="s">
        <v>6</v>
      </c>
      <c r="B1" s="9" t="s">
        <v>133</v>
      </c>
      <c r="C1" s="9" t="s">
        <v>48</v>
      </c>
      <c r="D1" s="7" t="s">
        <v>349</v>
      </c>
      <c r="E1" s="15" t="s">
        <v>215</v>
      </c>
      <c r="F1" s="14" t="s">
        <v>128</v>
      </c>
      <c r="G1" s="2" t="s">
        <v>127</v>
      </c>
    </row>
    <row r="2" spans="1:7" x14ac:dyDescent="0.25">
      <c r="A2" s="9" t="s">
        <v>81</v>
      </c>
      <c r="B2" s="7" t="s">
        <v>350</v>
      </c>
      <c r="C2" s="9" t="s">
        <v>49</v>
      </c>
      <c r="D2" s="13" t="s">
        <v>623</v>
      </c>
      <c r="E2" s="15" t="s">
        <v>207</v>
      </c>
      <c r="F2" s="14" t="s">
        <v>129</v>
      </c>
    </row>
    <row r="3" spans="1:7" x14ac:dyDescent="0.25">
      <c r="A3" s="9" t="s">
        <v>106</v>
      </c>
      <c r="B3" s="7" t="s">
        <v>351</v>
      </c>
      <c r="C3" s="9" t="s">
        <v>49</v>
      </c>
      <c r="D3" s="13" t="s">
        <v>624</v>
      </c>
      <c r="E3" s="15" t="s">
        <v>207</v>
      </c>
      <c r="F3" s="14" t="s">
        <v>129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B2" sqref="B2"/>
    </sheetView>
  </sheetViews>
  <sheetFormatPr defaultRowHeight="15" x14ac:dyDescent="0.25"/>
  <cols>
    <col min="1" max="1" width="22" style="14" bestFit="1" customWidth="1"/>
    <col min="2" max="2" width="11.5703125" style="14" bestFit="1" customWidth="1"/>
    <col min="3" max="3" width="19.28515625" style="14" bestFit="1" customWidth="1"/>
    <col min="4" max="4" width="3.28515625" style="14" bestFit="1" customWidth="1"/>
    <col min="5" max="5" width="34.7109375" style="14" bestFit="1" customWidth="1"/>
    <col min="6" max="6" width="19.28515625" style="14" bestFit="1" customWidth="1"/>
    <col min="7" max="7" width="10.5703125" style="14" bestFit="1" customWidth="1"/>
    <col min="8" max="8" width="10.28515625" style="14" bestFit="1" customWidth="1"/>
    <col min="9" max="16384" width="9.140625" style="14"/>
  </cols>
  <sheetData>
    <row r="1" spans="1:8" x14ac:dyDescent="0.25">
      <c r="A1" s="23" t="s">
        <v>6</v>
      </c>
      <c r="B1" s="23" t="s">
        <v>133</v>
      </c>
      <c r="C1" s="12" t="s">
        <v>127</v>
      </c>
      <c r="D1" s="12" t="s">
        <v>128</v>
      </c>
      <c r="E1" s="12" t="s">
        <v>48</v>
      </c>
    </row>
    <row r="2" spans="1:8" x14ac:dyDescent="0.25">
      <c r="A2" s="24" t="s">
        <v>45</v>
      </c>
      <c r="B2" s="16" t="s">
        <v>515</v>
      </c>
      <c r="C2" s="12" t="s">
        <v>131</v>
      </c>
      <c r="D2" s="12" t="s">
        <v>129</v>
      </c>
      <c r="E2" s="23" t="s">
        <v>49</v>
      </c>
    </row>
    <row r="3" spans="1:8" x14ac:dyDescent="0.25">
      <c r="A3" s="12"/>
      <c r="B3" s="12"/>
      <c r="C3" s="12"/>
      <c r="D3" s="12"/>
      <c r="E3" s="12"/>
      <c r="F3" s="12"/>
      <c r="G3" s="12"/>
      <c r="H3" s="12"/>
    </row>
  </sheetData>
  <pageMargins left="0.7" right="0.7" top="0.75" bottom="0.75" header="0.3" footer="0.3"/>
  <pageSetup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3" sqref="A3"/>
    </sheetView>
  </sheetViews>
  <sheetFormatPr defaultRowHeight="15" x14ac:dyDescent="0.25"/>
  <cols>
    <col min="1" max="1" width="16.85546875" style="14" bestFit="1" customWidth="1"/>
    <col min="2" max="2" width="11" style="14" bestFit="1" customWidth="1"/>
    <col min="3" max="3" width="3.28515625" style="14" bestFit="1" customWidth="1"/>
    <col min="4" max="4" width="33.42578125" style="14" bestFit="1" customWidth="1"/>
    <col min="5" max="5" width="10.28515625" style="14" bestFit="1" customWidth="1"/>
    <col min="6" max="6" width="19" style="14" bestFit="1" customWidth="1"/>
    <col min="7" max="7" width="19.28515625" style="14" bestFit="1" customWidth="1"/>
    <col min="8" max="16384" width="9.140625" style="14"/>
  </cols>
  <sheetData>
    <row r="1" spans="1:7" x14ac:dyDescent="0.25">
      <c r="A1" s="15" t="s">
        <v>319</v>
      </c>
      <c r="B1" s="15" t="s">
        <v>65</v>
      </c>
      <c r="C1" s="15" t="s">
        <v>6</v>
      </c>
      <c r="D1" s="15" t="s">
        <v>133</v>
      </c>
      <c r="E1" s="14" t="s">
        <v>48</v>
      </c>
      <c r="F1" s="15" t="s">
        <v>215</v>
      </c>
      <c r="G1" s="14" t="s">
        <v>127</v>
      </c>
    </row>
    <row r="2" spans="1:7" x14ac:dyDescent="0.25">
      <c r="A2" s="15" t="s">
        <v>625</v>
      </c>
      <c r="B2" s="7" t="s">
        <v>306</v>
      </c>
      <c r="C2" s="15" t="s">
        <v>45</v>
      </c>
      <c r="D2" s="16" t="s">
        <v>515</v>
      </c>
      <c r="E2" s="15" t="s">
        <v>49</v>
      </c>
      <c r="F2" s="15" t="s">
        <v>207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11" sqref="O11"/>
    </sheetView>
  </sheetViews>
  <sheetFormatPr defaultRowHeight="15" x14ac:dyDescent="0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3" sqref="G3"/>
    </sheetView>
  </sheetViews>
  <sheetFormatPr defaultRowHeight="15" x14ac:dyDescent="0.25"/>
  <cols>
    <col min="1" max="1" width="3.28515625" style="14" bestFit="1" customWidth="1"/>
    <col min="2" max="2" width="43.28515625" style="14" bestFit="1" customWidth="1"/>
    <col min="3" max="3" width="19.28515625" style="14" bestFit="1" customWidth="1"/>
    <col min="4" max="4" width="10.5703125" style="14" bestFit="1" customWidth="1"/>
    <col min="5" max="5" width="10.28515625" style="14" bestFit="1" customWidth="1"/>
    <col min="6" max="6" width="11" style="14" bestFit="1" customWidth="1"/>
    <col min="7" max="16384" width="9.140625" style="14"/>
  </cols>
  <sheetData>
    <row r="1" spans="1:7" x14ac:dyDescent="0.25">
      <c r="A1" s="15" t="s">
        <v>6</v>
      </c>
      <c r="B1" s="15" t="s">
        <v>133</v>
      </c>
      <c r="C1" s="14" t="s">
        <v>127</v>
      </c>
      <c r="D1" s="14" t="s">
        <v>128</v>
      </c>
      <c r="E1" s="14" t="s">
        <v>48</v>
      </c>
      <c r="F1" s="15" t="s">
        <v>65</v>
      </c>
      <c r="G1" s="14" t="s">
        <v>626</v>
      </c>
    </row>
    <row r="2" spans="1:7" x14ac:dyDescent="0.25">
      <c r="A2" s="15" t="s">
        <v>45</v>
      </c>
      <c r="B2" s="16" t="s">
        <v>352</v>
      </c>
      <c r="D2" s="14" t="s">
        <v>129</v>
      </c>
      <c r="E2" s="15" t="s">
        <v>49</v>
      </c>
      <c r="F2" s="7" t="s">
        <v>340</v>
      </c>
      <c r="G2" s="14" t="s">
        <v>627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B29" sqref="B29"/>
    </sheetView>
  </sheetViews>
  <sheetFormatPr defaultRowHeight="15" x14ac:dyDescent="0.25"/>
  <cols>
    <col min="1" max="1" width="3.28515625" style="14" bestFit="1" customWidth="1"/>
    <col min="2" max="2" width="46" style="14" bestFit="1" customWidth="1"/>
    <col min="3" max="3" width="16.28515625" style="14" bestFit="1" customWidth="1"/>
    <col min="4" max="4" width="10.28515625" style="14" bestFit="1" customWidth="1"/>
    <col min="5" max="5" width="11" style="14" bestFit="1" customWidth="1"/>
    <col min="6" max="16384" width="9.140625" style="14"/>
  </cols>
  <sheetData>
    <row r="1" spans="1:5" x14ac:dyDescent="0.25">
      <c r="A1" s="15" t="s">
        <v>6</v>
      </c>
      <c r="B1" s="15" t="s">
        <v>133</v>
      </c>
      <c r="C1" s="15" t="s">
        <v>172</v>
      </c>
      <c r="D1" s="14" t="s">
        <v>48</v>
      </c>
      <c r="E1" s="15" t="s">
        <v>65</v>
      </c>
    </row>
    <row r="2" spans="1:5" x14ac:dyDescent="0.25">
      <c r="A2" s="15" t="s">
        <v>45</v>
      </c>
      <c r="B2" s="16" t="s">
        <v>353</v>
      </c>
      <c r="C2" s="16" t="s">
        <v>279</v>
      </c>
      <c r="D2" s="15" t="s">
        <v>49</v>
      </c>
      <c r="E2" s="15" t="s">
        <v>272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25" sqref="A25"/>
    </sheetView>
  </sheetViews>
  <sheetFormatPr defaultRowHeight="15" x14ac:dyDescent="0.25"/>
  <cols>
    <col min="1" max="1" width="17.5703125" style="14" bestFit="1" customWidth="1"/>
    <col min="2" max="2" width="9.140625" style="14"/>
    <col min="3" max="3" width="20" style="14" bestFit="1" customWidth="1"/>
    <col min="4" max="4" width="17.5703125" style="14" bestFit="1" customWidth="1"/>
    <col min="5" max="6" width="9.140625" style="14"/>
    <col min="7" max="7" width="11" style="14" bestFit="1" customWidth="1"/>
    <col min="8" max="16384" width="9.140625" style="14"/>
  </cols>
  <sheetData>
    <row r="1" spans="1:7" x14ac:dyDescent="0.25">
      <c r="A1" s="15" t="s">
        <v>66</v>
      </c>
      <c r="B1" s="15" t="s">
        <v>67</v>
      </c>
      <c r="C1" s="15" t="s">
        <v>68</v>
      </c>
      <c r="D1" s="15" t="s">
        <v>69</v>
      </c>
      <c r="E1" s="15" t="s">
        <v>6</v>
      </c>
      <c r="F1" s="14" t="s">
        <v>48</v>
      </c>
      <c r="G1" s="15" t="s">
        <v>65</v>
      </c>
    </row>
    <row r="2" spans="1:7" x14ac:dyDescent="0.25">
      <c r="A2" s="15" t="s">
        <v>366</v>
      </c>
      <c r="B2" s="15" t="s">
        <v>71</v>
      </c>
      <c r="C2" s="6" t="str">
        <f ca="1">TEXT(NOW(),"YYYY-MM-DD")</f>
        <v>2026-09-03</v>
      </c>
      <c r="D2" s="6" t="str">
        <f ca="1">TEXT(NOW(),"YYYY-MM-DD")</f>
        <v>2026-09-03</v>
      </c>
      <c r="E2" s="7" t="s">
        <v>45</v>
      </c>
      <c r="F2" s="15" t="s">
        <v>49</v>
      </c>
      <c r="G2" s="15" t="s">
        <v>341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H3" sqref="H3"/>
    </sheetView>
  </sheetViews>
  <sheetFormatPr defaultRowHeight="15" x14ac:dyDescent="0.25"/>
  <cols>
    <col min="1" max="1" width="14.140625" style="14" bestFit="1" customWidth="1"/>
    <col min="2" max="2" width="14.140625" style="14" customWidth="1"/>
    <col min="3" max="3" width="16.85546875" style="14" bestFit="1" customWidth="1"/>
    <col min="4" max="4" width="16.85546875" style="14" customWidth="1"/>
    <col min="5" max="5" width="13.140625" style="14" bestFit="1" customWidth="1"/>
    <col min="6" max="6" width="16.140625" style="14" bestFit="1" customWidth="1"/>
    <col min="7" max="7" width="9.140625" style="14" customWidth="1"/>
    <col min="8" max="8" width="39.5703125" style="14" bestFit="1" customWidth="1"/>
    <col min="9" max="9" width="10.28515625" style="14" bestFit="1" customWidth="1"/>
    <col min="10" max="10" width="19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9" t="s">
        <v>99</v>
      </c>
      <c r="B1" s="9" t="s">
        <v>304</v>
      </c>
      <c r="C1" s="9" t="s">
        <v>100</v>
      </c>
      <c r="D1" s="9" t="s">
        <v>305</v>
      </c>
      <c r="E1" s="9" t="s">
        <v>101</v>
      </c>
      <c r="F1" s="9" t="s">
        <v>102</v>
      </c>
      <c r="G1" s="9" t="s">
        <v>6</v>
      </c>
      <c r="H1" s="9" t="s">
        <v>133</v>
      </c>
      <c r="I1" s="9" t="s">
        <v>48</v>
      </c>
      <c r="J1" s="15" t="s">
        <v>215</v>
      </c>
      <c r="K1" s="14" t="s">
        <v>127</v>
      </c>
    </row>
    <row r="2" spans="1:11" x14ac:dyDescent="0.25">
      <c r="A2" s="13" t="s">
        <v>417</v>
      </c>
      <c r="B2" s="13" t="s">
        <v>418</v>
      </c>
      <c r="C2" s="13" t="s">
        <v>419</v>
      </c>
      <c r="D2" s="13" t="s">
        <v>422</v>
      </c>
      <c r="E2" s="13" t="s">
        <v>420</v>
      </c>
      <c r="F2" s="13" t="s">
        <v>421</v>
      </c>
      <c r="G2" s="9" t="s">
        <v>81</v>
      </c>
      <c r="H2" s="7" t="s">
        <v>442</v>
      </c>
      <c r="I2" s="9" t="s">
        <v>49</v>
      </c>
      <c r="J2" s="15" t="s">
        <v>207</v>
      </c>
    </row>
    <row r="3" spans="1:11" x14ac:dyDescent="0.25">
      <c r="A3" s="13" t="s">
        <v>423</v>
      </c>
      <c r="B3" s="13" t="s">
        <v>424</v>
      </c>
      <c r="C3" s="13" t="s">
        <v>425</v>
      </c>
      <c r="D3" s="13" t="s">
        <v>428</v>
      </c>
      <c r="E3" s="13" t="s">
        <v>426</v>
      </c>
      <c r="F3" s="13" t="s">
        <v>427</v>
      </c>
      <c r="G3" s="9" t="s">
        <v>82</v>
      </c>
      <c r="H3" s="7" t="s">
        <v>441</v>
      </c>
      <c r="I3" s="9" t="s">
        <v>49</v>
      </c>
      <c r="J3" s="15" t="s">
        <v>207</v>
      </c>
    </row>
  </sheetData>
  <pageMargins left="0.7" right="0.7" top="0.75" bottom="0.75" header="0.3" footer="0.3"/>
  <pageSetup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3" sqref="A3"/>
    </sheetView>
  </sheetViews>
  <sheetFormatPr defaultRowHeight="15" x14ac:dyDescent="0.25"/>
  <cols>
    <col min="1" max="1" width="15.7109375" style="14" bestFit="1" customWidth="1"/>
    <col min="2" max="2" width="13.85546875" style="14" bestFit="1" customWidth="1"/>
    <col min="3" max="3" width="32.140625" style="14" bestFit="1" customWidth="1"/>
    <col min="4" max="4" width="14.140625" style="14" bestFit="1" customWidth="1"/>
    <col min="5" max="5" width="9.140625" style="14"/>
    <col min="6" max="6" width="19.28515625" style="14" bestFit="1" customWidth="1"/>
    <col min="7" max="7" width="10.28515625" style="14" bestFit="1" customWidth="1"/>
    <col min="8" max="8" width="19" style="14" bestFit="1" customWidth="1"/>
    <col min="9" max="9" width="19.28515625" style="14" bestFit="1" customWidth="1"/>
    <col min="10" max="16384" width="9.140625" style="14"/>
  </cols>
  <sheetData>
    <row r="1" spans="1:8" x14ac:dyDescent="0.25">
      <c r="A1" s="14" t="s">
        <v>335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  <c r="G1" s="9"/>
      <c r="H1" s="15"/>
    </row>
    <row r="2" spans="1:8" x14ac:dyDescent="0.25">
      <c r="A2" s="14" t="s">
        <v>370</v>
      </c>
      <c r="B2" s="9" t="s">
        <v>81</v>
      </c>
      <c r="C2" s="7" t="s">
        <v>343</v>
      </c>
      <c r="D2" s="9" t="s">
        <v>49</v>
      </c>
      <c r="E2" s="15" t="s">
        <v>207</v>
      </c>
      <c r="G2" s="9"/>
      <c r="H2" s="15"/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A6" sqref="A6"/>
    </sheetView>
  </sheetViews>
  <sheetFormatPr defaultRowHeight="15" x14ac:dyDescent="0.25"/>
  <cols>
    <col min="1" max="1" width="14.140625" style="14" bestFit="1" customWidth="1"/>
    <col min="2" max="2" width="13.85546875" style="14" bestFit="1" customWidth="1"/>
    <col min="3" max="3" width="9.140625" style="14"/>
    <col min="4" max="4" width="60.42578125" style="14" bestFit="1" customWidth="1"/>
    <col min="5" max="5" width="10.28515625" style="14" bestFit="1" customWidth="1"/>
    <col min="6" max="6" width="19" style="14" bestFit="1" customWidth="1"/>
    <col min="7" max="7" width="19.28515625" style="14" bestFit="1" customWidth="1"/>
    <col min="8" max="16384" width="9.140625" style="14"/>
  </cols>
  <sheetData>
    <row r="1" spans="1:7" x14ac:dyDescent="0.25">
      <c r="A1" s="6" t="s">
        <v>100</v>
      </c>
      <c r="B1" s="9" t="s">
        <v>334</v>
      </c>
      <c r="C1" s="9" t="s">
        <v>6</v>
      </c>
      <c r="D1" s="9" t="s">
        <v>133</v>
      </c>
      <c r="E1" s="9" t="s">
        <v>48</v>
      </c>
      <c r="F1" s="15" t="s">
        <v>215</v>
      </c>
      <c r="G1" s="14" t="s">
        <v>127</v>
      </c>
    </row>
    <row r="2" spans="1:7" x14ac:dyDescent="0.25">
      <c r="A2" s="13" t="s">
        <v>371</v>
      </c>
      <c r="B2" s="13" t="s">
        <v>10</v>
      </c>
      <c r="C2" s="9" t="s">
        <v>81</v>
      </c>
      <c r="D2" s="7" t="s">
        <v>367</v>
      </c>
      <c r="E2" s="9" t="s">
        <v>49</v>
      </c>
      <c r="F2" s="15" t="s">
        <v>207</v>
      </c>
    </row>
    <row r="3" spans="1:7" x14ac:dyDescent="0.25">
      <c r="A3" s="13" t="s">
        <v>10</v>
      </c>
      <c r="B3" s="13" t="s">
        <v>10</v>
      </c>
      <c r="C3" s="9" t="s">
        <v>82</v>
      </c>
      <c r="D3" s="7" t="s">
        <v>367</v>
      </c>
      <c r="E3" s="9" t="s">
        <v>49</v>
      </c>
      <c r="F3" s="15" t="s">
        <v>207</v>
      </c>
    </row>
    <row r="4" spans="1:7" x14ac:dyDescent="0.25">
      <c r="A4" s="13" t="s">
        <v>372</v>
      </c>
      <c r="B4" s="13" t="s">
        <v>10</v>
      </c>
      <c r="C4" s="9" t="s">
        <v>235</v>
      </c>
      <c r="D4" s="7" t="s">
        <v>367</v>
      </c>
      <c r="E4" s="9" t="s">
        <v>49</v>
      </c>
      <c r="F4" s="15" t="s">
        <v>207</v>
      </c>
    </row>
    <row r="5" spans="1:7" x14ac:dyDescent="0.25">
      <c r="A5" s="13" t="s">
        <v>373</v>
      </c>
      <c r="B5" s="13" t="s">
        <v>10</v>
      </c>
      <c r="C5" s="9" t="s">
        <v>236</v>
      </c>
      <c r="D5" s="7" t="s">
        <v>367</v>
      </c>
      <c r="E5" s="9" t="s">
        <v>49</v>
      </c>
      <c r="F5" s="15" t="s">
        <v>207</v>
      </c>
    </row>
    <row r="6" spans="1:7" x14ac:dyDescent="0.25">
      <c r="A6" s="13" t="s">
        <v>373</v>
      </c>
      <c r="B6" s="13" t="s">
        <v>10</v>
      </c>
      <c r="C6" s="9" t="s">
        <v>333</v>
      </c>
      <c r="D6" s="7" t="s">
        <v>367</v>
      </c>
      <c r="E6" s="9" t="s">
        <v>49</v>
      </c>
      <c r="F6" s="15" t="s">
        <v>207</v>
      </c>
    </row>
  </sheetData>
  <pageMargins left="0.7" right="0.7" top="0.75" bottom="0.75" header="0.3" footer="0.3"/>
  <pageSetup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3" sqref="B3"/>
    </sheetView>
  </sheetViews>
  <sheetFormatPr defaultRowHeight="15" x14ac:dyDescent="0.25"/>
  <cols>
    <col min="1" max="1" width="10.140625" style="14" bestFit="1" customWidth="1"/>
    <col min="2" max="2" width="11.5703125" style="14" bestFit="1" customWidth="1"/>
    <col min="3" max="3" width="9.140625" style="14"/>
    <col min="4" max="4" width="53.28515625" style="14" bestFit="1" customWidth="1"/>
    <col min="5" max="16384" width="9.140625" style="14"/>
  </cols>
  <sheetData>
    <row r="1" spans="1:7" x14ac:dyDescent="0.25">
      <c r="A1" s="6" t="s">
        <v>100</v>
      </c>
      <c r="B1" s="9" t="s">
        <v>334</v>
      </c>
      <c r="C1" s="9" t="s">
        <v>6</v>
      </c>
      <c r="D1" s="9" t="s">
        <v>133</v>
      </c>
      <c r="E1" s="9" t="s">
        <v>48</v>
      </c>
      <c r="F1" s="15" t="s">
        <v>215</v>
      </c>
      <c r="G1" s="14" t="s">
        <v>127</v>
      </c>
    </row>
    <row r="2" spans="1:7" x14ac:dyDescent="0.25">
      <c r="A2" s="13" t="s">
        <v>374</v>
      </c>
      <c r="B2" s="13" t="s">
        <v>10</v>
      </c>
      <c r="C2" s="9" t="s">
        <v>81</v>
      </c>
      <c r="D2" s="7" t="s">
        <v>367</v>
      </c>
      <c r="E2" s="9" t="s">
        <v>49</v>
      </c>
      <c r="F2" s="15" t="s">
        <v>207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28" sqref="C28"/>
    </sheetView>
  </sheetViews>
  <sheetFormatPr defaultRowHeight="15" x14ac:dyDescent="0.25"/>
  <cols>
    <col min="1" max="1" width="15.7109375" style="14" bestFit="1" customWidth="1"/>
    <col min="2" max="2" width="10" style="14" customWidth="1"/>
    <col min="3" max="3" width="72.14062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335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</row>
    <row r="2" spans="1:6" x14ac:dyDescent="0.25">
      <c r="A2" s="9" t="s">
        <v>375</v>
      </c>
      <c r="B2" s="9" t="s">
        <v>81</v>
      </c>
      <c r="C2" s="7" t="s">
        <v>368</v>
      </c>
      <c r="D2" s="9" t="s">
        <v>49</v>
      </c>
      <c r="E2" s="15" t="s">
        <v>207</v>
      </c>
    </row>
  </sheetData>
  <pageMargins left="0.7" right="0.7" top="0.75" bottom="0.75" header="0.3" footer="0.3"/>
  <pageSetup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sqref="A1:E1048576"/>
    </sheetView>
  </sheetViews>
  <sheetFormatPr defaultRowHeight="15" x14ac:dyDescent="0.25"/>
  <cols>
    <col min="1" max="1" width="13.5703125" style="14" bestFit="1" customWidth="1"/>
    <col min="2" max="2" width="10.42578125" style="14" bestFit="1" customWidth="1"/>
    <col min="3" max="3" width="12.7109375" style="14" bestFit="1" customWidth="1"/>
    <col min="4" max="4" width="11.140625" style="14" bestFit="1" customWidth="1"/>
    <col min="5" max="5" width="8.85546875" style="14" bestFit="1" customWidth="1"/>
    <col min="6" max="6" width="11.5703125" style="14" bestFit="1" customWidth="1"/>
    <col min="7" max="7" width="3.28515625" style="14" bestFit="1" customWidth="1"/>
    <col min="8" max="8" width="41.7109375" style="14" bestFit="1" customWidth="1"/>
    <col min="9" max="9" width="10.28515625" style="14" bestFit="1" customWidth="1"/>
    <col min="10" max="10" width="19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14" t="s">
        <v>99</v>
      </c>
      <c r="B1" s="14" t="s">
        <v>100</v>
      </c>
      <c r="C1" s="14" t="s">
        <v>102</v>
      </c>
      <c r="D1" s="14" t="s">
        <v>304</v>
      </c>
      <c r="E1" s="14" t="s">
        <v>305</v>
      </c>
      <c r="F1" s="14" t="s">
        <v>334</v>
      </c>
      <c r="G1" s="9" t="s">
        <v>6</v>
      </c>
      <c r="H1" s="9" t="s">
        <v>133</v>
      </c>
      <c r="I1" s="9" t="s">
        <v>48</v>
      </c>
      <c r="J1" s="15" t="s">
        <v>215</v>
      </c>
      <c r="K1" s="14" t="s">
        <v>127</v>
      </c>
    </row>
    <row r="2" spans="1:11" x14ac:dyDescent="0.25">
      <c r="A2" s="14" t="s">
        <v>409</v>
      </c>
      <c r="B2" s="14" t="s">
        <v>410</v>
      </c>
      <c r="C2" s="14" t="s">
        <v>412</v>
      </c>
      <c r="D2" s="14" t="s">
        <v>375</v>
      </c>
      <c r="E2" s="21" t="s">
        <v>411</v>
      </c>
      <c r="F2" s="14" t="s">
        <v>370</v>
      </c>
      <c r="G2" s="9" t="s">
        <v>45</v>
      </c>
      <c r="H2" s="7" t="s">
        <v>369</v>
      </c>
      <c r="I2" s="9" t="s">
        <v>49</v>
      </c>
      <c r="J2" s="15" t="s">
        <v>207</v>
      </c>
    </row>
  </sheetData>
  <pageMargins left="0.7" right="0.7" top="0.75" bottom="0.75" header="0.3" footer="0.3"/>
  <pageSetup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J4" sqref="J4"/>
    </sheetView>
  </sheetViews>
  <sheetFormatPr defaultRowHeight="15" x14ac:dyDescent="0.25"/>
  <cols>
    <col min="1" max="1" width="17.5703125" style="14" bestFit="1" customWidth="1"/>
    <col min="2" max="2" width="9.140625" style="14"/>
    <col min="3" max="3" width="20" style="14" bestFit="1" customWidth="1"/>
    <col min="4" max="4" width="17.5703125" style="14" bestFit="1" customWidth="1"/>
    <col min="5" max="6" width="9.140625" style="14"/>
    <col min="7" max="7" width="11" style="14" bestFit="1" customWidth="1"/>
    <col min="8" max="16384" width="9.140625" style="14"/>
  </cols>
  <sheetData>
    <row r="1" spans="1:7" x14ac:dyDescent="0.25">
      <c r="A1" s="15" t="s">
        <v>66</v>
      </c>
      <c r="B1" s="15" t="s">
        <v>67</v>
      </c>
      <c r="C1" s="15" t="s">
        <v>68</v>
      </c>
      <c r="D1" s="15" t="s">
        <v>69</v>
      </c>
      <c r="E1" s="15" t="s">
        <v>6</v>
      </c>
      <c r="F1" s="14" t="s">
        <v>48</v>
      </c>
      <c r="G1" s="15" t="s">
        <v>65</v>
      </c>
    </row>
    <row r="2" spans="1:7" x14ac:dyDescent="0.25">
      <c r="A2" s="15" t="s">
        <v>366</v>
      </c>
      <c r="B2" s="15" t="s">
        <v>71</v>
      </c>
      <c r="C2" s="13" t="s">
        <v>383</v>
      </c>
      <c r="D2" s="6" t="str">
        <f ca="1">TEXT(NOW(),"YYYY-MM-DD")</f>
        <v>2026-09-03</v>
      </c>
      <c r="E2" s="7" t="s">
        <v>45</v>
      </c>
      <c r="F2" s="15" t="s">
        <v>49</v>
      </c>
      <c r="G2" s="15" t="s">
        <v>339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H2" sqref="H2"/>
    </sheetView>
  </sheetViews>
  <sheetFormatPr defaultRowHeight="15" x14ac:dyDescent="0.25"/>
  <cols>
    <col min="1" max="1" width="14.140625" style="14" bestFit="1" customWidth="1"/>
    <col min="2" max="2" width="14.140625" style="14" customWidth="1"/>
    <col min="3" max="3" width="16.85546875" style="14" bestFit="1" customWidth="1"/>
    <col min="4" max="4" width="16.85546875" style="14" customWidth="1"/>
    <col min="5" max="5" width="13.140625" style="14" bestFit="1" customWidth="1"/>
    <col min="6" max="6" width="16.140625" style="14" bestFit="1" customWidth="1"/>
    <col min="7" max="7" width="9.140625" style="14" customWidth="1"/>
    <col min="8" max="8" width="39.5703125" style="14" bestFit="1" customWidth="1"/>
    <col min="9" max="9" width="10.28515625" style="14" bestFit="1" customWidth="1"/>
    <col min="10" max="10" width="19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9" t="s">
        <v>99</v>
      </c>
      <c r="B1" s="9" t="s">
        <v>304</v>
      </c>
      <c r="C1" s="9" t="s">
        <v>100</v>
      </c>
      <c r="D1" s="9" t="s">
        <v>305</v>
      </c>
      <c r="E1" s="9" t="s">
        <v>101</v>
      </c>
      <c r="F1" s="9" t="s">
        <v>102</v>
      </c>
      <c r="G1" s="9" t="s">
        <v>6</v>
      </c>
      <c r="H1" s="9" t="s">
        <v>133</v>
      </c>
      <c r="I1" s="9" t="s">
        <v>48</v>
      </c>
      <c r="J1" s="15" t="s">
        <v>215</v>
      </c>
      <c r="K1" s="14" t="s">
        <v>127</v>
      </c>
    </row>
    <row r="2" spans="1:11" x14ac:dyDescent="0.25">
      <c r="A2" s="13" t="s">
        <v>413</v>
      </c>
      <c r="B2" s="13" t="s">
        <v>380</v>
      </c>
      <c r="C2" s="13" t="s">
        <v>429</v>
      </c>
      <c r="D2" s="13" t="s">
        <v>432</v>
      </c>
      <c r="E2" s="13" t="s">
        <v>430</v>
      </c>
      <c r="F2" s="13" t="s">
        <v>431</v>
      </c>
      <c r="G2" s="9" t="s">
        <v>81</v>
      </c>
      <c r="H2" s="7" t="s">
        <v>437</v>
      </c>
      <c r="I2" s="9" t="s">
        <v>49</v>
      </c>
      <c r="J2" s="15" t="s">
        <v>207</v>
      </c>
    </row>
    <row r="3" spans="1:11" x14ac:dyDescent="0.25">
      <c r="A3" s="13" t="s">
        <v>10</v>
      </c>
      <c r="B3" s="13" t="s">
        <v>10</v>
      </c>
      <c r="C3" s="13" t="s">
        <v>433</v>
      </c>
      <c r="D3" s="13" t="s">
        <v>436</v>
      </c>
      <c r="E3" s="13" t="s">
        <v>434</v>
      </c>
      <c r="F3" s="13" t="s">
        <v>435</v>
      </c>
      <c r="G3" s="9" t="s">
        <v>82</v>
      </c>
      <c r="H3" s="7" t="s">
        <v>438</v>
      </c>
      <c r="I3" s="9" t="s">
        <v>49</v>
      </c>
      <c r="J3" s="15" t="s">
        <v>207</v>
      </c>
    </row>
  </sheetData>
  <pageMargins left="0.7" right="0.7" top="0.75" bottom="0.75" header="0.3" footer="0.3"/>
  <pageSetup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G2" sqref="G2"/>
    </sheetView>
  </sheetViews>
  <sheetFormatPr defaultRowHeight="15" x14ac:dyDescent="0.25"/>
  <cols>
    <col min="1" max="1" width="15.7109375" style="14" bestFit="1" customWidth="1"/>
    <col min="2" max="2" width="13.85546875" style="14" bestFit="1" customWidth="1"/>
    <col min="3" max="3" width="32.140625" style="14" bestFit="1" customWidth="1"/>
    <col min="4" max="4" width="14.140625" style="14" bestFit="1" customWidth="1"/>
    <col min="5" max="5" width="9.140625" style="14"/>
    <col min="6" max="6" width="19.28515625" style="14" bestFit="1" customWidth="1"/>
    <col min="7" max="7" width="10.28515625" style="14" bestFit="1" customWidth="1"/>
    <col min="8" max="8" width="19" style="14" bestFit="1" customWidth="1"/>
    <col min="9" max="9" width="19.28515625" style="14" bestFit="1" customWidth="1"/>
    <col min="10" max="16384" width="9.140625" style="14"/>
  </cols>
  <sheetData>
    <row r="1" spans="1:8" x14ac:dyDescent="0.25">
      <c r="A1" s="14" t="s">
        <v>335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  <c r="G1" s="9"/>
      <c r="H1" s="15"/>
    </row>
    <row r="2" spans="1:8" x14ac:dyDescent="0.25">
      <c r="A2" s="9" t="s">
        <v>376</v>
      </c>
      <c r="B2" s="9" t="s">
        <v>81</v>
      </c>
      <c r="C2" s="7" t="s">
        <v>343</v>
      </c>
      <c r="D2" s="9" t="s">
        <v>49</v>
      </c>
      <c r="E2" s="15" t="s">
        <v>207</v>
      </c>
      <c r="G2" s="9"/>
      <c r="H2" s="15"/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G2" sqref="G2"/>
    </sheetView>
  </sheetViews>
  <sheetFormatPr defaultRowHeight="15" x14ac:dyDescent="0.25"/>
  <cols>
    <col min="1" max="1" width="14.140625" style="14" bestFit="1" customWidth="1"/>
    <col min="2" max="2" width="13.85546875" style="14" bestFit="1" customWidth="1"/>
    <col min="3" max="3" width="9.140625" style="14"/>
    <col min="4" max="4" width="60.42578125" style="14" bestFit="1" customWidth="1"/>
    <col min="5" max="5" width="10.28515625" style="14" bestFit="1" customWidth="1"/>
    <col min="6" max="6" width="19" style="14" bestFit="1" customWidth="1"/>
    <col min="7" max="7" width="19.28515625" style="14" bestFit="1" customWidth="1"/>
    <col min="8" max="16384" width="9.140625" style="14"/>
  </cols>
  <sheetData>
    <row r="1" spans="1:7" x14ac:dyDescent="0.25">
      <c r="A1" s="6" t="s">
        <v>100</v>
      </c>
      <c r="B1" s="9" t="s">
        <v>334</v>
      </c>
      <c r="C1" s="9" t="s">
        <v>6</v>
      </c>
      <c r="D1" s="9" t="s">
        <v>133</v>
      </c>
      <c r="E1" s="9" t="s">
        <v>48</v>
      </c>
      <c r="F1" s="15" t="s">
        <v>215</v>
      </c>
      <c r="G1" s="14" t="s">
        <v>127</v>
      </c>
    </row>
    <row r="2" spans="1:7" x14ac:dyDescent="0.25">
      <c r="A2" s="13" t="s">
        <v>10</v>
      </c>
      <c r="B2" s="13" t="s">
        <v>10</v>
      </c>
      <c r="C2" s="9" t="s">
        <v>81</v>
      </c>
      <c r="D2" s="7" t="s">
        <v>377</v>
      </c>
      <c r="E2" s="9" t="s">
        <v>49</v>
      </c>
      <c r="F2" s="15" t="s">
        <v>207</v>
      </c>
    </row>
    <row r="3" spans="1:7" x14ac:dyDescent="0.25">
      <c r="A3" s="13" t="s">
        <v>10</v>
      </c>
      <c r="B3" s="13" t="s">
        <v>10</v>
      </c>
      <c r="C3" s="9" t="s">
        <v>82</v>
      </c>
      <c r="D3" s="7" t="s">
        <v>377</v>
      </c>
      <c r="E3" s="9" t="s">
        <v>49</v>
      </c>
      <c r="F3" s="15" t="s">
        <v>207</v>
      </c>
    </row>
    <row r="4" spans="1:7" x14ac:dyDescent="0.25">
      <c r="A4" s="13" t="s">
        <v>10</v>
      </c>
      <c r="B4" s="13" t="s">
        <v>10</v>
      </c>
      <c r="C4" s="9" t="s">
        <v>235</v>
      </c>
      <c r="D4" s="7" t="s">
        <v>377</v>
      </c>
      <c r="E4" s="9" t="s">
        <v>49</v>
      </c>
      <c r="F4" s="15" t="s">
        <v>207</v>
      </c>
    </row>
    <row r="5" spans="1:7" x14ac:dyDescent="0.25">
      <c r="A5" s="13" t="s">
        <v>378</v>
      </c>
      <c r="B5" s="13" t="s">
        <v>10</v>
      </c>
      <c r="C5" s="9" t="s">
        <v>236</v>
      </c>
      <c r="D5" s="7" t="s">
        <v>377</v>
      </c>
      <c r="E5" s="9" t="s">
        <v>49</v>
      </c>
      <c r="F5" s="15" t="s">
        <v>207</v>
      </c>
    </row>
    <row r="6" spans="1:7" x14ac:dyDescent="0.25">
      <c r="A6" s="13" t="s">
        <v>378</v>
      </c>
      <c r="B6" s="13" t="s">
        <v>10</v>
      </c>
      <c r="C6" s="9" t="s">
        <v>333</v>
      </c>
      <c r="D6" s="7" t="s">
        <v>377</v>
      </c>
      <c r="E6" s="9" t="s">
        <v>49</v>
      </c>
      <c r="F6" s="15" t="s">
        <v>207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2" sqref="G2"/>
    </sheetView>
  </sheetViews>
  <sheetFormatPr defaultRowHeight="15" x14ac:dyDescent="0.25"/>
  <cols>
    <col min="1" max="1" width="10.140625" style="14" bestFit="1" customWidth="1"/>
    <col min="2" max="2" width="11.5703125" style="14" bestFit="1" customWidth="1"/>
    <col min="3" max="3" width="9.140625" style="14"/>
    <col min="4" max="4" width="53.28515625" style="14" bestFit="1" customWidth="1"/>
    <col min="5" max="16384" width="9.140625" style="14"/>
  </cols>
  <sheetData>
    <row r="1" spans="1:7" x14ac:dyDescent="0.25">
      <c r="A1" s="6" t="s">
        <v>100</v>
      </c>
      <c r="B1" s="9" t="s">
        <v>334</v>
      </c>
      <c r="C1" s="9" t="s">
        <v>6</v>
      </c>
      <c r="D1" s="9" t="s">
        <v>133</v>
      </c>
      <c r="E1" s="9" t="s">
        <v>48</v>
      </c>
      <c r="F1" s="15" t="s">
        <v>215</v>
      </c>
      <c r="G1" s="14" t="s">
        <v>127</v>
      </c>
    </row>
    <row r="2" spans="1:7" x14ac:dyDescent="0.25">
      <c r="A2" s="13" t="s">
        <v>379</v>
      </c>
      <c r="B2" s="13" t="s">
        <v>279</v>
      </c>
      <c r="C2" s="9" t="s">
        <v>81</v>
      </c>
      <c r="D2" s="7" t="s">
        <v>377</v>
      </c>
      <c r="E2" s="9" t="s">
        <v>49</v>
      </c>
      <c r="F2" s="15" t="s">
        <v>207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G2" sqref="G2"/>
    </sheetView>
  </sheetViews>
  <sheetFormatPr defaultRowHeight="15" x14ac:dyDescent="0.25"/>
  <cols>
    <col min="1" max="1" width="15.7109375" style="14" bestFit="1" customWidth="1"/>
    <col min="2" max="2" width="10" style="14" customWidth="1"/>
    <col min="3" max="3" width="72.140625" style="14" bestFit="1" customWidth="1"/>
    <col min="4" max="4" width="10.28515625" style="14" bestFit="1" customWidth="1"/>
    <col min="5" max="5" width="19" style="14" bestFit="1" customWidth="1"/>
    <col min="6" max="6" width="19.28515625" style="14" bestFit="1" customWidth="1"/>
    <col min="7" max="16384" width="9.140625" style="14"/>
  </cols>
  <sheetData>
    <row r="1" spans="1:6" x14ac:dyDescent="0.25">
      <c r="A1" s="14" t="s">
        <v>335</v>
      </c>
      <c r="B1" s="9" t="s">
        <v>6</v>
      </c>
      <c r="C1" s="9" t="s">
        <v>133</v>
      </c>
      <c r="D1" s="9" t="s">
        <v>48</v>
      </c>
      <c r="E1" s="15" t="s">
        <v>215</v>
      </c>
      <c r="F1" s="14" t="s">
        <v>127</v>
      </c>
    </row>
    <row r="2" spans="1:6" x14ac:dyDescent="0.25">
      <c r="A2" s="9" t="s">
        <v>380</v>
      </c>
      <c r="B2" s="9" t="s">
        <v>81</v>
      </c>
      <c r="C2" s="7" t="s">
        <v>381</v>
      </c>
      <c r="D2" s="9" t="s">
        <v>49</v>
      </c>
      <c r="E2" s="15" t="s">
        <v>207</v>
      </c>
    </row>
  </sheetData>
  <pageMargins left="0.7" right="0.7" top="0.75" bottom="0.75" header="0.3" footer="0.3"/>
  <pageSetup orientation="portrait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C2" sqref="C2"/>
    </sheetView>
  </sheetViews>
  <sheetFormatPr defaultRowHeight="15" x14ac:dyDescent="0.25"/>
  <cols>
    <col min="1" max="1" width="13.5703125" style="14" bestFit="1" customWidth="1"/>
    <col min="2" max="2" width="10.42578125" style="14" bestFit="1" customWidth="1"/>
    <col min="3" max="3" width="12.7109375" style="14" bestFit="1" customWidth="1"/>
    <col min="4" max="4" width="11.140625" style="14" bestFit="1" customWidth="1"/>
    <col min="5" max="5" width="8.85546875" style="14" bestFit="1" customWidth="1"/>
    <col min="6" max="6" width="13.140625" style="14" bestFit="1" customWidth="1"/>
    <col min="7" max="7" width="9.140625" style="14"/>
    <col min="8" max="8" width="40.7109375" style="14" bestFit="1" customWidth="1"/>
    <col min="9" max="9" width="9.140625" style="14"/>
    <col min="10" max="10" width="19" style="14" bestFit="1" customWidth="1"/>
    <col min="11" max="11" width="19.28515625" style="14" bestFit="1" customWidth="1"/>
    <col min="12" max="16384" width="9.140625" style="14"/>
  </cols>
  <sheetData>
    <row r="1" spans="1:11" x14ac:dyDescent="0.25">
      <c r="A1" s="14" t="s">
        <v>99</v>
      </c>
      <c r="B1" s="14" t="s">
        <v>100</v>
      </c>
      <c r="C1" s="14" t="s">
        <v>102</v>
      </c>
      <c r="D1" s="14" t="s">
        <v>304</v>
      </c>
      <c r="E1" s="14" t="s">
        <v>305</v>
      </c>
      <c r="F1" s="14" t="s">
        <v>334</v>
      </c>
      <c r="G1" s="9" t="s">
        <v>6</v>
      </c>
      <c r="H1" s="9" t="s">
        <v>133</v>
      </c>
      <c r="I1" s="9" t="s">
        <v>48</v>
      </c>
      <c r="J1" s="15" t="s">
        <v>215</v>
      </c>
      <c r="K1" s="14" t="s">
        <v>127</v>
      </c>
    </row>
    <row r="2" spans="1:11" x14ac:dyDescent="0.25">
      <c r="A2" s="14" t="s">
        <v>413</v>
      </c>
      <c r="B2" s="14" t="s">
        <v>414</v>
      </c>
      <c r="C2" s="14" t="s">
        <v>416</v>
      </c>
      <c r="D2" s="14" t="s">
        <v>380</v>
      </c>
      <c r="E2" s="21" t="s">
        <v>415</v>
      </c>
      <c r="F2" s="9" t="s">
        <v>376</v>
      </c>
      <c r="G2" s="9" t="s">
        <v>45</v>
      </c>
      <c r="H2" s="7" t="s">
        <v>382</v>
      </c>
      <c r="I2" s="9" t="s">
        <v>49</v>
      </c>
      <c r="J2" s="15" t="s">
        <v>207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207</vt:i4>
      </vt:variant>
    </vt:vector>
  </HeadingPairs>
  <TitlesOfParts>
    <vt:vector size="207" baseType="lpstr">
      <vt:lpstr>Dispatch Advice VN</vt:lpstr>
      <vt:lpstr>Dispatch Advice_ASSR</vt:lpstr>
      <vt:lpstr>Dispatch Advice Detail VN</vt:lpstr>
      <vt:lpstr>Dispatch Advice Detail2 VN</vt:lpstr>
      <vt:lpstr>Dispatch Advice Loss VN</vt:lpstr>
      <vt:lpstr>DA Amount Val R2 VN</vt:lpstr>
      <vt:lpstr>Dispatch Advice Grid VN</vt:lpstr>
      <vt:lpstr>Dispatch Advice Delete</vt:lpstr>
      <vt:lpstr>Dispatch_Advice_Delete_ASSR</vt:lpstr>
      <vt:lpstr>DA_FORWARD_ASSR</vt:lpstr>
      <vt:lpstr>Dispatch Advice Approval VN</vt:lpstr>
      <vt:lpstr>DA Loss Approval R2 VN</vt:lpstr>
      <vt:lpstr>DA_LOSS_APPROVALFRWD_ASSR</vt:lpstr>
      <vt:lpstr>Order Booking_R2 (4)</vt:lpstr>
      <vt:lpstr>Order Booking_R2_VN</vt:lpstr>
      <vt:lpstr>Order Booking Detail_R2_VN</vt:lpstr>
      <vt:lpstr>Order Booking Detail2_R2_VN</vt:lpstr>
      <vt:lpstr>ORD_BOOK_SAVE_ASSR</vt:lpstr>
      <vt:lpstr>Order Editing_R2 VN</vt:lpstr>
      <vt:lpstr>Order Editing Detail_R2 VN</vt:lpstr>
      <vt:lpstr>Order Editing Detail3_R2 VN</vt:lpstr>
      <vt:lpstr>ORD_EDIT_VALD_ASSR</vt:lpstr>
      <vt:lpstr>ORD_EDIT_SAVE_ASSR</vt:lpstr>
      <vt:lpstr>Order_Cancellation_R2_VN</vt:lpstr>
      <vt:lpstr>Order_Cancellation_Detail_R2_VN</vt:lpstr>
      <vt:lpstr>Order_Cancel_Detail_Val_R2_VN</vt:lpstr>
      <vt:lpstr>Approval Screen</vt:lpstr>
      <vt:lpstr>Goods Issue Note R2 VN</vt:lpstr>
      <vt:lpstr>GIN CM Selection R2 VN</vt:lpstr>
      <vt:lpstr>GIN Detail R2 VN</vt:lpstr>
      <vt:lpstr>GIN Forward R2 VN</vt:lpstr>
      <vt:lpstr>Goods Issue Note Detail (2)</vt:lpstr>
      <vt:lpstr>GIN_DTL_SAVE_ASSR</vt:lpstr>
      <vt:lpstr>GIN_FORWARD_ASSR</vt:lpstr>
      <vt:lpstr>Goods Issue Note App R2 VN</vt:lpstr>
      <vt:lpstr>GIN_APPROVAL_SAVE_ASSR</vt:lpstr>
      <vt:lpstr>Order Editing After GIN R2 VN</vt:lpstr>
      <vt:lpstr>Order Editing Det Aft GIN R2 VN</vt:lpstr>
      <vt:lpstr>Order Editing Det2 AftGIN R2 VN</vt:lpstr>
      <vt:lpstr>Order Cancel after GIN R2 VN</vt:lpstr>
      <vt:lpstr>Odr Cancel after GIN det R2 VN</vt:lpstr>
      <vt:lpstr>Odr_Can_afterGINDetail_Val_R2VN</vt:lpstr>
      <vt:lpstr>Distributor selection</vt:lpstr>
      <vt:lpstr>Sales Return R2 VN</vt:lpstr>
      <vt:lpstr>Sales Return Detail R2 VN</vt:lpstr>
      <vt:lpstr>Sales Return Validation R2 VN</vt:lpstr>
      <vt:lpstr>Sales_Retur</vt:lpstr>
      <vt:lpstr>SaleRetDTL_Valid_ASSR</vt:lpstr>
      <vt:lpstr>SaleRetDTL_SAVE_ASSR</vt:lpstr>
      <vt:lpstr>Sales Ret Status Change R2 VN</vt:lpstr>
      <vt:lpstr>Sales Ret Status Change2 R2 VN</vt:lpstr>
      <vt:lpstr>Sales R Status Change Val R2 VN</vt:lpstr>
      <vt:lpstr>SR_StatsChang_DTL_SAVE_ASSR</vt:lpstr>
      <vt:lpstr>Sales Return View R2 VN</vt:lpstr>
      <vt:lpstr>Sales Return View Det Val R2 VN</vt:lpstr>
      <vt:lpstr>SaleRetrunView_ASSR</vt:lpstr>
      <vt:lpstr>Sales Return View App R2 VN</vt:lpstr>
      <vt:lpstr>SaleRetrunViewApprval_ASSR</vt:lpstr>
      <vt:lpstr>Goods Return Note R2 VN</vt:lpstr>
      <vt:lpstr>GRN Detail R2 VN</vt:lpstr>
      <vt:lpstr>GRN Detail Validation R2 VN</vt:lpstr>
      <vt:lpstr>GRN_DTL_SAVE_ASSR</vt:lpstr>
      <vt:lpstr>GRN Forward R2 VN</vt:lpstr>
      <vt:lpstr>GRN_FORWARD_ASSR</vt:lpstr>
      <vt:lpstr>Goods Return Note App R2 VN</vt:lpstr>
      <vt:lpstr>GRN_APPROVAL_ASSR</vt:lpstr>
      <vt:lpstr>Deposit Slip Multi Chq R2 VN</vt:lpstr>
      <vt:lpstr>Deposit Slip Multi Chq1 R2 VN</vt:lpstr>
      <vt:lpstr>DEPOSIT_SAVE_ASSR</vt:lpstr>
      <vt:lpstr>Deposit Slip Chq R2 VN</vt:lpstr>
      <vt:lpstr>Deposit Slip Chq2 R2 VN</vt:lpstr>
      <vt:lpstr>Deposit Slip Cash R2 VN</vt:lpstr>
      <vt:lpstr>Deposit Slip Cash2 R2 VN</vt:lpstr>
      <vt:lpstr>Cheque Status R2 VN</vt:lpstr>
      <vt:lpstr>Cheque_Status_ASSR</vt:lpstr>
      <vt:lpstr>Route Settlement R2 VN</vt:lpstr>
      <vt:lpstr>Route Settlement Val R2 VN</vt:lpstr>
      <vt:lpstr>Route Settlement Val1 R2 VN</vt:lpstr>
      <vt:lpstr>Route Settlement Val2 R2 VN</vt:lpstr>
      <vt:lpstr>Route Settlement Val3 R2 VN</vt:lpstr>
      <vt:lpstr>DSR Adjustment Amount R2 VN</vt:lpstr>
      <vt:lpstr>DSR Adjustment Amount,Det R2 VN</vt:lpstr>
      <vt:lpstr>DSR_ADJ_AMOUNT_ASSR</vt:lpstr>
      <vt:lpstr>GLOBAL-REPO</vt:lpstr>
      <vt:lpstr>DEPOSIT_DTL_SAVE_ASSR</vt:lpstr>
      <vt:lpstr>Deposit Slip,Forward</vt:lpstr>
      <vt:lpstr>Deposit Slip,Approval</vt:lpstr>
      <vt:lpstr>DEPOSITSLIP_FWD_ASSR</vt:lpstr>
      <vt:lpstr>Deposit Slip Update</vt:lpstr>
      <vt:lpstr>Cashmemo Status R2 VN</vt:lpstr>
      <vt:lpstr>ORD_STATUS_SAVE_ASSR</vt:lpstr>
      <vt:lpstr>Stock Allocation</vt:lpstr>
      <vt:lpstr>Stock_Allocation_ASSR</vt:lpstr>
      <vt:lpstr>Stock Unallocation</vt:lpstr>
      <vt:lpstr>Unallocated_ASSR</vt:lpstr>
      <vt:lpstr>Transaction Inquiry</vt:lpstr>
      <vt:lpstr>Delivery Date Change</vt:lpstr>
      <vt:lpstr>DELIVERYDATE_CHNG_ASSR</vt:lpstr>
      <vt:lpstr>Stock Inquiry</vt:lpstr>
      <vt:lpstr>PJP Daily R2 VN</vt:lpstr>
      <vt:lpstr>PJP Daily2 R2 VN</vt:lpstr>
      <vt:lpstr>PJP_Inquiry_ASSR</vt:lpstr>
      <vt:lpstr>Cashmemo Reschedule</vt:lpstr>
      <vt:lpstr>Reschedule_ASSR</vt:lpstr>
      <vt:lpstr>FRESH_SALES_RET_Partial_R2</vt:lpstr>
      <vt:lpstr>FRESH_SALES_RETURN_ASSR</vt:lpstr>
      <vt:lpstr>FRESH_SALES_RET_DTL Partial_R2</vt:lpstr>
      <vt:lpstr>FRESH_SALES_RETURN Val Partial</vt:lpstr>
      <vt:lpstr>FRESH_SALES_RET_Full_R2</vt:lpstr>
      <vt:lpstr>FRESH_SALES_RET_DTL_Full_R2</vt:lpstr>
      <vt:lpstr>FRESH_SALES_RETURN Val_Full</vt:lpstr>
      <vt:lpstr>FRESH_SALES_RETURN_Full_ASSR</vt:lpstr>
      <vt:lpstr>Stock_Val_after_DA_R2_VN</vt:lpstr>
      <vt:lpstr>Stock_Val_after_DA_2_R2_VN</vt:lpstr>
      <vt:lpstr>Stock_Val_after_DA_3_R2_VN</vt:lpstr>
      <vt:lpstr>Stock_Val_after_GIN_R2_VN</vt:lpstr>
      <vt:lpstr>Stock_Val_after_GIN_2_R2_VN</vt:lpstr>
      <vt:lpstr>Stock_Val_after_GIN_3_R2_VN</vt:lpstr>
      <vt:lpstr>Stock_Val_after_GRN_R2_VN</vt:lpstr>
      <vt:lpstr>Stock_Val_after_GRN_2_R2_VN</vt:lpstr>
      <vt:lpstr>Stock_Val_after_GRN_3_R2_VN</vt:lpstr>
      <vt:lpstr>Open_Close_Stock_Val_R2_VN</vt:lpstr>
      <vt:lpstr>Open_Close_Stock_Val2_R2_VN</vt:lpstr>
      <vt:lpstr>Open_Close_Stock_Val3_R2_VN</vt:lpstr>
      <vt:lpstr>screenshot_ASSR</vt:lpstr>
      <vt:lpstr>SAN Admin R2 VN</vt:lpstr>
      <vt:lpstr>SAN Admin Detail R2 VN</vt:lpstr>
      <vt:lpstr>SAN Admin Forward R2 VN</vt:lpstr>
      <vt:lpstr>SAN Ware2Ware R2 VN</vt:lpstr>
      <vt:lpstr>SAN W2W DetailR2 VN</vt:lpstr>
      <vt:lpstr>SAN W2W Forward R2 VN</vt:lpstr>
      <vt:lpstr>SAN Entry R2 VN</vt:lpstr>
      <vt:lpstr>SAN Entry Detail R2 VN</vt:lpstr>
      <vt:lpstr>SAN Entry Forward R2 VN</vt:lpstr>
      <vt:lpstr>SAN_FWD_ASSR</vt:lpstr>
      <vt:lpstr>SAN APP R2 VN</vt:lpstr>
      <vt:lpstr>SAN_APP_ASSR</vt:lpstr>
      <vt:lpstr>Stock_Val_after_SAN_admin_VN</vt:lpstr>
      <vt:lpstr>Stock_Val_after_SAN_admin2_VN</vt:lpstr>
      <vt:lpstr>Stock_Val_after_SAN_admin3_VN</vt:lpstr>
      <vt:lpstr>Stock_Val_after_SAN_W2W_VN</vt:lpstr>
      <vt:lpstr>Stock_Val_after_SAN_W2W2_VN</vt:lpstr>
      <vt:lpstr>Stock_Val_after_SAN_W2W3_VN</vt:lpstr>
      <vt:lpstr>Stock_Val_after_SAN_entry_VN</vt:lpstr>
      <vt:lpstr>Stock_Val_after_SAN_entry2_VN</vt:lpstr>
      <vt:lpstr>Stock_Val_after_SAN_entry3_VN</vt:lpstr>
      <vt:lpstr>OTC Stock Out R2 VN</vt:lpstr>
      <vt:lpstr>OTC Stock Out Det R2 VN</vt:lpstr>
      <vt:lpstr>OTC Stock Out Fwd R2 VN</vt:lpstr>
      <vt:lpstr>Amount_Val_Aft_Order_Edit_R2_VN</vt:lpstr>
      <vt:lpstr>Amt_Val_After_Edit_detail_R2_VN</vt:lpstr>
      <vt:lpstr>Amt_Val_Aft_Edit_tot_off1_R2_VN</vt:lpstr>
      <vt:lpstr>Amt_Val_Aft_Edit_tot_off2_R2_VN</vt:lpstr>
      <vt:lpstr>Amt_Val_Aft_Edit_tot_tax_R2_VN</vt:lpstr>
      <vt:lpstr>Amt_Val_Aft_Edit_add_chrg_R2_VN</vt:lpstr>
      <vt:lpstr>Amt_Val_After_Edit_header_R2_VN</vt:lpstr>
      <vt:lpstr>Transaction_inquiry_val_R2</vt:lpstr>
      <vt:lpstr>Trans_inq_detail_val_R2</vt:lpstr>
      <vt:lpstr>Trans_inq_totalOffer_val_R2_1</vt:lpstr>
      <vt:lpstr>Trans_inq_totalOffer_val_R2_2</vt:lpstr>
      <vt:lpstr>Trans_inq_header_val_R2</vt:lpstr>
      <vt:lpstr>Trans_inq_total_tax_val_R2</vt:lpstr>
      <vt:lpstr>Trans_inq_add_charges_val_R2</vt:lpstr>
      <vt:lpstr>ReceivedAmt_Val_TransInq_R2_1</vt:lpstr>
      <vt:lpstr>ReceivedAmt_Val_TransInq_R2_2</vt:lpstr>
      <vt:lpstr>Charges_Val_Transaction_Inq_R2</vt:lpstr>
      <vt:lpstr>Charges_Val_Total_Tax_R2</vt:lpstr>
      <vt:lpstr>Charges_Val_Header_R2</vt:lpstr>
      <vt:lpstr>Amt_Val_AfterGIN_Odr_Edit_R2_VN</vt:lpstr>
      <vt:lpstr>Amt_Val_AftGIN_Edit_detail_R2VN</vt:lpstr>
      <vt:lpstr>Amt_Val_Aft_GIN_Edt_tot_offR2VN</vt:lpstr>
      <vt:lpstr>Amt_Val_AftGIN_Edt_tot_tax_R2VN</vt:lpstr>
      <vt:lpstr>Amt_Val_AftGIN_Edt_addchargR2VN</vt:lpstr>
      <vt:lpstr>Amt_Val_AfTGIN_Edit_header_R2VN</vt:lpstr>
      <vt:lpstr>Amount_after_Sale_return_R2_VN</vt:lpstr>
      <vt:lpstr>Amt_after_SaleRet_detail_R2_VN</vt:lpstr>
      <vt:lpstr>Amt_aftr_SaleRet_TotalTax_R2_VN</vt:lpstr>
      <vt:lpstr>Amt_aft_SaleRet_TotOff_1_R2_VN</vt:lpstr>
      <vt:lpstr>Amt_aft_SaleRet_TotOff_2_R2_VN</vt:lpstr>
      <vt:lpstr>Amt_aft_SaleRet_AddCharge_R2_VN</vt:lpstr>
      <vt:lpstr>Amt_after_SaleRet_Header_R2_VN</vt:lpstr>
      <vt:lpstr>Deposit_Slip_Cash_Full_1_R2_VN</vt:lpstr>
      <vt:lpstr>Deposit_Slip_Cash_Full_2_R2_VN</vt:lpstr>
      <vt:lpstr>Deposit_Slip_Cheq_Full_1_R2_VN</vt:lpstr>
      <vt:lpstr>Deposit_Slip_Cheq_Full_2_R2_VN</vt:lpstr>
      <vt:lpstr>Deposit_Slip_Creation_R2</vt:lpstr>
      <vt:lpstr>Deposit_Slip_Cashmemo_Save_R2</vt:lpstr>
      <vt:lpstr>Deposit_Slip_UnPosted_Val_R2</vt:lpstr>
      <vt:lpstr>DepSlip_ReceivedAmount_Val_1_R2</vt:lpstr>
      <vt:lpstr>DepSlip_ReceivedAmount_Val_2_R2</vt:lpstr>
      <vt:lpstr>DepSlip_Balance0_Val_R2</vt:lpstr>
      <vt:lpstr>Cash_DepSlip_Bal_0_Val_R2_VN</vt:lpstr>
      <vt:lpstr>Cheque_DepSlip_Bal_0_Val_R2_VN</vt:lpstr>
      <vt:lpstr>Amt_Val_Full_Fresh_return_R2</vt:lpstr>
      <vt:lpstr>Amt_Val_F_FreshRet_detail_R2</vt:lpstr>
      <vt:lpstr>Amt_Val_F_FreshRet_TotalTax_R2</vt:lpstr>
      <vt:lpstr>Amt_Val_F_FreshRe_TotalOff_1_R2</vt:lpstr>
      <vt:lpstr>Amt_Val_F_FreshRe_TotalOff_2_R2</vt:lpstr>
      <vt:lpstr>Amt_Val_F_FreshRe_AddCharges_R2</vt:lpstr>
      <vt:lpstr>Amt_Val_F_FreshRet_Header_R2</vt:lpstr>
      <vt:lpstr>Amt_Val_Partial_Fresh_return_R2</vt:lpstr>
      <vt:lpstr>Amt_Val_P_FreshRet_detail_R2</vt:lpstr>
      <vt:lpstr>Amt_Val_P_FreshRet_TotalTax_R2</vt:lpstr>
      <vt:lpstr>Amt_Val_P_FreshRe_TotalOff_1_R2</vt:lpstr>
      <vt:lpstr>Amt_Val_P_FreshRe_TotalOff_2_R2</vt:lpstr>
      <vt:lpstr>Amt_Val_P_FreshRe_AddCharges_R2</vt:lpstr>
      <vt:lpstr>Amt_Val_P_FreshRet_Header_R2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 Hussain</dc:creator>
  <cp:lastModifiedBy>Hadi Imran</cp:lastModifiedBy>
  <dcterms:created xsi:type="dcterms:W3CDTF">2006-09-16T00:00:00Z</dcterms:created>
  <dcterms:modified xsi:type="dcterms:W3CDTF">2026-09-03T07:16:18Z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XPowerLiteLastOptimized">
    <vt:lpwstr>147046</vt:lpwstr>
  </property>
  <property fmtid="{D5CDD505-2E9C-101B-9397-08002B2CF9AE}" pid="3" name="NXPowerLiteSettings">
    <vt:lpwstr>E7000400038000</vt:lpwstr>
  </property>
  <property fmtid="{D5CDD505-2E9C-101B-9397-08002B2CF9AE}" pid="4" name="NXPowerLiteVersion">
    <vt:lpwstr>S11.0.1</vt:lpwstr>
  </property>
</Properties>
</file>