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PAK_QA\casedata\"/>
    </mc:Choice>
  </mc:AlternateContent>
  <bookViews>
    <workbookView xWindow="0" yWindow="0" windowWidth="24000" windowHeight="9510" tabRatio="923" firstSheet="14" activeTab="16"/>
  </bookViews>
  <sheets>
    <sheet name="Dispatch Advice" sheetId="31" r:id="rId1"/>
    <sheet name="Dispatch Advice_ASSR" sheetId="95" r:id="rId2"/>
    <sheet name="Dispatch Advice Detail (2)" sheetId="146" r:id="rId3"/>
    <sheet name="Dispatch Advice Detail" sheetId="32" r:id="rId4"/>
    <sheet name="Dispatch Advice Detail2 (2)" sheetId="145" r:id="rId5"/>
    <sheet name="Dispatch Advice Detail2" sheetId="79" r:id="rId6"/>
    <sheet name="Dispatch Advice Loss" sheetId="33" r:id="rId7"/>
    <sheet name="Dispatch Advice Grid" sheetId="92" r:id="rId8"/>
    <sheet name="Dispatch Advice Delete" sheetId="93" r:id="rId9"/>
    <sheet name="Stock_Val_After_DA_PAK" sheetId="97" r:id="rId10"/>
    <sheet name="Stock_Val_After_DA_PAK2" sheetId="100" r:id="rId11"/>
    <sheet name="Stock_Val_After_DA_PAK3" sheetId="101" r:id="rId12"/>
    <sheet name="Stock_val_after_GIN_PAK1" sheetId="102" r:id="rId13"/>
    <sheet name="Stock_Val_after_GIN_PAK2" sheetId="103" r:id="rId14"/>
    <sheet name="Stock_Val_after_GIN_PAK3" sheetId="104" r:id="rId15"/>
    <sheet name="Stock_Val_after_GRN_PAK1" sheetId="105" r:id="rId16"/>
    <sheet name="Stock_Val_after_GRN_PAK2" sheetId="107" r:id="rId17"/>
    <sheet name="Stock_Val_after_GRN_PAK3" sheetId="106" r:id="rId18"/>
    <sheet name="Open_Close_Stock_Val" sheetId="108" r:id="rId19"/>
    <sheet name="Open_Close_Stock_Val2" sheetId="109" r:id="rId20"/>
    <sheet name="Open_Close_Stock_Val3" sheetId="110" r:id="rId21"/>
    <sheet name="screenshot_ASSR" sheetId="111" r:id="rId22"/>
    <sheet name="SAN Admin" sheetId="116" r:id="rId23"/>
    <sheet name="SAN Admin Detail" sheetId="117" r:id="rId24"/>
    <sheet name="SAN Admin Forward" sheetId="118" r:id="rId25"/>
    <sheet name="SAN Warehouse2Warehouse" sheetId="119" r:id="rId26"/>
    <sheet name="SAN W2W Detail" sheetId="120" r:id="rId27"/>
    <sheet name="SAN W2W Forward" sheetId="121" r:id="rId28"/>
    <sheet name="SAN Entry" sheetId="204" r:id="rId29"/>
    <sheet name="SAN Entry Detail" sheetId="205" r:id="rId30"/>
    <sheet name="SAN Entry Forward" sheetId="206" r:id="rId31"/>
    <sheet name="SAN_FWD_ASSR" sheetId="122" r:id="rId32"/>
    <sheet name="Stock Adjustment SAN APP" sheetId="123" r:id="rId33"/>
    <sheet name="SAN Approval PAK" sheetId="192" r:id="rId34"/>
    <sheet name="SAN_APP_ASSR" sheetId="124" r:id="rId35"/>
    <sheet name="Stock_Val_after_SAN_admin" sheetId="134" r:id="rId36"/>
    <sheet name="Stock_Val_after_SAN_admin2" sheetId="135" r:id="rId37"/>
    <sheet name="Stock_Val_after_SAN_admin3" sheetId="136" r:id="rId38"/>
    <sheet name="Stock_Val_after_SAN_W2W" sheetId="137" r:id="rId39"/>
    <sheet name="Stock_Val_after_SAN_W2W2" sheetId="138" r:id="rId40"/>
    <sheet name="Stock_Val_after_SAN_W2W3" sheetId="139" r:id="rId41"/>
    <sheet name="Stock_Val_after_SAN_entry" sheetId="207" r:id="rId42"/>
    <sheet name="Stock_Val_after_SAN_entry2" sheetId="208" r:id="rId43"/>
    <sheet name="Stock_Val_after_SAN_entry3" sheetId="209" r:id="rId44"/>
    <sheet name="OTC Stock Out R1" sheetId="140" r:id="rId45"/>
    <sheet name="OTC Stock Out Det R1" sheetId="141" r:id="rId46"/>
    <sheet name="OTC Stock Out Fwd R1" sheetId="142" r:id="rId47"/>
    <sheet name="Dispatch_Advice_Delete_ASSR" sheetId="94" r:id="rId48"/>
    <sheet name="DA_FORWARD_ASSR" sheetId="50" r:id="rId49"/>
    <sheet name="Dispatch Advice Approval" sheetId="40" r:id="rId50"/>
    <sheet name="Dispatch Advice Loss Approval" sheetId="35" r:id="rId51"/>
    <sheet name="DA_APPROVALFRWD_ASSR" sheetId="65" r:id="rId52"/>
    <sheet name="Order Booking" sheetId="7" r:id="rId53"/>
    <sheet name="Order Booking Detail (2)" sheetId="144" r:id="rId54"/>
    <sheet name="Order Booking Detail" sheetId="8" r:id="rId55"/>
    <sheet name="Order Booking Detail2" sheetId="45" r:id="rId56"/>
    <sheet name="ORD_BOOK_SAVE_ASSR" sheetId="49" r:id="rId57"/>
    <sheet name="T Inquiry val after OB" sheetId="158" r:id="rId58"/>
    <sheet name="T Inquiry Detail Amt Val" sheetId="159" r:id="rId59"/>
    <sheet name="T Inquiry Header Amt Val" sheetId="160" r:id="rId60"/>
    <sheet name="Total Offering Amt Val" sheetId="161" r:id="rId61"/>
    <sheet name="T Inquiry Charges Amt Val" sheetId="162" r:id="rId62"/>
    <sheet name="T Inquiry Select Outlets" sheetId="163" r:id="rId63"/>
    <sheet name="T Inquiry Total Tax Amt Val" sheetId="164" r:id="rId64"/>
    <sheet name="T Inquiry Header Tax Amt Val" sheetId="165" r:id="rId65"/>
    <sheet name="Transecti After OB Charges Tax2" sheetId="166" r:id="rId66"/>
    <sheet name="Transecti After OB Charges Tax3" sheetId="167" r:id="rId67"/>
    <sheet name="Order Editing" sheetId="29" r:id="rId68"/>
    <sheet name="Order Editing Detail" sheetId="30" r:id="rId69"/>
    <sheet name="Order Editing Detail2 (2)" sheetId="147" r:id="rId70"/>
    <sheet name="Order Editing Detail2" sheetId="47" r:id="rId71"/>
    <sheet name="Order Editing Detail3" sheetId="203" r:id="rId72"/>
    <sheet name="Order Editing After Charges" sheetId="168" r:id="rId73"/>
    <sheet name="T Inquiry Total Tax Amt Val2" sheetId="169" r:id="rId74"/>
    <sheet name="T Inquiry Header Tax Amt Val2" sheetId="170" r:id="rId75"/>
    <sheet name="ORD_EDIT_VALD_ASSR" sheetId="51" r:id="rId76"/>
    <sheet name="ORD_EDIT_SAVE_ASSR" sheetId="52" r:id="rId77"/>
    <sheet name="T Inquiry val after OE" sheetId="195" r:id="rId78"/>
    <sheet name="T Inquiry Header Amt Val OE" sheetId="196" r:id="rId79"/>
    <sheet name="T Inquiry Detail Amt Val OE" sheetId="197" r:id="rId80"/>
    <sheet name="Total Offering Amt Val OE" sheetId="198" r:id="rId81"/>
    <sheet name="Order Cancellation" sheetId="27" r:id="rId82"/>
    <sheet name="Order Cancellation Detail" sheetId="28" r:id="rId83"/>
    <sheet name="Order Cancellation Detail_Val" sheetId="143" r:id="rId84"/>
    <sheet name="DA_LOSS_APPROVALFRWD_ASSR" sheetId="66" r:id="rId85"/>
    <sheet name="Dispatch_Advice_Detail2_ASSR" sheetId="80" r:id="rId86"/>
    <sheet name="DA Loss Approval Request" sheetId="34" r:id="rId87"/>
    <sheet name="Approval Screen" sheetId="39" r:id="rId88"/>
    <sheet name="Goods Issue Note" sheetId="9" r:id="rId89"/>
    <sheet name="Goods Issue Note CM Selection" sheetId="61" r:id="rId90"/>
    <sheet name="Goods Issue Note Detail" sheetId="10" r:id="rId91"/>
    <sheet name="Goods Issue Note Forward" sheetId="60" r:id="rId92"/>
    <sheet name="GIN_DTL_SAVE_ASSR" sheetId="53" r:id="rId93"/>
    <sheet name="GIN_FORWARD_ASSR" sheetId="54" r:id="rId94"/>
    <sheet name="Goods Issue Note Approval" sheetId="75" r:id="rId95"/>
    <sheet name="GIN_APPROVAL_SAVE_ASSR" sheetId="185" r:id="rId96"/>
    <sheet name="GIN_ APPROVAL_ASSR" sheetId="71" r:id="rId97"/>
    <sheet name="Sales Return" sheetId="13" r:id="rId98"/>
    <sheet name="Sales Return Detail" sheetId="14" r:id="rId99"/>
    <sheet name="Sales Return Validation" sheetId="148" r:id="rId100"/>
    <sheet name="Sales Return Charges" sheetId="171" r:id="rId101"/>
    <sheet name="Sales Return Total Tax" sheetId="172" r:id="rId102"/>
    <sheet name="Sales Return Header Tax" sheetId="173" r:id="rId103"/>
    <sheet name="T Inquiry val after SR" sheetId="199" r:id="rId104"/>
    <sheet name="T Inquiry Header Amt Val SR" sheetId="200" r:id="rId105"/>
    <sheet name="T Inquiry Detail Amt Val SR" sheetId="201" r:id="rId106"/>
    <sheet name="Total Offering Amt Val SR" sheetId="202" r:id="rId107"/>
    <sheet name="SaleRetDTL_Valid_ASSR" sheetId="56" r:id="rId108"/>
    <sheet name="SaleRetDTL_SAVE_ASSR" sheetId="55" r:id="rId109"/>
    <sheet name="Sales Return Status Change" sheetId="17" r:id="rId110"/>
    <sheet name="Sales Return Status Change Det" sheetId="18" r:id="rId111"/>
    <sheet name="Sales R Status Change_Valida" sheetId="150" r:id="rId112"/>
    <sheet name="SR_StatsChang_DTL_SAVE_ASSR" sheetId="58" r:id="rId113"/>
    <sheet name="Sales Return View" sheetId="15" r:id="rId114"/>
    <sheet name="Sales Return View,Detail_Val" sheetId="149" r:id="rId115"/>
    <sheet name="SaleRetrunView_ASSR" sheetId="57" r:id="rId116"/>
    <sheet name="Sales Return View Approval" sheetId="16" r:id="rId117"/>
    <sheet name="SaleRetrunViewApprval_ASSR" sheetId="64" r:id="rId118"/>
    <sheet name="Goods Return Note" sheetId="23" r:id="rId119"/>
    <sheet name="Good Return Note Detail (2)" sheetId="152" r:id="rId120"/>
    <sheet name="Good Return Note Detail" sheetId="24" r:id="rId121"/>
    <sheet name="Good Return Note Detail_Valida" sheetId="151" r:id="rId122"/>
    <sheet name="GRN_DTL_SAVE_ASSR" sheetId="72" r:id="rId123"/>
    <sheet name="Goods Return Note Forward" sheetId="46" r:id="rId124"/>
    <sheet name="GRN_FORWARD_ASSR" sheetId="73" r:id="rId125"/>
    <sheet name="Good Return Note Approval" sheetId="76" r:id="rId126"/>
    <sheet name="GRN_APPROVAL_ASSR" sheetId="74" r:id="rId127"/>
    <sheet name="Deposit Slip" sheetId="19" r:id="rId128"/>
    <sheet name="Deposit Slip,Outlet" sheetId="88" r:id="rId129"/>
    <sheet name="Deposit_Slip_Outlet_ASSR" sheetId="193" r:id="rId130"/>
    <sheet name="DEPOSIT_SAVE_ASSR" sheetId="68" r:id="rId131"/>
    <sheet name="Deposit Slip,Cash" sheetId="90" r:id="rId132"/>
    <sheet name="Deposit Slip,Cash memos,Cash" sheetId="91" r:id="rId133"/>
    <sheet name="Deposit Slip,Cash memos" sheetId="20" r:id="rId134"/>
    <sheet name="Deposit Slip Full Cash" sheetId="175" r:id="rId135"/>
    <sheet name="Deposit Slip,Cmemos Full Cash" sheetId="176" r:id="rId136"/>
    <sheet name="Deposit Slip FullAmount Cheque" sheetId="177" r:id="rId137"/>
    <sheet name="Depo Slip,Cash m F Amount Che" sheetId="178" r:id="rId138"/>
    <sheet name="Dslip cash after order removal" sheetId="179" r:id="rId139"/>
    <sheet name="Dslip chequ after order removal" sheetId="180" r:id="rId140"/>
    <sheet name="Deposit S After R Settlemen (2" sheetId="181" r:id="rId141"/>
    <sheet name="D Slip,Cash m After R Settle" sheetId="182" r:id="rId142"/>
    <sheet name="Deposit Slip Unposted" sheetId="186" r:id="rId143"/>
    <sheet name="Deposit Slip,Cash memos unPost" sheetId="187" r:id="rId144"/>
    <sheet name="Deposit slip Val Unposted" sheetId="188" r:id="rId145"/>
    <sheet name="Cheque Status" sheetId="86" r:id="rId146"/>
    <sheet name="Route Settlement (2)" sheetId="157" r:id="rId147"/>
    <sheet name="Route Settlement" sheetId="41" r:id="rId148"/>
    <sheet name="Route Settlement Validation" sheetId="153" r:id="rId149"/>
    <sheet name="Route Settlement Validation1" sheetId="154" r:id="rId150"/>
    <sheet name="Route Settlement Validation2" sheetId="155" r:id="rId151"/>
    <sheet name="Route Settlement Validation3" sheetId="156" r:id="rId152"/>
    <sheet name="T Inquiry Search outlet" sheetId="183" r:id="rId153"/>
    <sheet name="Validate Offset amount" sheetId="184" r:id="rId154"/>
    <sheet name="DSR Adjustment Amount" sheetId="21" r:id="rId155"/>
    <sheet name="GLOBAL-REPO" sheetId="42" r:id="rId156"/>
    <sheet name="DEPOSIT_DTL_SAVE_ASSR" sheetId="67" r:id="rId157"/>
    <sheet name="Distributor selection" sheetId="96" r:id="rId158"/>
    <sheet name="Deposit Slip,Forward" sheetId="43" r:id="rId159"/>
    <sheet name="Deposit Slip,Approval" sheetId="82" r:id="rId160"/>
    <sheet name="DEPOSITSLIP_FWD_ASSR" sheetId="69" r:id="rId161"/>
    <sheet name="Deposit Slip Update" sheetId="81" r:id="rId162"/>
    <sheet name="Cheque_Status_ASSR" sheetId="87" r:id="rId163"/>
    <sheet name="Cashmemo Status" sheetId="12" r:id="rId164"/>
    <sheet name="ORD_STATUS_SAVE_ASSR" sheetId="62" r:id="rId165"/>
    <sheet name="Stock Allocation" sheetId="36" r:id="rId166"/>
    <sheet name="Stock_Allocation_ASSR" sheetId="84" r:id="rId167"/>
    <sheet name="Stock Unallocation" sheetId="83" r:id="rId168"/>
    <sheet name="Unallocated_ASSR" sheetId="63" r:id="rId169"/>
    <sheet name="Transaction Inquiry" sheetId="37" r:id="rId170"/>
    <sheet name="Delivery Date Change" sheetId="11" r:id="rId171"/>
    <sheet name="DELIVERYDATE_CHNG_ASSR" sheetId="70" r:id="rId172"/>
    <sheet name="Stock Inquiry" sheetId="38" r:id="rId173"/>
    <sheet name="DSR_ADJ_AMOUNT_ASSR" sheetId="59" r:id="rId174"/>
    <sheet name="DSR Adjustment Amount,Detail" sheetId="22" r:id="rId175"/>
    <sheet name="PJP Daily" sheetId="77" r:id="rId176"/>
    <sheet name="PJP Daily2" sheetId="78" r:id="rId177"/>
    <sheet name="PJP_Daily2_ASSR" sheetId="85" r:id="rId178"/>
    <sheet name="PJP_Inquiry_ASSR" sheetId="194" r:id="rId179"/>
    <sheet name="Cashmemo Reschedule" sheetId="89" r:id="rId180"/>
    <sheet name="Cashmemo Reschedule Det" sheetId="190" r:id="rId181"/>
    <sheet name="Cashmemo Reschedule Val" sheetId="189" r:id="rId182"/>
    <sheet name="Reschedule_ASSR" sheetId="191" r:id="rId183"/>
  </sheets>
  <calcPr calcId="162913"/>
</workbook>
</file>

<file path=xl/calcChain.xml><?xml version="1.0" encoding="utf-8"?>
<calcChain xmlns="http://schemas.openxmlformats.org/spreadsheetml/2006/main">
  <c r="F2" i="207" l="1"/>
  <c r="D2" i="199" l="1"/>
  <c r="C2" i="199"/>
  <c r="A2" i="41"/>
  <c r="D2" i="195"/>
  <c r="C2" i="195"/>
  <c r="D2" i="158" l="1"/>
  <c r="C2" i="158"/>
  <c r="D2" i="183" l="1"/>
  <c r="C2" i="183"/>
  <c r="B2" i="178"/>
  <c r="D2" i="171" l="1"/>
  <c r="C2" i="171"/>
  <c r="D2" i="168"/>
  <c r="C2" i="168"/>
  <c r="D9" i="163"/>
  <c r="C9" i="163"/>
  <c r="D8" i="163"/>
  <c r="C8" i="163"/>
  <c r="D7" i="163"/>
  <c r="C7" i="163"/>
  <c r="D6" i="163"/>
  <c r="C6" i="163"/>
  <c r="D5" i="163"/>
  <c r="C5" i="163"/>
  <c r="D4" i="163"/>
  <c r="C4" i="163"/>
  <c r="D3" i="163"/>
  <c r="C3" i="163"/>
  <c r="D2" i="163"/>
  <c r="C2" i="163"/>
  <c r="F2" i="137" l="1"/>
  <c r="F2" i="134"/>
  <c r="F2" i="108" l="1"/>
  <c r="H2" i="107" l="1"/>
  <c r="H2" i="103"/>
  <c r="B2" i="105"/>
  <c r="B2" i="102"/>
  <c r="H2" i="100" l="1"/>
  <c r="B2" i="97"/>
  <c r="B3" i="88" l="1"/>
  <c r="B4" i="88"/>
  <c r="B5" i="88"/>
  <c r="B2" i="13" l="1"/>
  <c r="C2" i="13"/>
  <c r="B2" i="89"/>
  <c r="B2" i="88" l="1"/>
  <c r="B2" i="22"/>
  <c r="A2" i="89"/>
  <c r="B2" i="86" l="1"/>
  <c r="A2" i="83" l="1"/>
  <c r="E2" i="78" l="1"/>
  <c r="A2" i="77" l="1"/>
  <c r="A2" i="22" l="1"/>
  <c r="D2" i="38"/>
  <c r="B2" i="11"/>
  <c r="A2" i="11"/>
  <c r="D2" i="37"/>
  <c r="C2" i="37"/>
  <c r="A2" i="36"/>
  <c r="B2" i="20"/>
  <c r="C2" i="16"/>
  <c r="B2" i="16"/>
  <c r="C2" i="15"/>
  <c r="B2" i="15"/>
  <c r="B2" i="17"/>
  <c r="H2" i="9"/>
  <c r="A2" i="40"/>
  <c r="J2" i="31"/>
  <c r="H2" i="31"/>
  <c r="F2" i="31"/>
  <c r="C2" i="31"/>
  <c r="E2" i="27"/>
  <c r="D2" i="27"/>
  <c r="F2" i="29"/>
  <c r="E2" i="29"/>
</calcChain>
</file>

<file path=xl/sharedStrings.xml><?xml version="1.0" encoding="utf-8"?>
<sst xmlns="http://schemas.openxmlformats.org/spreadsheetml/2006/main" count="3579" uniqueCount="699">
  <si>
    <t>Order Booker/Spot Seller</t>
  </si>
  <si>
    <t>PJP</t>
  </si>
  <si>
    <t>Selling Category</t>
  </si>
  <si>
    <t>Section</t>
  </si>
  <si>
    <t>Outlet Name</t>
  </si>
  <si>
    <t>Comments</t>
  </si>
  <si>
    <t>PK</t>
  </si>
  <si>
    <t>Order Booker</t>
  </si>
  <si>
    <t>02111-AutomationOB1</t>
  </si>
  <si>
    <t>OrderCS</t>
  </si>
  <si>
    <t>OrderPC</t>
  </si>
  <si>
    <t>0</t>
  </si>
  <si>
    <t>Delivery Man PJP</t>
  </si>
  <si>
    <t>Delivery Man DSR</t>
  </si>
  <si>
    <t>Warehouse</t>
  </si>
  <si>
    <t>Vehicle</t>
  </si>
  <si>
    <t>Suggested Type</t>
  </si>
  <si>
    <t>Delivery Date</t>
  </si>
  <si>
    <t>Cashmemo List</t>
  </si>
  <si>
    <t>AutomationQADSR</t>
  </si>
  <si>
    <t>74 - Sect to Locus</t>
  </si>
  <si>
    <t>Actual CS</t>
  </si>
  <si>
    <t>Order Date</t>
  </si>
  <si>
    <t>PJP Number</t>
  </si>
  <si>
    <t>02111~AutomationOB1</t>
  </si>
  <si>
    <t>Date From</t>
  </si>
  <si>
    <t>Date To</t>
  </si>
  <si>
    <t>02112-AutomationDSR</t>
  </si>
  <si>
    <t>Reason Type</t>
  </si>
  <si>
    <t>PC</t>
  </si>
  <si>
    <t>Shop Closed</t>
  </si>
  <si>
    <t>PJP-DSR</t>
  </si>
  <si>
    <t>Type</t>
  </si>
  <si>
    <t>Bank</t>
  </si>
  <si>
    <t>Bank Branch</t>
  </si>
  <si>
    <t>Deposit Amount</t>
  </si>
  <si>
    <t>02111 - AutomationOB1</t>
  </si>
  <si>
    <t>Bank Al-Habib Limited</t>
  </si>
  <si>
    <t>DHA Branch</t>
  </si>
  <si>
    <t>Cheque No</t>
  </si>
  <si>
    <t>Cheque Date</t>
  </si>
  <si>
    <t>Bank_Name</t>
  </si>
  <si>
    <t>1234567</t>
  </si>
  <si>
    <t>Amount</t>
  </si>
  <si>
    <t>AUTO</t>
  </si>
  <si>
    <t>Start Date</t>
  </si>
  <si>
    <t>End Date</t>
  </si>
  <si>
    <t>CS</t>
  </si>
  <si>
    <t>1</t>
  </si>
  <si>
    <t>Date</t>
  </si>
  <si>
    <t>01</t>
  </si>
  <si>
    <t>Cancellation Reason</t>
  </si>
  <si>
    <t>Reference Number</t>
  </si>
  <si>
    <t>STPONERR</t>
  </si>
  <si>
    <t>N</t>
  </si>
  <si>
    <t>OrderDZ</t>
  </si>
  <si>
    <t>Selling category</t>
  </si>
  <si>
    <t>Shipment No</t>
  </si>
  <si>
    <t>Deliver No</t>
  </si>
  <si>
    <t>Invoice Due Date</t>
  </si>
  <si>
    <t>Tax Invoice Number</t>
  </si>
  <si>
    <t>Recieved Date</t>
  </si>
  <si>
    <t>Reference Date</t>
  </si>
  <si>
    <t>Reference No</t>
  </si>
  <si>
    <t>DA Type</t>
  </si>
  <si>
    <t>123</t>
  </si>
  <si>
    <t>12312</t>
  </si>
  <si>
    <t>Dispatch Advice</t>
  </si>
  <si>
    <t>Product</t>
  </si>
  <si>
    <t>Stock Type</t>
  </si>
  <si>
    <t>Batch</t>
  </si>
  <si>
    <t>CS2</t>
  </si>
  <si>
    <t>Sound</t>
  </si>
  <si>
    <t>1-1</t>
  </si>
  <si>
    <t>50</t>
  </si>
  <si>
    <t>12</t>
  </si>
  <si>
    <t>45</t>
  </si>
  <si>
    <t>11</t>
  </si>
  <si>
    <t>Stock</t>
  </si>
  <si>
    <t>5</t>
  </si>
  <si>
    <t>comments</t>
  </si>
  <si>
    <t>Search record name</t>
  </si>
  <si>
    <t>Auto</t>
  </si>
  <si>
    <t>Document Type</t>
  </si>
  <si>
    <t>Document Status</t>
  </si>
  <si>
    <t>Document Date From</t>
  </si>
  <si>
    <t>Document Date To</t>
  </si>
  <si>
    <t>Sales</t>
  </si>
  <si>
    <t>All</t>
  </si>
  <si>
    <t>Period Type</t>
  </si>
  <si>
    <t>Balance Date</t>
  </si>
  <si>
    <t>DAILY</t>
  </si>
  <si>
    <t>distributors</t>
  </si>
  <si>
    <t>15108843~IBRAHIM TRADERS</t>
  </si>
  <si>
    <t>Vendor Code</t>
  </si>
  <si>
    <t>SO Number</t>
  </si>
  <si>
    <t>UPL WH</t>
  </si>
  <si>
    <t>ProductDesc</t>
  </si>
  <si>
    <t>1115</t>
  </si>
  <si>
    <t>Positive_QA_Automation_01</t>
  </si>
  <si>
    <t>02</t>
  </si>
  <si>
    <t>03</t>
  </si>
  <si>
    <t>Automation Approval</t>
  </si>
  <si>
    <t>01-01</t>
  </si>
  <si>
    <t>01-02</t>
  </si>
  <si>
    <t>60</t>
  </si>
  <si>
    <t>Lost</t>
  </si>
  <si>
    <t>2</t>
  </si>
  <si>
    <t>4</t>
  </si>
  <si>
    <t>04</t>
  </si>
  <si>
    <t>20061858</t>
  </si>
  <si>
    <t>REPOID</t>
  </si>
  <si>
    <t>REPOVALUE</t>
  </si>
  <si>
    <t>010104</t>
  </si>
  <si>
    <t>REPO_ORGA</t>
  </si>
  <si>
    <t>Document Date</t>
  </si>
  <si>
    <t>55</t>
  </si>
  <si>
    <t>Automation_Testing_Section</t>
  </si>
  <si>
    <t>Outlet Code</t>
  </si>
  <si>
    <t>comments1</t>
  </si>
  <si>
    <t>Approval</t>
  </si>
  <si>
    <t>101020304050 - Automation_Testing_Section</t>
  </si>
  <si>
    <t>Gross Amount</t>
  </si>
  <si>
    <t>Discount</t>
  </si>
  <si>
    <t>Tax</t>
  </si>
  <si>
    <t>Net Amount</t>
  </si>
  <si>
    <t>REPO_CMDOCTYPE</t>
  </si>
  <si>
    <t>CM-01</t>
  </si>
  <si>
    <t>Trade Price</t>
  </si>
  <si>
    <t>02-01</t>
  </si>
  <si>
    <t>02-02</t>
  </si>
  <si>
    <t>03-01</t>
  </si>
  <si>
    <t>03-02</t>
  </si>
  <si>
    <t>04-01</t>
  </si>
  <si>
    <t>04-02</t>
  </si>
  <si>
    <t>C0000000055 - Auto Main Warehouse</t>
  </si>
  <si>
    <t>Auto Main warehouse</t>
  </si>
  <si>
    <t>Selling Category 001</t>
  </si>
  <si>
    <t>REPO_REF_ORDER_EDITNO</t>
  </si>
  <si>
    <t>Automation Positive 01</t>
  </si>
  <si>
    <t>Automation Positive 04</t>
  </si>
  <si>
    <t>Automation Positive 03</t>
  </si>
  <si>
    <t>Automation Positive 02</t>
  </si>
  <si>
    <t>Automation Positive 05</t>
  </si>
  <si>
    <t>Automation Positive 06</t>
  </si>
  <si>
    <t>Automation Positive 07</t>
  </si>
  <si>
    <t>05</t>
  </si>
  <si>
    <t>06</t>
  </si>
  <si>
    <t>07</t>
  </si>
  <si>
    <t>05-01</t>
  </si>
  <si>
    <t>05-02</t>
  </si>
  <si>
    <t>06-01</t>
  </si>
  <si>
    <t>06-02</t>
  </si>
  <si>
    <t>07-01</t>
  </si>
  <si>
    <t>07-02</t>
  </si>
  <si>
    <t>EXPECTED_MESSAGE</t>
  </si>
  <si>
    <t>CASE_TYPE</t>
  </si>
  <si>
    <t>TN</t>
  </si>
  <si>
    <t>Order Save successfully</t>
  </si>
  <si>
    <t>1000000007-Automation_Outlet_07</t>
  </si>
  <si>
    <t>Saved successfully</t>
  </si>
  <si>
    <t>Forwarded successfully</t>
  </si>
  <si>
    <t>PK_DESC</t>
  </si>
  <si>
    <t>DA Positive Case 01</t>
  </si>
  <si>
    <t>OB Positive 01</t>
  </si>
  <si>
    <t>OB Positive 03</t>
  </si>
  <si>
    <t>OB Positive 05</t>
  </si>
  <si>
    <t>OB Positive 06</t>
  </si>
  <si>
    <t>OB Positive 07</t>
  </si>
  <si>
    <t>OB Positive 02</t>
  </si>
  <si>
    <t>OB Positive 01-01</t>
  </si>
  <si>
    <t>OB Positive 02-01</t>
  </si>
  <si>
    <t>OB Positive 02-02</t>
  </si>
  <si>
    <t>OB Positive 03-01</t>
  </si>
  <si>
    <t>OB Positive 03-02</t>
  </si>
  <si>
    <t>OB Positive 04-01</t>
  </si>
  <si>
    <t>OB Positive 04-02</t>
  </si>
  <si>
    <t>OB Positive 05-01</t>
  </si>
  <si>
    <t>OB Positive 05-02</t>
  </si>
  <si>
    <t>OB Positive 06-01</t>
  </si>
  <si>
    <t>OB Positive 06-02</t>
  </si>
  <si>
    <t>OB Positive 07-01</t>
  </si>
  <si>
    <t>OB Positive 07-02</t>
  </si>
  <si>
    <t>OB Positive 01-02</t>
  </si>
  <si>
    <t>OB Positive Validation 01</t>
  </si>
  <si>
    <t>OB Positive Validation 02</t>
  </si>
  <si>
    <t>OB Positive Validation 03</t>
  </si>
  <si>
    <t>OB Positive Validation 04</t>
  </si>
  <si>
    <t>OB Positive Validation 05</t>
  </si>
  <si>
    <t>OB Positive Validation 06</t>
  </si>
  <si>
    <t>OB Positive Validation 07</t>
  </si>
  <si>
    <t>OB Positive Assertion 01</t>
  </si>
  <si>
    <t>OB Positive Assertion 02</t>
  </si>
  <si>
    <t>OB Positive Assertion 03</t>
  </si>
  <si>
    <t>OB Positive Assertion 04</t>
  </si>
  <si>
    <t>OB Positive Assertion 05</t>
  </si>
  <si>
    <t>OB Positive Assertion 06</t>
  </si>
  <si>
    <t>OB Positive Assertion 07</t>
  </si>
  <si>
    <t>Order Editing Positive 01</t>
  </si>
  <si>
    <t>OB Positive 04 For Edition Bf GIN</t>
  </si>
  <si>
    <t>Order Editing Assertion Validation 01</t>
  </si>
  <si>
    <t>Order Editing Assertion Save 01</t>
  </si>
  <si>
    <t>Validation successfully</t>
  </si>
  <si>
    <t>Order Cancelled Successfully</t>
  </si>
  <si>
    <t>EXPECTED_INPUT</t>
  </si>
  <si>
    <t>Saved Succesfully.</t>
  </si>
  <si>
    <t>GIN Save Positive</t>
  </si>
  <si>
    <t>GIN Forward Positive</t>
  </si>
  <si>
    <t>Record Saved Successfully!</t>
  </si>
  <si>
    <t>Save successfully</t>
  </si>
  <si>
    <t>SR Detail Validation Positive</t>
  </si>
  <si>
    <t>SR  Detail Save Positive</t>
  </si>
  <si>
    <t>SR View Save Positive</t>
  </si>
  <si>
    <t>SR Status Change Save Positive</t>
  </si>
  <si>
    <t>1000000004-Aautomation_Outlet_04</t>
  </si>
  <si>
    <t>Aautomation</t>
  </si>
  <si>
    <t>1000000005-Aautomation_Outlet_05</t>
  </si>
  <si>
    <t>1000000001-Aautomation_Outlet_01</t>
  </si>
  <si>
    <t>1000000002-Aautomation_Outlet_02</t>
  </si>
  <si>
    <t>1000000003-Aautomation_Outlet_03</t>
  </si>
  <si>
    <t>Order Cancel Positive 01</t>
  </si>
  <si>
    <t>Aauto</t>
  </si>
  <si>
    <t>Record Saved Successfully</t>
  </si>
  <si>
    <t>DSR Name</t>
  </si>
  <si>
    <t>Success</t>
  </si>
  <si>
    <t>Updated successfully</t>
  </si>
  <si>
    <t>Cashmemo Status Save Positive</t>
  </si>
  <si>
    <t>Process completed successfully</t>
  </si>
  <si>
    <t>Stock unallocate Positive</t>
  </si>
  <si>
    <t>SR View Approval Save Positive</t>
  </si>
  <si>
    <t>Deposit Slip Detail Save Positive</t>
  </si>
  <si>
    <t>Deposit Slip Save Positive</t>
  </si>
  <si>
    <t>Deposit Slip Forward Positive</t>
  </si>
  <si>
    <t>Delivery Date Change Positive</t>
  </si>
  <si>
    <t>GIN Approval Positive</t>
  </si>
  <si>
    <t>GRN Forward Positive</t>
  </si>
  <si>
    <t>GRN Approval Positive</t>
  </si>
  <si>
    <t>Record saved successfully!</t>
  </si>
  <si>
    <t>Delivery Date has been changed successfully, processed orders: #</t>
  </si>
  <si>
    <t>Y</t>
  </si>
  <si>
    <t>Check_Validation</t>
  </si>
  <si>
    <t>REPO_DISTRIBUTOR</t>
  </si>
  <si>
    <t>15108843</t>
  </si>
  <si>
    <t>PCOL25010845</t>
  </si>
  <si>
    <t>Working Date</t>
  </si>
  <si>
    <t>DSR Files Status</t>
  </si>
  <si>
    <t>End Of Day</t>
  </si>
  <si>
    <t>DSR</t>
  </si>
  <si>
    <t>CHECK_VALIDATION</t>
  </si>
  <si>
    <t>Complete</t>
  </si>
  <si>
    <t>2112</t>
  </si>
  <si>
    <t>Cheque</t>
  </si>
  <si>
    <t>Citi Bank N.A</t>
  </si>
  <si>
    <t>06-03</t>
  </si>
  <si>
    <t>06-02-02</t>
  </si>
  <si>
    <t>06-02-03</t>
  </si>
  <si>
    <t>06-03-03</t>
  </si>
  <si>
    <t>45.8275</t>
  </si>
  <si>
    <t>2795.48</t>
  </si>
  <si>
    <t>1000000006-Aautomation_Outlet_06</t>
  </si>
  <si>
    <t>DEPOSIT Slip Positive</t>
  </si>
  <si>
    <t>ITB0189</t>
  </si>
  <si>
    <t>Mark Status</t>
  </si>
  <si>
    <t>Record Updated Successfully</t>
  </si>
  <si>
    <t>Cheque Status Positive</t>
  </si>
  <si>
    <t>Auto1</t>
  </si>
  <si>
    <t>Cheque. No</t>
  </si>
  <si>
    <t>300</t>
  </si>
  <si>
    <t>12222</t>
  </si>
  <si>
    <t>Auto2</t>
  </si>
  <si>
    <t>02112~AutomationDSR</t>
  </si>
  <si>
    <t>Automation Positive 08</t>
  </si>
  <si>
    <t>OB Positive 08</t>
  </si>
  <si>
    <t>1000000008-Automation_Outlet_08</t>
  </si>
  <si>
    <t>08</t>
  </si>
  <si>
    <t>08-01</t>
  </si>
  <si>
    <t>OB Positive 08-01</t>
  </si>
  <si>
    <t>OB Positive Validation 08</t>
  </si>
  <si>
    <t>08-02</t>
  </si>
  <si>
    <t>OB Positive Assertion 08</t>
  </si>
  <si>
    <t>800</t>
  </si>
  <si>
    <t>400</t>
  </si>
  <si>
    <t>22337</t>
  </si>
  <si>
    <t>12444</t>
  </si>
  <si>
    <t>01-03</t>
  </si>
  <si>
    <t>01-04</t>
  </si>
  <si>
    <t>Cash</t>
  </si>
  <si>
    <t>02112 - AutomationDSR</t>
  </si>
  <si>
    <t>Order Change QTY</t>
  </si>
  <si>
    <t>Loss Reason</t>
  </si>
  <si>
    <t>Damaged</t>
  </si>
  <si>
    <t>Actual CS2</t>
  </si>
  <si>
    <t>Loss Reason2</t>
  </si>
  <si>
    <t>Good Return Note Detail Positive 01</t>
  </si>
  <si>
    <t>Good Return Note Detail Positive 02</t>
  </si>
  <si>
    <t>CS1</t>
  </si>
  <si>
    <t>Child record exists for the record being deleted.</t>
  </si>
  <si>
    <t>Deleted successfully</t>
  </si>
  <si>
    <t>Delete successfully'</t>
  </si>
  <si>
    <t>Stock Out</t>
  </si>
  <si>
    <t>Saved successfully.</t>
  </si>
  <si>
    <t>National Bank of Pakistan</t>
  </si>
  <si>
    <t>Aautomation_Outlet_02</t>
  </si>
  <si>
    <t>26</t>
  </si>
  <si>
    <t>24</t>
  </si>
  <si>
    <t>1000</t>
  </si>
  <si>
    <t>200</t>
  </si>
  <si>
    <t>100</t>
  </si>
  <si>
    <t>1000000004</t>
  </si>
  <si>
    <t>Aautomation_Outlet_04</t>
  </si>
  <si>
    <t>On Customer Behalf</t>
  </si>
  <si>
    <t>Distributor</t>
  </si>
  <si>
    <t>No Cash</t>
  </si>
  <si>
    <t>69993785</t>
  </si>
  <si>
    <t>Category</t>
  </si>
  <si>
    <t>Brand</t>
  </si>
  <si>
    <t>Auto Main Warehouse</t>
  </si>
  <si>
    <t>01 - Sound</t>
  </si>
  <si>
    <t>In CS</t>
  </si>
  <si>
    <t>Out CS</t>
  </si>
  <si>
    <t>In PC</t>
  </si>
  <si>
    <t>Out PC</t>
  </si>
  <si>
    <t>6</t>
  </si>
  <si>
    <t>Company</t>
  </si>
  <si>
    <t>Unilever Pakistan Limited</t>
  </si>
  <si>
    <t>Opening and Closing Stock Validation</t>
  </si>
  <si>
    <t>Opening CS</t>
  </si>
  <si>
    <t>Closing CS</t>
  </si>
  <si>
    <t>Opening PC</t>
  </si>
  <si>
    <t>Closing PC</t>
  </si>
  <si>
    <t>Stock Adjustment Admin</t>
  </si>
  <si>
    <t/>
  </si>
  <si>
    <t>Stock Adjustment SAN (Admin)</t>
  </si>
  <si>
    <t>Automation</t>
  </si>
  <si>
    <t>SAN_TYPE</t>
  </si>
  <si>
    <t>From Warehouse</t>
  </si>
  <si>
    <t>SAN Type</t>
  </si>
  <si>
    <t>01-Sound</t>
  </si>
  <si>
    <t>To Warehouse</t>
  </si>
  <si>
    <t>Warehouse To Warehouse Transfer</t>
  </si>
  <si>
    <t>Stock Adjustment SAN (Warehouse to Warehouse)</t>
  </si>
  <si>
    <t>Warehouse To Warehouse</t>
  </si>
  <si>
    <t>Stock Adjustment SAN ASSR</t>
  </si>
  <si>
    <t>Automation approval</t>
  </si>
  <si>
    <t>Stock Adjustment SAN Approval ASSR</t>
  </si>
  <si>
    <t>Stock Validation After SAN Admin</t>
  </si>
  <si>
    <t>SAN Warehouse B</t>
  </si>
  <si>
    <t>Stock Validation After SAN Warehouse to Warehouse</t>
  </si>
  <si>
    <t>In CS2</t>
  </si>
  <si>
    <t>Out CS2</t>
  </si>
  <si>
    <t>In PC2</t>
  </si>
  <si>
    <t>Out PC2</t>
  </si>
  <si>
    <t>SAN Warehouse A</t>
  </si>
  <si>
    <t>10</t>
  </si>
  <si>
    <t>C0000000055-Auto Main Warehouse</t>
  </si>
  <si>
    <t>OTC Stock Out</t>
  </si>
  <si>
    <t>test</t>
  </si>
  <si>
    <t>OB Positive 01-03</t>
  </si>
  <si>
    <t>02-03</t>
  </si>
  <si>
    <t>OB Positive 02-03</t>
  </si>
  <si>
    <t>03-03</t>
  </si>
  <si>
    <t>OB Positive 03-03</t>
  </si>
  <si>
    <t>3</t>
  </si>
  <si>
    <t>04-03</t>
  </si>
  <si>
    <t>OB Positive 04-03</t>
  </si>
  <si>
    <t>05-03</t>
  </si>
  <si>
    <t>OB Positive 05-03</t>
  </si>
  <si>
    <t>OB Positive 06-03</t>
  </si>
  <si>
    <t>07-03</t>
  </si>
  <si>
    <t>OB Positive 07-03</t>
  </si>
  <si>
    <t>23134.4</t>
  </si>
  <si>
    <t>Order Cancellation Detail_Val Positive 01</t>
  </si>
  <si>
    <t>331.9533</t>
  </si>
  <si>
    <t>19917.2</t>
  </si>
  <si>
    <t>7711.465</t>
  </si>
  <si>
    <t>2749.65</t>
  </si>
  <si>
    <t>62740537</t>
  </si>
  <si>
    <t>01-05</t>
  </si>
  <si>
    <t>OB Positive 01-04</t>
  </si>
  <si>
    <t>OB Positive 01-05</t>
  </si>
  <si>
    <t>20050310</t>
  </si>
  <si>
    <t>06-04</t>
  </si>
  <si>
    <t>06-05</t>
  </si>
  <si>
    <t>62690363</t>
  </si>
  <si>
    <t>20050308</t>
  </si>
  <si>
    <t>69997598</t>
  </si>
  <si>
    <t>70</t>
  </si>
  <si>
    <t>80</t>
  </si>
  <si>
    <t>40</t>
  </si>
  <si>
    <t>02-04</t>
  </si>
  <si>
    <t>02-05</t>
  </si>
  <si>
    <t>03-04</t>
  </si>
  <si>
    <t>03-05</t>
  </si>
  <si>
    <t>04-04</t>
  </si>
  <si>
    <t>04-05</t>
  </si>
  <si>
    <t>05-04</t>
  </si>
  <si>
    <t>05-05</t>
  </si>
  <si>
    <t>07-04</t>
  </si>
  <si>
    <t>07-05</t>
  </si>
  <si>
    <t>OB Positive 02-04</t>
  </si>
  <si>
    <t>OB Positive 02-05</t>
  </si>
  <si>
    <t>OB Positive 03-04</t>
  </si>
  <si>
    <t>OB Positive 03-05</t>
  </si>
  <si>
    <t>OB Positive 04-04</t>
  </si>
  <si>
    <t>OB Positive 04-05</t>
  </si>
  <si>
    <t>OB Positive 05-04</t>
  </si>
  <si>
    <t>OB Positive 05-05</t>
  </si>
  <si>
    <t>OB Positive 06-04</t>
  </si>
  <si>
    <t>OB Positive 06-05</t>
  </si>
  <si>
    <t>OB Positive 07-04</t>
  </si>
  <si>
    <t>OB Positive 07-05</t>
  </si>
  <si>
    <t>PKR 7,711.47</t>
  </si>
  <si>
    <t>PKR 234.1</t>
  </si>
  <si>
    <t>PKR 18,727.9</t>
  </si>
  <si>
    <t>PKR 16.05</t>
  </si>
  <si>
    <t>PKR 87.68</t>
  </si>
  <si>
    <t>PKR 12.79</t>
  </si>
  <si>
    <t>Weight (Kg)</t>
  </si>
  <si>
    <t>Sales Return Validation 01</t>
  </si>
  <si>
    <t>Sales Return View_Validation 01</t>
  </si>
  <si>
    <t>Sales R Status Change Validation 01</t>
  </si>
  <si>
    <t>Rate</t>
  </si>
  <si>
    <t>Good Return Note Detail_Validation 01</t>
  </si>
  <si>
    <t>Cashmemo Status_Validation 01</t>
  </si>
  <si>
    <t>30,845.86</t>
  </si>
  <si>
    <t>PKR 30,845.86</t>
  </si>
  <si>
    <t>Sales Return View Approval_Valdation_Positive 01</t>
  </si>
  <si>
    <t>PKR 107,960.51</t>
  </si>
  <si>
    <t>PKR 9,855.56</t>
  </si>
  <si>
    <t>PKR 6,488.44</t>
  </si>
  <si>
    <t>PKR 76.72</t>
  </si>
  <si>
    <t>143109.13</t>
  </si>
  <si>
    <t>-29971.83</t>
  </si>
  <si>
    <t>21397.32</t>
  </si>
  <si>
    <t>134535.00</t>
  </si>
  <si>
    <t>21234.24</t>
  </si>
  <si>
    <t>107960.51</t>
  </si>
  <si>
    <t>16505.36</t>
  </si>
  <si>
    <t>108202.00</t>
  </si>
  <si>
    <t>96840.34</t>
  </si>
  <si>
    <t xml:space="preserve"> -20718.07</t>
  </si>
  <si>
    <t>PKR 38,930.63</t>
  </si>
  <si>
    <t>116.77</t>
  </si>
  <si>
    <t>PKR 709,454.78</t>
  </si>
  <si>
    <t xml:space="preserve">0.89 </t>
  </si>
  <si>
    <t>PKR 6,169.17</t>
  </si>
  <si>
    <t>6,169.17</t>
  </si>
  <si>
    <t>PKR 118.93</t>
  </si>
  <si>
    <t>Good Return Note Detail_Validation 02</t>
  </si>
  <si>
    <t>PKR 33.79</t>
  </si>
  <si>
    <t>Sale Value</t>
  </si>
  <si>
    <t>Adjusted Credit Note Amount</t>
  </si>
  <si>
    <t>Fresh Return Value</t>
  </si>
  <si>
    <t>Route Settlement Validation Positive 02</t>
  </si>
  <si>
    <t>PKR 1,000</t>
  </si>
  <si>
    <t>PKR 2,000</t>
  </si>
  <si>
    <t>Payable Amount</t>
  </si>
  <si>
    <t>Received Amount</t>
  </si>
  <si>
    <t>Received Amount1</t>
  </si>
  <si>
    <t>Cash Shortage</t>
  </si>
  <si>
    <t>2026-05-13</t>
  </si>
  <si>
    <t>Sa</t>
  </si>
  <si>
    <t>Trans InquiryVal AfterOB Detail Positive 03</t>
  </si>
  <si>
    <t>Tax Amount</t>
  </si>
  <si>
    <t>PKR -650</t>
  </si>
  <si>
    <t>PKR -50</t>
  </si>
  <si>
    <t>PKR -22,610.53</t>
  </si>
  <si>
    <t>PKR -3,922.25</t>
  </si>
  <si>
    <t>PKR -2,064.08</t>
  </si>
  <si>
    <t>PKR -1,358.9</t>
  </si>
  <si>
    <t>PKR -16.07</t>
  </si>
  <si>
    <t>PKR 143,109.13</t>
  </si>
  <si>
    <t>PKR 21,861.52</t>
  </si>
  <si>
    <t>Charges Amount</t>
  </si>
  <si>
    <t>PKR 32.63</t>
  </si>
  <si>
    <t>Trans nquiryVal AfterOB To Tax Positive 01</t>
  </si>
  <si>
    <t>Trans nquiryVal AfterOB To Tax Positive 02</t>
  </si>
  <si>
    <t>Trans nquiryVal AfterOB To Tax Positive 04</t>
  </si>
  <si>
    <t>PKR 594.65</t>
  </si>
  <si>
    <t>PKR 3,195.31</t>
  </si>
  <si>
    <t>PKR 18,038.93</t>
  </si>
  <si>
    <t>PKR -14,310.91</t>
  </si>
  <si>
    <t>1000000006</t>
  </si>
  <si>
    <t>1000000004-Aautomation</t>
  </si>
  <si>
    <t>1000000007</t>
  </si>
  <si>
    <t>PKR 134,535</t>
  </si>
  <si>
    <t>PKR 131,095.3</t>
  </si>
  <si>
    <t>292.32</t>
  </si>
  <si>
    <t>PKR 68,988.92</t>
  </si>
  <si>
    <t>157.35</t>
  </si>
  <si>
    <t>PKR537.03</t>
  </si>
  <si>
    <t>0.84</t>
  </si>
  <si>
    <t>1000000003-Aautomation</t>
  </si>
  <si>
    <t>Trans InqVal AfterOB Header Tax Positive 01</t>
  </si>
  <si>
    <t>0001 - Value Added Tax Positive 01</t>
  </si>
  <si>
    <t>0003 - Tax Penalty (After Discount) Positive 02</t>
  </si>
  <si>
    <t>0004 - Advance Tax (Registered) Positive 03</t>
  </si>
  <si>
    <t>3rd Schduele Positive 04</t>
  </si>
  <si>
    <t>1000000001</t>
  </si>
  <si>
    <t>PKR 11,389.48</t>
  </si>
  <si>
    <t>0004 - Advance Tax (Registered) Positive 02</t>
  </si>
  <si>
    <t>3rd Schduele Positive 03</t>
  </si>
  <si>
    <t xml:space="preserve"> PKR 18,038.93</t>
  </si>
  <si>
    <t>PKR 32.62</t>
  </si>
  <si>
    <t>1000000002</t>
  </si>
  <si>
    <t>9000 - 3rd Schduele) Positive 02</t>
  </si>
  <si>
    <t>1000000003</t>
  </si>
  <si>
    <t>1000000005</t>
  </si>
  <si>
    <t>1000000008</t>
  </si>
  <si>
    <t>9000 - 3rd Schduele Positive 02</t>
  </si>
  <si>
    <t>Tax Exemp_Y/Tax Reg_Reg/Tax Payer_Y/Advance_TaxExempt_Y Positive 01</t>
  </si>
  <si>
    <t>Tax Exemp_Y/Tax Reg_Reg/Tax Payer_Y/Advance_TaxExempt_N Positive 01</t>
  </si>
  <si>
    <t>PKR 163.08</t>
  </si>
  <si>
    <t>0005 - Advance Tax (UnRegistered) Positive 02</t>
  </si>
  <si>
    <t>9000 - 3rd Schduele Positive 03</t>
  </si>
  <si>
    <t>PKR 16,505.36</t>
  </si>
  <si>
    <t>PKR 21,234.24</t>
  </si>
  <si>
    <t>PKR 21,397.32</t>
  </si>
  <si>
    <t>Trans InqVal AfterOB Header Tax Positive 02</t>
  </si>
  <si>
    <t>Trans InqVal AfterOB Header Tax Positive 03</t>
  </si>
  <si>
    <t>Trans InqVal AfterOB Header Tax Positive 04</t>
  </si>
  <si>
    <t>Trans InqVal AfterOB Header Tax Positive 05</t>
  </si>
  <si>
    <t>Trans InqVal AfterOB Header Tax Positive 06</t>
  </si>
  <si>
    <t>Trans InqVal AfterOB Header Tax Positive 07</t>
  </si>
  <si>
    <t>Trans InqVal AfterOB Header Tax Positive 08</t>
  </si>
  <si>
    <t>21861.52</t>
  </si>
  <si>
    <t>134999.00</t>
  </si>
  <si>
    <t>113137.00</t>
  </si>
  <si>
    <t>PKR 134,998.82</t>
  </si>
  <si>
    <t>PKR -4,434.18</t>
  </si>
  <si>
    <t>Sale Return After Heder Tax Positive 01</t>
  </si>
  <si>
    <t>Area Closed</t>
  </si>
  <si>
    <t xml:space="preserve">80 </t>
  </si>
  <si>
    <t>96</t>
  </si>
  <si>
    <t>PKR 6,969.56</t>
  </si>
  <si>
    <t>PKR 10,164.87</t>
  </si>
  <si>
    <t xml:space="preserve"> 113137</t>
  </si>
  <si>
    <t>Deposit Slip Full Cash Positive</t>
  </si>
  <si>
    <t>113137</t>
  </si>
  <si>
    <t>134372</t>
  </si>
  <si>
    <t>1234501</t>
  </si>
  <si>
    <t>Deposit S After R Settlement Positive</t>
  </si>
  <si>
    <t>PKR 2000</t>
  </si>
  <si>
    <t>D Slip,Cash m After R Settle Positive</t>
  </si>
  <si>
    <t>Offset Amount</t>
  </si>
  <si>
    <t>PKR 85,349.98</t>
  </si>
  <si>
    <t>PKR 14,805.65</t>
  </si>
  <si>
    <t>PKR 7,791.48</t>
  </si>
  <si>
    <t>PKR 5,129.54</t>
  </si>
  <si>
    <t>PKR 60.65</t>
  </si>
  <si>
    <t>PKR 113,137</t>
  </si>
  <si>
    <t>Gross Amount: PKR 30,845.86</t>
  </si>
  <si>
    <t>Discount: PKR 6,169.17</t>
  </si>
  <si>
    <t>PKR 135,372</t>
  </si>
  <si>
    <t>PKR 136,372</t>
  </si>
  <si>
    <t>PKR 134,372</t>
  </si>
  <si>
    <t>DEPOSIT Slip Unposted Positive</t>
  </si>
  <si>
    <t>Un Posted Amount</t>
  </si>
  <si>
    <t>Amount FCY</t>
  </si>
  <si>
    <t>61630</t>
  </si>
  <si>
    <t>DSR Adjustment Amount,Detail Val Positive 05</t>
  </si>
  <si>
    <t>Sales Return</t>
  </si>
  <si>
    <t>PKR 1000</t>
  </si>
  <si>
    <t>PKR 14,796.99</t>
  </si>
  <si>
    <t>Cashmemo Reschedule Det Positive 02</t>
  </si>
  <si>
    <t>Cashmemo Reschedule Val Positive 02</t>
  </si>
  <si>
    <t xml:space="preserve"> </t>
  </si>
  <si>
    <t>20080958</t>
  </si>
  <si>
    <t>PKR 116,137</t>
  </si>
  <si>
    <t>-50</t>
  </si>
  <si>
    <t>134372.00</t>
  </si>
  <si>
    <t>-16264.08</t>
  </si>
  <si>
    <t>PKR 14,584.79</t>
  </si>
  <si>
    <t>Transaction Inquiry Val After OB Detail Positive 01</t>
  </si>
  <si>
    <t>Transaction Inquiry Val After OB Detail Positive 02</t>
  </si>
  <si>
    <t>Transaction Inquiry Val After OB Detail Positive 03</t>
  </si>
  <si>
    <t>Transaction Inquiry Val After OB Detail Positive 04</t>
  </si>
  <si>
    <t>Transaction Inquiry Val After OB Detail Positive 05</t>
  </si>
  <si>
    <t>Transaction Inquiry Val After OB Header amount 04</t>
  </si>
  <si>
    <t>Transaction Inquiry val After OB Total offering amount 01</t>
  </si>
  <si>
    <t>Transaction Inquiry val After OB Total offering amount 02</t>
  </si>
  <si>
    <t>Transaction Inquiry val After OB Total offering amount 03</t>
  </si>
  <si>
    <t>Transaction Inquiry val After OB Total offering amount 04</t>
  </si>
  <si>
    <t>Transaction Inquiry val After OB Total offering amount 05</t>
  </si>
  <si>
    <t>14584.79</t>
  </si>
  <si>
    <t>0001 - Value Added Tax Amount Validate</t>
  </si>
  <si>
    <t>9000 - 3rd Schedule Amount Validate</t>
  </si>
  <si>
    <t>Sale Return Header Tax Validate</t>
  </si>
  <si>
    <t>Deposit slip cheque after order removal Positive</t>
  </si>
  <si>
    <t>Deposit slip cash after order removal Positive</t>
  </si>
  <si>
    <t>Deposit Slip Val Unposted_Validation 01</t>
  </si>
  <si>
    <t>Deposit Slip Val Unposted_Validation 02</t>
  </si>
  <si>
    <t>Payment Adjusted Successfully</t>
  </si>
  <si>
    <t>Total Payable Amount</t>
  </si>
  <si>
    <t>Total Received Amount</t>
  </si>
  <si>
    <t>PKR 267,305.99</t>
  </si>
  <si>
    <t>Previous Cash</t>
  </si>
  <si>
    <t>Today Cash</t>
  </si>
  <si>
    <t>Total Cash</t>
  </si>
  <si>
    <t>Previous Cheque</t>
  </si>
  <si>
    <t>Today Cheque</t>
  </si>
  <si>
    <t>Total Cheque</t>
  </si>
  <si>
    <t>Stock shortage Received Amt</t>
  </si>
  <si>
    <t>Stock Shortage Payable Amt</t>
  </si>
  <si>
    <t>PKR -29,971.83</t>
  </si>
  <si>
    <t>PKR 96,840.34</t>
  </si>
  <si>
    <t>PKR -20,718.07</t>
  </si>
  <si>
    <t>PKR 8,728.81</t>
  </si>
  <si>
    <t>PKR 90,707</t>
  </si>
  <si>
    <t>PKR 61,691.72</t>
  </si>
  <si>
    <t>PKR -13,198.36</t>
  </si>
  <si>
    <t>PKR 57,222.17</t>
  </si>
  <si>
    <t>PKR -4,006.66</t>
  </si>
  <si>
    <t>PKR 2,649.82</t>
  </si>
  <si>
    <t>PKR 17,371.07</t>
  </si>
  <si>
    <t>PKR -2,108.5</t>
  </si>
  <si>
    <t>PKR 1,873.23</t>
  </si>
  <si>
    <t>PKR 9,620.28</t>
  </si>
  <si>
    <t>PKR -1,388.14</t>
  </si>
  <si>
    <t>PKR 1,322.08</t>
  </si>
  <si>
    <t>PKR 6,422.38</t>
  </si>
  <si>
    <t>PKR -16.41</t>
  </si>
  <si>
    <t>PKR 10.86</t>
  </si>
  <si>
    <t>PKR 71.16</t>
  </si>
  <si>
    <t>PKR -9,684.03</t>
  </si>
  <si>
    <t>Transaction Inquiry val After OE Total offering amount 01</t>
  </si>
  <si>
    <t>Transaction Inquiry val After OE Total offering amount 03</t>
  </si>
  <si>
    <t>Transaction Inquiry val After OE Total offering amount 04</t>
  </si>
  <si>
    <t>Transaction Inquiry val After OE Total offering amount 05</t>
  </si>
  <si>
    <t>Transaction Inquiry val After OE Total offering amount 02</t>
  </si>
  <si>
    <t>Transaction Inquiry Val After OE Detail Positive 01</t>
  </si>
  <si>
    <t>Transaction Inquiry Val After OE Detail Positive 02</t>
  </si>
  <si>
    <t>Transaction Inquiry Val After OE Detail Positive 03</t>
  </si>
  <si>
    <t>Transaction Inquiry Val After OE Detail Positive 04</t>
  </si>
  <si>
    <t>Transaction Inquiry Val After OE Detail Positive 05</t>
  </si>
  <si>
    <t>Transaction Inquiry Val After OE Header amount 04</t>
  </si>
  <si>
    <t>Route Settlement Validation Positive 01</t>
  </si>
  <si>
    <t>Route Settlement Validation Positive Cheque</t>
  </si>
  <si>
    <t>Route Settlement Validation Positive Cash</t>
  </si>
  <si>
    <t>PKR 1,032</t>
  </si>
  <si>
    <t>PKR 1,012</t>
  </si>
  <si>
    <t>Amount Validation skipped</t>
  </si>
  <si>
    <t>PKR -30,845.86</t>
  </si>
  <si>
    <t>PKR -4,425.41</t>
  </si>
  <si>
    <t>PKR 6,260.28</t>
  </si>
  <si>
    <t>PKR -29,010.99</t>
  </si>
  <si>
    <t>PKR -48.54</t>
  </si>
  <si>
    <t>PKR -25.55</t>
  </si>
  <si>
    <t>PKR -16.82</t>
  </si>
  <si>
    <t>PKR -0.2</t>
  </si>
  <si>
    <t>PKR 3,084.59</t>
  </si>
  <si>
    <t>PKR -0</t>
  </si>
  <si>
    <t>Transaction Inquiry val After SR Total offering amount 01</t>
  </si>
  <si>
    <t>Transaction Inquiry val After SR Total offering amount 02</t>
  </si>
  <si>
    <t>Transaction Inquiry val After SR Total offering amount 03</t>
  </si>
  <si>
    <t>Transaction Inquiry val After SR Total offering amount 04</t>
  </si>
  <si>
    <t>Transaction Inquiry val After SR Total offering amount 05</t>
  </si>
  <si>
    <t>Transaction Inquiry Val After SR Detail Positive 01</t>
  </si>
  <si>
    <t>Transaction Inquiry Val After SR Detail Positive 02</t>
  </si>
  <si>
    <t>Transaction Inquiry Val After SR Detail Positive 03</t>
  </si>
  <si>
    <t>Transaction Inquiry Val After SR Detail Positive 05</t>
  </si>
  <si>
    <t>Transaction Inquiry Val After SR Detail Positive 04</t>
  </si>
  <si>
    <t>Transaction Inquiry Val After SR Header amount</t>
  </si>
  <si>
    <t>Validation of Total Payable, Received and Cash Shortage Amount</t>
  </si>
  <si>
    <t>Stock Adjustment Entry</t>
  </si>
  <si>
    <t>Stock Adjustment SAN (Entry)</t>
  </si>
  <si>
    <t>-10</t>
  </si>
  <si>
    <t>-5</t>
  </si>
  <si>
    <t>SAN Entry for Sound</t>
  </si>
  <si>
    <t>HHB</t>
  </si>
  <si>
    <t>SAN Entry for Damaged</t>
  </si>
  <si>
    <t>Stock Validation After SAN Entry</t>
  </si>
  <si>
    <t>In CS - Sound</t>
  </si>
  <si>
    <t>Out CS - Sound</t>
  </si>
  <si>
    <t>In PC - Sound</t>
  </si>
  <si>
    <t>Out PC - Sound</t>
  </si>
  <si>
    <t>In CS - Damaged</t>
  </si>
  <si>
    <t>Out CS - Damaged</t>
  </si>
  <si>
    <t>In PC - Damaged</t>
  </si>
  <si>
    <t>Out PC - Damaged</t>
  </si>
  <si>
    <t>90707.00</t>
  </si>
  <si>
    <t>21992.03</t>
  </si>
  <si>
    <t>135129.00</t>
  </si>
  <si>
    <t>4,436.55</t>
  </si>
  <si>
    <t>29,113.00</t>
  </si>
  <si>
    <t>PKR 4,436.55</t>
  </si>
  <si>
    <t>PKR 29,113</t>
  </si>
  <si>
    <t>Tax: PKR 4,436.55</t>
  </si>
  <si>
    <t>Net Amount: PKR 29,113</t>
  </si>
  <si>
    <t>PKR 587,109</t>
  </si>
  <si>
    <t>PKR -4,436.55</t>
  </si>
  <si>
    <t>PKR -1.95</t>
  </si>
  <si>
    <t>PKR -29,113</t>
  </si>
  <si>
    <t>PKR -10.68</t>
  </si>
  <si>
    <t>PKR -59.22</t>
  </si>
  <si>
    <t>PKR -0.42</t>
  </si>
  <si>
    <t>PKR -17.24</t>
  </si>
  <si>
    <t>PKR -0.05</t>
  </si>
  <si>
    <t>PKR -0.25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</si>
</sst>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11"/>
      <color rgb="FF313131"/>
      <name val="Arial"/>
      <family val="2"/>
    </font>
    <font>
      <sz val="11"/>
      <color rgb="FF000000"/>
      <name val="Calibri"/>
      <family val="2"/>
      <scheme val="minor"/>
    </font>
    <font>
      <sz val="8"/>
      <color rgb="FF4848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quotePrefix="1" applyNumberFormat="1" applyAlignment="1">
      <alignment horizontal="left"/>
    </xf>
    <xf numFmtId="16" fontId="0" fillId="0" borderId="0" xfId="0" quotePrefix="1" applyNumberFormat="1"/>
    <xf numFmtId="0" fontId="0" fillId="0" borderId="0" xfId="0" applyFont="1"/>
    <xf numFmtId="0" fontId="3" fillId="2" borderId="1" xfId="0" applyFont="1" applyFill="1" applyBorder="1" applyAlignment="1">
      <alignment horizontal="right" vertical="top"/>
    </xf>
    <xf numFmtId="2" fontId="0" fillId="0" borderId="0" xfId="0" quotePrefix="1" applyNumberFormat="1"/>
    <xf numFmtId="0" fontId="0" fillId="0" borderId="0" xfId="0" quotePrefix="1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4" fillId="0" borderId="0" xfId="0" applyFont="1"/>
    <xf numFmtId="1" fontId="0" fillId="0" borderId="0" xfId="0" quotePrefix="1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applyNumberFormat="1" applyAlignment="1">
      <alignment horizontal="left"/>
    </xf>
    <xf numFmtId="4" fontId="0" fillId="0" borderId="0" xfId="0" quotePrefix="1" applyNumberForma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G18" sqref="G18"/>
    </sheetView>
  </sheetViews>
  <sheetFormatPr defaultRowHeight="15" x14ac:dyDescent="0.25"/>
  <cols>
    <col min="1" max="1" width="20.7109375" bestFit="1" customWidth="1"/>
    <col min="2" max="2" width="12.5703125" bestFit="1" customWidth="1"/>
    <col min="3" max="3" width="22.42578125" bestFit="1" customWidth="1"/>
    <col min="5" max="5" width="10.42578125" bestFit="1" customWidth="1"/>
    <col min="6" max="6" width="16.140625" bestFit="1" customWidth="1"/>
    <col min="7" max="7" width="18.85546875" bestFit="1" customWidth="1"/>
    <col min="8" max="8" width="13.85546875" bestFit="1" customWidth="1"/>
    <col min="9" max="9" width="27" bestFit="1" customWidth="1"/>
    <col min="10" max="10" width="14.85546875" bestFit="1" customWidth="1"/>
    <col min="11" max="11" width="13.28515625" bestFit="1" customWidth="1"/>
    <col min="12" max="12" width="20.42578125" customWidth="1"/>
    <col min="14" max="14" width="18.42578125" style="16" bestFit="1" customWidth="1"/>
    <col min="15" max="15" width="10.28515625" bestFit="1" customWidth="1"/>
    <col min="16" max="16" width="19.28515625" bestFit="1" customWidth="1"/>
    <col min="17" max="17" width="19.28515625" style="16" customWidth="1"/>
    <col min="18" max="18" width="10.5703125" bestFit="1" customWidth="1"/>
  </cols>
  <sheetData>
    <row r="1" spans="1:30" x14ac:dyDescent="0.25">
      <c r="A1" s="16" t="s">
        <v>14</v>
      </c>
      <c r="B1" s="16" t="s">
        <v>94</v>
      </c>
      <c r="C1" s="16" t="s">
        <v>95</v>
      </c>
      <c r="D1" s="16" t="s">
        <v>57</v>
      </c>
      <c r="E1" s="16" t="s">
        <v>58</v>
      </c>
      <c r="F1" s="16" t="s">
        <v>59</v>
      </c>
      <c r="G1" s="16" t="s">
        <v>60</v>
      </c>
      <c r="H1" s="16" t="s">
        <v>61</v>
      </c>
      <c r="I1" s="16" t="s">
        <v>5</v>
      </c>
      <c r="J1" s="16" t="s">
        <v>62</v>
      </c>
      <c r="K1" s="16" t="s">
        <v>63</v>
      </c>
      <c r="L1" s="16" t="s">
        <v>64</v>
      </c>
      <c r="M1" s="16" t="s">
        <v>6</v>
      </c>
      <c r="N1" s="16" t="s">
        <v>162</v>
      </c>
      <c r="O1" t="s">
        <v>53</v>
      </c>
      <c r="P1" s="17" t="s">
        <v>204</v>
      </c>
      <c r="Q1" s="16" t="s">
        <v>155</v>
      </c>
      <c r="R1" s="16" t="s">
        <v>156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7"/>
    </row>
    <row r="2" spans="1:30" x14ac:dyDescent="0.25">
      <c r="A2" s="1" t="s">
        <v>136</v>
      </c>
      <c r="B2" s="1" t="s">
        <v>96</v>
      </c>
      <c r="C2" s="8" t="str">
        <f ca="1">CONCATENATE("Automation_",TEXT(NOW(),"DD-MM-YYYY"))</f>
        <v>Automation_21-09-2026</v>
      </c>
      <c r="D2" s="1" t="s">
        <v>65</v>
      </c>
      <c r="E2" s="1" t="s">
        <v>66</v>
      </c>
      <c r="F2" s="6" t="str">
        <f ca="1">TEXT(NOW(),"YYYY-MM-DD")</f>
        <v>2026-09-21</v>
      </c>
      <c r="G2" s="1" t="s">
        <v>65</v>
      </c>
      <c r="H2" s="6" t="str">
        <f ca="1">TEXT(NOW(),"YYYY-MM-DD")</f>
        <v>2026-09-21</v>
      </c>
      <c r="I2" s="1" t="s">
        <v>99</v>
      </c>
      <c r="J2" s="6" t="str">
        <f ca="1">TEXT(NOW(),"YYYY-MM-DD")</f>
        <v>2026-09-21</v>
      </c>
      <c r="K2" s="1" t="s">
        <v>98</v>
      </c>
      <c r="L2" s="1" t="s">
        <v>67</v>
      </c>
      <c r="M2" s="9" t="s">
        <v>147</v>
      </c>
      <c r="N2" s="7" t="s">
        <v>163</v>
      </c>
      <c r="O2" s="1" t="s">
        <v>54</v>
      </c>
      <c r="Q2" s="17" t="s">
        <v>160</v>
      </c>
      <c r="R2" s="16" t="s">
        <v>157</v>
      </c>
      <c r="S2" s="17"/>
      <c r="T2" s="6"/>
      <c r="U2" s="17"/>
      <c r="V2" s="6"/>
      <c r="W2" s="17"/>
      <c r="X2" s="6"/>
      <c r="Y2" s="17"/>
      <c r="Z2" s="17"/>
      <c r="AA2" s="9"/>
      <c r="AB2" s="7"/>
      <c r="AC2" s="17"/>
      <c r="AD2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defaultRowHeight="15" x14ac:dyDescent="0.25"/>
  <cols>
    <col min="1" max="1" width="10.140625" customWidth="1"/>
    <col min="2" max="2" width="22.85546875" bestFit="1" customWidth="1"/>
    <col min="3" max="3" width="22.140625" bestFit="1" customWidth="1"/>
    <col min="4" max="4" width="10.5703125" bestFit="1" customWidth="1"/>
  </cols>
  <sheetData>
    <row r="1" spans="1:4" x14ac:dyDescent="0.25">
      <c r="A1" s="17" t="s">
        <v>6</v>
      </c>
      <c r="B1" s="17" t="s">
        <v>162</v>
      </c>
      <c r="C1" s="16" t="s">
        <v>155</v>
      </c>
      <c r="D1" s="16" t="s">
        <v>156</v>
      </c>
    </row>
    <row r="2" spans="1:4" x14ac:dyDescent="0.25">
      <c r="A2" s="18" t="s">
        <v>151</v>
      </c>
      <c r="B2" s="7" t="s">
        <v>191</v>
      </c>
      <c r="C2" s="17" t="s">
        <v>158</v>
      </c>
      <c r="D2" s="16" t="s">
        <v>157</v>
      </c>
    </row>
    <row r="3" spans="1:4" x14ac:dyDescent="0.25">
      <c r="A3" s="18" t="s">
        <v>151</v>
      </c>
      <c r="B3" s="7" t="s">
        <v>192</v>
      </c>
      <c r="C3" s="17" t="s">
        <v>225</v>
      </c>
      <c r="D3" s="16" t="s">
        <v>157</v>
      </c>
    </row>
    <row r="4" spans="1:4" x14ac:dyDescent="0.25">
      <c r="A4" s="18" t="s">
        <v>151</v>
      </c>
      <c r="B4" s="7" t="s">
        <v>193</v>
      </c>
      <c r="C4" s="17" t="s">
        <v>297</v>
      </c>
      <c r="D4" s="16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E2" sqref="E2"/>
    </sheetView>
  </sheetViews>
  <sheetFormatPr defaultRowHeight="15" x14ac:dyDescent="0.25"/>
  <cols>
    <col min="1" max="1" width="9.140625" style="16"/>
    <col min="2" max="2" width="10.42578125" style="16" bestFit="1" customWidth="1"/>
    <col min="3" max="8" width="9.140625" style="16"/>
    <col min="9" max="9" width="10.28515625" style="16" bestFit="1" customWidth="1"/>
    <col min="10" max="10" width="16.28515625" style="16" bestFit="1" customWidth="1"/>
    <col min="11" max="11" width="10.5703125" style="16" bestFit="1" customWidth="1"/>
    <col min="12" max="16384" width="9.140625" style="16"/>
  </cols>
  <sheetData>
    <row r="1" spans="1:11" x14ac:dyDescent="0.25">
      <c r="A1" s="17" t="s">
        <v>68</v>
      </c>
      <c r="B1" s="17" t="s">
        <v>69</v>
      </c>
      <c r="C1" s="17" t="s">
        <v>70</v>
      </c>
      <c r="D1" s="17" t="s">
        <v>47</v>
      </c>
      <c r="E1" s="17" t="s">
        <v>29</v>
      </c>
      <c r="F1" s="17" t="s">
        <v>71</v>
      </c>
      <c r="G1" s="17" t="s">
        <v>29</v>
      </c>
      <c r="H1" s="3" t="s">
        <v>6</v>
      </c>
      <c r="I1" s="16" t="s">
        <v>53</v>
      </c>
      <c r="J1" s="16" t="s">
        <v>155</v>
      </c>
      <c r="K1" s="17" t="s">
        <v>156</v>
      </c>
    </row>
    <row r="2" spans="1:11" x14ac:dyDescent="0.25">
      <c r="A2" s="17" t="s">
        <v>110</v>
      </c>
      <c r="B2" s="17" t="s">
        <v>72</v>
      </c>
      <c r="C2" s="17" t="s">
        <v>73</v>
      </c>
      <c r="D2" s="17" t="s">
        <v>74</v>
      </c>
      <c r="E2" s="17" t="s">
        <v>75</v>
      </c>
      <c r="F2" s="17" t="s">
        <v>76</v>
      </c>
      <c r="G2" s="17" t="s">
        <v>77</v>
      </c>
      <c r="H2" s="9" t="s">
        <v>152</v>
      </c>
      <c r="I2" s="17" t="s">
        <v>54</v>
      </c>
      <c r="K2" s="17" t="s">
        <v>157</v>
      </c>
    </row>
    <row r="3" spans="1:11" x14ac:dyDescent="0.25">
      <c r="A3" s="7" t="s">
        <v>313</v>
      </c>
      <c r="B3" s="17" t="s">
        <v>72</v>
      </c>
      <c r="C3" s="17" t="s">
        <v>73</v>
      </c>
      <c r="D3" s="17" t="s">
        <v>105</v>
      </c>
      <c r="E3" s="17" t="s">
        <v>48</v>
      </c>
      <c r="F3" s="17" t="s">
        <v>116</v>
      </c>
      <c r="G3" s="17" t="s">
        <v>48</v>
      </c>
      <c r="H3" s="9" t="s">
        <v>253</v>
      </c>
      <c r="I3" s="17" t="s">
        <v>54</v>
      </c>
      <c r="K3" s="17" t="s">
        <v>157</v>
      </c>
    </row>
    <row r="4" spans="1:11" x14ac:dyDescent="0.25">
      <c r="A4" s="17"/>
      <c r="B4" s="17"/>
      <c r="C4" s="17"/>
      <c r="D4" s="17"/>
      <c r="E4" s="17"/>
      <c r="F4" s="17"/>
      <c r="G4" s="17"/>
      <c r="H4" s="9"/>
      <c r="I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3" sqref="A3"/>
    </sheetView>
  </sheetViews>
  <sheetFormatPr defaultRowHeight="15" x14ac:dyDescent="0.25"/>
  <cols>
    <col min="2" max="2" width="10.42578125" bestFit="1" customWidth="1"/>
    <col min="9" max="9" width="10.28515625" bestFit="1" customWidth="1"/>
    <col min="10" max="10" width="16.28515625" bestFit="1" customWidth="1"/>
    <col min="11" max="11" width="10.5703125" bestFit="1" customWidth="1"/>
  </cols>
  <sheetData>
    <row r="1" spans="1:11" x14ac:dyDescent="0.25">
      <c r="A1" s="1" t="s">
        <v>68</v>
      </c>
      <c r="B1" s="1" t="s">
        <v>69</v>
      </c>
      <c r="C1" s="1" t="s">
        <v>70</v>
      </c>
      <c r="D1" s="1" t="s">
        <v>47</v>
      </c>
      <c r="E1" s="1" t="s">
        <v>29</v>
      </c>
      <c r="F1" s="1" t="s">
        <v>71</v>
      </c>
      <c r="G1" s="1" t="s">
        <v>29</v>
      </c>
      <c r="H1" s="3" t="s">
        <v>6</v>
      </c>
      <c r="I1" t="s">
        <v>53</v>
      </c>
      <c r="J1" s="16" t="s">
        <v>155</v>
      </c>
      <c r="K1" s="17" t="s">
        <v>156</v>
      </c>
    </row>
    <row r="2" spans="1:11" x14ac:dyDescent="0.25">
      <c r="A2" s="7" t="s">
        <v>380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9" t="s">
        <v>152</v>
      </c>
      <c r="I2" s="1" t="s">
        <v>54</v>
      </c>
      <c r="K2" s="17" t="s">
        <v>157</v>
      </c>
    </row>
    <row r="3" spans="1:11" x14ac:dyDescent="0.25">
      <c r="A3" s="7" t="s">
        <v>383</v>
      </c>
      <c r="B3" s="1" t="s">
        <v>72</v>
      </c>
      <c r="C3" s="1" t="s">
        <v>73</v>
      </c>
      <c r="D3" s="1" t="s">
        <v>105</v>
      </c>
      <c r="E3" s="1" t="s">
        <v>48</v>
      </c>
      <c r="F3" s="1" t="s">
        <v>116</v>
      </c>
      <c r="G3" s="1" t="s">
        <v>48</v>
      </c>
      <c r="H3" s="9" t="s">
        <v>253</v>
      </c>
      <c r="I3" s="1" t="s">
        <v>54</v>
      </c>
      <c r="K3" s="17" t="s">
        <v>157</v>
      </c>
    </row>
    <row r="4" spans="1:11" x14ac:dyDescent="0.25">
      <c r="A4" s="1"/>
      <c r="B4" s="1"/>
      <c r="C4" s="1"/>
      <c r="D4" s="1"/>
      <c r="E4" s="1"/>
      <c r="F4" s="1"/>
      <c r="G4" s="1"/>
      <c r="H4" s="9"/>
      <c r="I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2" sqref="A2"/>
    </sheetView>
  </sheetViews>
  <sheetFormatPr defaultRowHeight="15" x14ac:dyDescent="0.25"/>
  <cols>
    <col min="1" max="5" width="9.140625" style="16"/>
    <col min="6" max="6" width="10.28515625" style="16" bestFit="1" customWidth="1"/>
    <col min="7" max="7" width="19.28515625" style="16" bestFit="1" customWidth="1"/>
    <col min="8" max="8" width="10.5703125" style="16" bestFit="1" customWidth="1"/>
    <col min="9" max="16384" width="9.140625" style="16"/>
  </cols>
  <sheetData>
    <row r="1" spans="1:8" x14ac:dyDescent="0.25">
      <c r="A1" s="17" t="s">
        <v>68</v>
      </c>
      <c r="B1" s="17" t="s">
        <v>69</v>
      </c>
      <c r="C1" s="17" t="s">
        <v>70</v>
      </c>
      <c r="D1" s="17" t="s">
        <v>47</v>
      </c>
      <c r="E1" s="3" t="s">
        <v>6</v>
      </c>
      <c r="F1" s="16" t="s">
        <v>53</v>
      </c>
      <c r="G1" s="16" t="s">
        <v>155</v>
      </c>
      <c r="H1" s="17" t="s">
        <v>156</v>
      </c>
    </row>
    <row r="2" spans="1:8" x14ac:dyDescent="0.25">
      <c r="A2" s="17" t="s">
        <v>110</v>
      </c>
      <c r="B2" s="17" t="s">
        <v>72</v>
      </c>
      <c r="C2" s="17" t="s">
        <v>73</v>
      </c>
      <c r="D2" s="17" t="s">
        <v>74</v>
      </c>
      <c r="E2" s="9" t="s">
        <v>151</v>
      </c>
      <c r="F2" s="17" t="s">
        <v>54</v>
      </c>
      <c r="H2" s="17" t="s">
        <v>157</v>
      </c>
    </row>
    <row r="3" spans="1:8" x14ac:dyDescent="0.25">
      <c r="A3" s="7" t="s">
        <v>313</v>
      </c>
      <c r="B3" s="17" t="s">
        <v>72</v>
      </c>
      <c r="C3" s="17" t="s">
        <v>73</v>
      </c>
      <c r="D3" s="17" t="s">
        <v>105</v>
      </c>
      <c r="E3" s="9" t="s">
        <v>152</v>
      </c>
      <c r="F3" s="17" t="s">
        <v>54</v>
      </c>
      <c r="H3" s="17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13" sqref="H13"/>
    </sheetView>
  </sheetViews>
  <sheetFormatPr defaultRowHeight="15" x14ac:dyDescent="0.25"/>
  <cols>
    <col min="2" max="2" width="10.42578125" bestFit="1" customWidth="1"/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17" t="s">
        <v>68</v>
      </c>
      <c r="B1" s="17" t="s">
        <v>69</v>
      </c>
      <c r="C1" s="17" t="s">
        <v>70</v>
      </c>
      <c r="D1" s="17" t="s">
        <v>47</v>
      </c>
      <c r="E1" s="3" t="s">
        <v>6</v>
      </c>
      <c r="F1" s="16" t="s">
        <v>53</v>
      </c>
      <c r="G1" s="16" t="s">
        <v>155</v>
      </c>
      <c r="H1" s="17" t="s">
        <v>156</v>
      </c>
    </row>
    <row r="2" spans="1:8" x14ac:dyDescent="0.25">
      <c r="A2" s="17" t="s">
        <v>376</v>
      </c>
      <c r="B2" s="17" t="s">
        <v>72</v>
      </c>
      <c r="C2" s="17" t="s">
        <v>73</v>
      </c>
      <c r="D2" s="17" t="s">
        <v>387</v>
      </c>
      <c r="E2" s="9" t="s">
        <v>151</v>
      </c>
      <c r="F2" s="17" t="s">
        <v>54</v>
      </c>
      <c r="G2" s="16"/>
      <c r="H2" s="17" t="s">
        <v>157</v>
      </c>
    </row>
    <row r="3" spans="1:8" x14ac:dyDescent="0.25">
      <c r="A3" s="7" t="s">
        <v>380</v>
      </c>
      <c r="B3" s="17" t="s">
        <v>72</v>
      </c>
      <c r="C3" s="17" t="s">
        <v>73</v>
      </c>
      <c r="D3" s="17" t="s">
        <v>386</v>
      </c>
      <c r="E3" s="9" t="s">
        <v>152</v>
      </c>
      <c r="F3" s="17" t="s">
        <v>54</v>
      </c>
      <c r="G3" s="16"/>
      <c r="H3" s="17" t="s">
        <v>157</v>
      </c>
    </row>
    <row r="4" spans="1:8" s="16" customFormat="1" x14ac:dyDescent="0.25">
      <c r="A4" s="7" t="s">
        <v>383</v>
      </c>
      <c r="B4" s="17" t="s">
        <v>72</v>
      </c>
      <c r="C4" s="17" t="s">
        <v>73</v>
      </c>
      <c r="D4" s="17" t="s">
        <v>105</v>
      </c>
      <c r="E4" s="9" t="s">
        <v>253</v>
      </c>
      <c r="F4" s="17" t="s">
        <v>54</v>
      </c>
      <c r="H4" s="17" t="s">
        <v>157</v>
      </c>
    </row>
    <row r="5" spans="1:8" s="16" customFormat="1" x14ac:dyDescent="0.25">
      <c r="A5" s="7" t="s">
        <v>384</v>
      </c>
      <c r="B5" s="17" t="s">
        <v>72</v>
      </c>
      <c r="C5" s="17" t="s">
        <v>73</v>
      </c>
      <c r="D5" s="17" t="s">
        <v>74</v>
      </c>
      <c r="E5" s="9" t="s">
        <v>381</v>
      </c>
      <c r="F5" s="17" t="s">
        <v>54</v>
      </c>
      <c r="H5" s="17" t="s">
        <v>157</v>
      </c>
    </row>
    <row r="6" spans="1:8" s="16" customFormat="1" x14ac:dyDescent="0.25">
      <c r="A6" s="7" t="s">
        <v>385</v>
      </c>
      <c r="B6" s="17" t="s">
        <v>72</v>
      </c>
      <c r="C6" s="17" t="s">
        <v>73</v>
      </c>
      <c r="D6" s="17" t="s">
        <v>388</v>
      </c>
      <c r="E6" s="9" t="s">
        <v>382</v>
      </c>
      <c r="F6" s="17" t="s">
        <v>54</v>
      </c>
      <c r="H6" s="17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11" sqref="G11"/>
    </sheetView>
  </sheetViews>
  <sheetFormatPr defaultRowHeight="15" x14ac:dyDescent="0.25"/>
  <cols>
    <col min="2" max="2" width="19" style="16" bestFit="1" customWidth="1"/>
    <col min="7" max="7" width="19.28515625" bestFit="1" customWidth="1"/>
    <col min="8" max="8" width="10.5703125" bestFit="1" customWidth="1"/>
  </cols>
  <sheetData>
    <row r="1" spans="1:8" x14ac:dyDescent="0.25">
      <c r="A1" s="17" t="s">
        <v>78</v>
      </c>
      <c r="B1" s="17" t="s">
        <v>289</v>
      </c>
      <c r="C1" s="1" t="s">
        <v>47</v>
      </c>
      <c r="D1" s="1" t="s">
        <v>29</v>
      </c>
      <c r="E1" s="3" t="s">
        <v>6</v>
      </c>
      <c r="F1" t="s">
        <v>53</v>
      </c>
      <c r="G1" s="16" t="s">
        <v>155</v>
      </c>
      <c r="H1" s="17" t="s">
        <v>156</v>
      </c>
    </row>
    <row r="2" spans="1:8" s="16" customFormat="1" x14ac:dyDescent="0.25">
      <c r="A2" s="17" t="s">
        <v>290</v>
      </c>
      <c r="B2" s="17" t="s">
        <v>531</v>
      </c>
      <c r="C2" s="17" t="s">
        <v>108</v>
      </c>
      <c r="D2" s="17" t="s">
        <v>11</v>
      </c>
      <c r="E2" s="9" t="s">
        <v>254</v>
      </c>
      <c r="F2" s="17" t="s">
        <v>54</v>
      </c>
      <c r="H2" s="17" t="s">
        <v>157</v>
      </c>
    </row>
    <row r="3" spans="1:8" x14ac:dyDescent="0.25">
      <c r="A3" s="17" t="s">
        <v>106</v>
      </c>
      <c r="B3" s="17" t="s">
        <v>310</v>
      </c>
      <c r="C3" s="1" t="s">
        <v>107</v>
      </c>
      <c r="D3" s="1" t="s">
        <v>11</v>
      </c>
      <c r="E3" s="11" t="s">
        <v>255</v>
      </c>
      <c r="F3" s="1" t="s">
        <v>54</v>
      </c>
      <c r="H3" s="17" t="s">
        <v>157</v>
      </c>
    </row>
    <row r="4" spans="1:8" x14ac:dyDescent="0.25">
      <c r="A4" s="17" t="s">
        <v>290</v>
      </c>
      <c r="B4" s="17" t="s">
        <v>310</v>
      </c>
      <c r="C4" s="1" t="s">
        <v>79</v>
      </c>
      <c r="D4" s="1" t="s">
        <v>11</v>
      </c>
      <c r="E4" s="9" t="s">
        <v>256</v>
      </c>
      <c r="F4" s="1" t="s">
        <v>54</v>
      </c>
      <c r="H4" s="17" t="s">
        <v>157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9" sqref="I9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82</v>
      </c>
      <c r="B1" t="s">
        <v>6</v>
      </c>
    </row>
    <row r="2" spans="1:2" x14ac:dyDescent="0.25">
      <c r="A2" t="s">
        <v>102</v>
      </c>
      <c r="B2" s="9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5" x14ac:dyDescent="0.25"/>
  <cols>
    <col min="1" max="1" width="7.5703125" customWidth="1"/>
    <col min="2" max="2" width="22" bestFit="1" customWidth="1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7" t="s">
        <v>298</v>
      </c>
      <c r="C2" s="16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E3" sqref="E3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8.8554687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6384" width="9.140625" style="16"/>
  </cols>
  <sheetData>
    <row r="1" spans="1:9" x14ac:dyDescent="0.25">
      <c r="A1" s="17" t="s">
        <v>89</v>
      </c>
      <c r="B1" s="17" t="s">
        <v>90</v>
      </c>
      <c r="C1" s="17" t="s">
        <v>314</v>
      </c>
      <c r="D1" s="17" t="s">
        <v>315</v>
      </c>
      <c r="E1" s="17" t="s">
        <v>6</v>
      </c>
      <c r="F1" s="17" t="s">
        <v>162</v>
      </c>
      <c r="G1" s="16" t="s">
        <v>53</v>
      </c>
      <c r="H1" s="2" t="s">
        <v>155</v>
      </c>
      <c r="I1" s="2" t="s">
        <v>156</v>
      </c>
    </row>
    <row r="2" spans="1:9" x14ac:dyDescent="0.25">
      <c r="A2" s="17" t="s">
        <v>91</v>
      </c>
      <c r="B2" s="24" t="str">
        <f ca="1">TEXT(NOW(),"YYYY-MM-DD")</f>
        <v>2026-09-21</v>
      </c>
      <c r="C2" s="4" t="s">
        <v>88</v>
      </c>
      <c r="D2" s="4" t="s">
        <v>88</v>
      </c>
      <c r="E2" s="18" t="s">
        <v>50</v>
      </c>
      <c r="F2" s="7" t="s">
        <v>170</v>
      </c>
      <c r="G2" s="6" t="s">
        <v>54</v>
      </c>
      <c r="I2" s="16" t="s">
        <v>157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4" sqref="G14"/>
    </sheetView>
  </sheetViews>
  <sheetFormatPr defaultRowHeight="15" x14ac:dyDescent="0.25"/>
  <cols>
    <col min="1" max="1" width="11.5703125" style="16" bestFit="1" customWidth="1"/>
    <col min="2" max="2" width="21" style="16" bestFit="1" customWidth="1"/>
    <col min="3" max="3" width="10.14062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0.85546875" style="6" bestFit="1" customWidth="1"/>
    <col min="9" max="9" width="13.5703125" style="6" bestFit="1" customWidth="1"/>
    <col min="10" max="10" width="19" style="6" bestFit="1" customWidth="1"/>
    <col min="11" max="11" width="19.28515625" style="16" bestFit="1" customWidth="1"/>
    <col min="12" max="12" width="10.5703125" style="16" bestFit="1" customWidth="1"/>
    <col min="13" max="16384" width="9.140625" style="16"/>
  </cols>
  <sheetData>
    <row r="1" spans="1:12" x14ac:dyDescent="0.25">
      <c r="A1" s="17" t="s">
        <v>82</v>
      </c>
      <c r="B1" s="17" t="s">
        <v>265</v>
      </c>
      <c r="C1" s="17" t="s">
        <v>269</v>
      </c>
      <c r="D1" s="17" t="s">
        <v>315</v>
      </c>
      <c r="E1" s="17" t="s">
        <v>6</v>
      </c>
      <c r="F1" s="17" t="s">
        <v>162</v>
      </c>
      <c r="G1" s="16" t="s">
        <v>53</v>
      </c>
      <c r="H1" s="6" t="s">
        <v>128</v>
      </c>
      <c r="I1" s="6" t="s">
        <v>122</v>
      </c>
      <c r="J1" s="17" t="s">
        <v>248</v>
      </c>
      <c r="K1" s="2" t="s">
        <v>155</v>
      </c>
      <c r="L1" s="2" t="s">
        <v>156</v>
      </c>
    </row>
    <row r="2" spans="1:12" x14ac:dyDescent="0.25">
      <c r="A2" s="17" t="s">
        <v>376</v>
      </c>
      <c r="B2" s="24" t="s">
        <v>316</v>
      </c>
      <c r="C2" s="4" t="s">
        <v>317</v>
      </c>
      <c r="D2" s="4" t="s">
        <v>88</v>
      </c>
      <c r="E2" s="18" t="s">
        <v>103</v>
      </c>
      <c r="F2" s="7" t="s">
        <v>170</v>
      </c>
      <c r="G2" s="6" t="s">
        <v>54</v>
      </c>
      <c r="H2" s="15">
        <f>Stock_Val_After_DA_PAK2!D7</f>
        <v>0</v>
      </c>
      <c r="I2" s="15" t="s">
        <v>258</v>
      </c>
      <c r="J2" s="17" t="s">
        <v>54</v>
      </c>
      <c r="L2" s="16" t="s">
        <v>157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12" sqref="C12"/>
    </sheetView>
  </sheetViews>
  <sheetFormatPr defaultRowHeight="15" x14ac:dyDescent="0.25"/>
  <cols>
    <col min="1" max="1" width="11.5703125" style="16" bestFit="1" customWidth="1"/>
    <col min="2" max="2" width="21" style="16" bestFit="1" customWidth="1"/>
    <col min="3" max="3" width="10.140625" style="16" bestFit="1" customWidth="1"/>
    <col min="4" max="4" width="10.140625" style="16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" style="6" bestFit="1" customWidth="1"/>
    <col min="9" max="9" width="19.28515625" style="16" bestFit="1" customWidth="1"/>
    <col min="10" max="10" width="10.5703125" style="16" bestFit="1" customWidth="1"/>
    <col min="11" max="16384" width="9.140625" style="16"/>
  </cols>
  <sheetData>
    <row r="1" spans="1:10" x14ac:dyDescent="0.25">
      <c r="A1" s="17" t="s">
        <v>318</v>
      </c>
      <c r="B1" s="17" t="s">
        <v>319</v>
      </c>
      <c r="C1" s="17" t="s">
        <v>320</v>
      </c>
      <c r="D1" s="17" t="s">
        <v>321</v>
      </c>
      <c r="E1" s="17" t="s">
        <v>6</v>
      </c>
      <c r="F1" s="17" t="s">
        <v>162</v>
      </c>
      <c r="G1" s="16" t="s">
        <v>53</v>
      </c>
      <c r="H1" s="17" t="s">
        <v>248</v>
      </c>
      <c r="I1" s="2" t="s">
        <v>155</v>
      </c>
      <c r="J1" s="2" t="s">
        <v>156</v>
      </c>
    </row>
    <row r="2" spans="1:10" x14ac:dyDescent="0.25">
      <c r="A2" s="17" t="s">
        <v>387</v>
      </c>
      <c r="B2" s="24">
        <v>0</v>
      </c>
      <c r="C2" s="4" t="s">
        <v>11</v>
      </c>
      <c r="D2" s="4" t="s">
        <v>11</v>
      </c>
      <c r="E2" s="18" t="s">
        <v>104</v>
      </c>
      <c r="F2" s="7" t="s">
        <v>170</v>
      </c>
      <c r="G2" s="6" t="s">
        <v>54</v>
      </c>
      <c r="H2" s="17" t="s">
        <v>239</v>
      </c>
      <c r="J2" s="16" t="s">
        <v>157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20" sqref="C20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8.8554687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6384" width="9.140625" style="16"/>
  </cols>
  <sheetData>
    <row r="1" spans="1:9" x14ac:dyDescent="0.25">
      <c r="A1" s="17" t="s">
        <v>89</v>
      </c>
      <c r="B1" s="17" t="s">
        <v>90</v>
      </c>
      <c r="C1" s="17" t="s">
        <v>314</v>
      </c>
      <c r="D1" s="17" t="s">
        <v>315</v>
      </c>
      <c r="E1" s="17" t="s">
        <v>6</v>
      </c>
      <c r="F1" s="17" t="s">
        <v>162</v>
      </c>
      <c r="G1" s="16" t="s">
        <v>53</v>
      </c>
      <c r="H1" s="2" t="s">
        <v>155</v>
      </c>
      <c r="I1" s="2" t="s">
        <v>156</v>
      </c>
    </row>
    <row r="2" spans="1:9" x14ac:dyDescent="0.25">
      <c r="A2" s="17" t="s">
        <v>91</v>
      </c>
      <c r="B2" s="24" t="str">
        <f ca="1">TEXT(NOW(),"YYYY-MM-DD")</f>
        <v>2026-09-21</v>
      </c>
      <c r="C2" s="4" t="s">
        <v>88</v>
      </c>
      <c r="D2" s="4" t="s">
        <v>88</v>
      </c>
      <c r="E2" s="18" t="s">
        <v>50</v>
      </c>
      <c r="F2" s="7" t="s">
        <v>170</v>
      </c>
      <c r="G2" s="6" t="s">
        <v>54</v>
      </c>
      <c r="I2" s="16" t="s">
        <v>157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L11" sqref="L11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10.14062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0" width="9.140625" style="16"/>
    <col min="11" max="11" width="19.28515625" style="16" bestFit="1" customWidth="1"/>
    <col min="12" max="12" width="10.5703125" style="16" bestFit="1" customWidth="1"/>
    <col min="13" max="16384" width="9.140625" style="16"/>
  </cols>
  <sheetData>
    <row r="1" spans="1:12" x14ac:dyDescent="0.25">
      <c r="A1" s="17" t="s">
        <v>82</v>
      </c>
      <c r="B1" s="17" t="s">
        <v>265</v>
      </c>
      <c r="C1" s="17" t="s">
        <v>269</v>
      </c>
      <c r="D1" s="17" t="s">
        <v>315</v>
      </c>
      <c r="E1" s="17" t="s">
        <v>6</v>
      </c>
      <c r="F1" s="17" t="s">
        <v>162</v>
      </c>
      <c r="G1" s="16" t="s">
        <v>53</v>
      </c>
      <c r="H1" s="6" t="s">
        <v>128</v>
      </c>
      <c r="I1" s="6" t="s">
        <v>122</v>
      </c>
      <c r="J1" s="17" t="s">
        <v>248</v>
      </c>
      <c r="K1" s="2" t="s">
        <v>155</v>
      </c>
      <c r="L1" s="2" t="s">
        <v>156</v>
      </c>
    </row>
    <row r="2" spans="1:12" x14ac:dyDescent="0.25">
      <c r="A2" s="17" t="s">
        <v>376</v>
      </c>
      <c r="B2" s="24" t="s">
        <v>316</v>
      </c>
      <c r="C2" s="4" t="s">
        <v>317</v>
      </c>
      <c r="D2" s="4" t="s">
        <v>88</v>
      </c>
      <c r="E2" s="18" t="s">
        <v>103</v>
      </c>
      <c r="F2" s="7" t="s">
        <v>170</v>
      </c>
      <c r="G2" s="6" t="s">
        <v>54</v>
      </c>
      <c r="H2" s="15">
        <f>Stock_Val_After_DA_PAK2!D7</f>
        <v>0</v>
      </c>
      <c r="I2" s="15" t="s">
        <v>258</v>
      </c>
      <c r="J2" s="17" t="s">
        <v>54</v>
      </c>
      <c r="L2" s="16" t="s">
        <v>157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2" sqref="F12"/>
    </sheetView>
  </sheetViews>
  <sheetFormatPr defaultRowHeight="15" x14ac:dyDescent="0.25"/>
  <cols>
    <col min="1" max="1" width="5.28515625" style="16" bestFit="1" customWidth="1"/>
    <col min="2" max="2" width="6.85546875" style="16" bestFit="1" customWidth="1"/>
    <col min="3" max="3" width="5.42578125" style="16" bestFit="1" customWidth="1"/>
    <col min="4" max="4" width="7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" style="16" bestFit="1" customWidth="1"/>
    <col min="9" max="9" width="19.28515625" style="16" bestFit="1" customWidth="1"/>
    <col min="10" max="10" width="10.5703125" style="16" bestFit="1" customWidth="1"/>
    <col min="11" max="16384" width="9.140625" style="16"/>
  </cols>
  <sheetData>
    <row r="1" spans="1:10" x14ac:dyDescent="0.25">
      <c r="A1" s="17" t="s">
        <v>318</v>
      </c>
      <c r="B1" s="17" t="s">
        <v>319</v>
      </c>
      <c r="C1" s="17" t="s">
        <v>320</v>
      </c>
      <c r="D1" s="17" t="s">
        <v>321</v>
      </c>
      <c r="E1" s="17" t="s">
        <v>6</v>
      </c>
      <c r="F1" s="17" t="s">
        <v>162</v>
      </c>
      <c r="G1" s="16" t="s">
        <v>53</v>
      </c>
      <c r="H1" s="17" t="s">
        <v>248</v>
      </c>
      <c r="I1" s="2" t="s">
        <v>155</v>
      </c>
      <c r="J1" s="2" t="s">
        <v>156</v>
      </c>
    </row>
    <row r="2" spans="1:10" x14ac:dyDescent="0.25">
      <c r="A2" s="17" t="s">
        <v>532</v>
      </c>
      <c r="B2" s="24">
        <v>46</v>
      </c>
      <c r="C2" s="4" t="s">
        <v>11</v>
      </c>
      <c r="D2" s="4" t="s">
        <v>11</v>
      </c>
      <c r="E2" s="18" t="s">
        <v>104</v>
      </c>
      <c r="F2" s="7" t="s">
        <v>170</v>
      </c>
      <c r="G2" s="6" t="s">
        <v>54</v>
      </c>
      <c r="H2" s="17" t="s">
        <v>239</v>
      </c>
      <c r="J2" s="16" t="s">
        <v>157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2" sqref="B2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8.8554687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6384" width="9.140625" style="16"/>
  </cols>
  <sheetData>
    <row r="1" spans="1:9" x14ac:dyDescent="0.25">
      <c r="A1" s="17" t="s">
        <v>89</v>
      </c>
      <c r="B1" s="17" t="s">
        <v>90</v>
      </c>
      <c r="C1" s="17" t="s">
        <v>314</v>
      </c>
      <c r="D1" s="17" t="s">
        <v>315</v>
      </c>
      <c r="E1" s="17" t="s">
        <v>6</v>
      </c>
      <c r="F1" s="17" t="s">
        <v>162</v>
      </c>
      <c r="G1" s="16" t="s">
        <v>53</v>
      </c>
      <c r="H1" s="2" t="s">
        <v>155</v>
      </c>
      <c r="I1" s="2" t="s">
        <v>156</v>
      </c>
    </row>
    <row r="2" spans="1:9" x14ac:dyDescent="0.25">
      <c r="A2" s="17" t="s">
        <v>91</v>
      </c>
      <c r="B2" s="24" t="str">
        <f ca="1">TEXT(NOW(),"YYYY-MM-DD")</f>
        <v>2026-09-21</v>
      </c>
      <c r="C2" s="4" t="s">
        <v>88</v>
      </c>
      <c r="D2" s="4" t="s">
        <v>88</v>
      </c>
      <c r="E2" s="18" t="s">
        <v>50</v>
      </c>
      <c r="F2" s="7" t="s">
        <v>170</v>
      </c>
      <c r="G2" s="6" t="s">
        <v>54</v>
      </c>
      <c r="I2" s="16" t="s">
        <v>157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8.8554687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6384" width="9.140625" style="16"/>
  </cols>
  <sheetData>
    <row r="1" spans="1:12" x14ac:dyDescent="0.25">
      <c r="A1" s="17" t="s">
        <v>82</v>
      </c>
      <c r="B1" s="17" t="s">
        <v>265</v>
      </c>
      <c r="C1" s="17" t="s">
        <v>269</v>
      </c>
      <c r="D1" s="17" t="s">
        <v>315</v>
      </c>
      <c r="E1" s="17" t="s">
        <v>6</v>
      </c>
      <c r="F1" s="17" t="s">
        <v>162</v>
      </c>
      <c r="G1" s="16" t="s">
        <v>53</v>
      </c>
      <c r="H1" s="6" t="s">
        <v>128</v>
      </c>
      <c r="I1" s="6" t="s">
        <v>122</v>
      </c>
      <c r="J1" s="17" t="s">
        <v>248</v>
      </c>
      <c r="K1" s="2" t="s">
        <v>155</v>
      </c>
      <c r="L1" s="2" t="s">
        <v>156</v>
      </c>
    </row>
    <row r="2" spans="1:12" x14ac:dyDescent="0.25">
      <c r="A2" s="17" t="s">
        <v>376</v>
      </c>
      <c r="B2" s="24" t="s">
        <v>316</v>
      </c>
      <c r="C2" s="4" t="s">
        <v>317</v>
      </c>
      <c r="D2" s="4" t="s">
        <v>88</v>
      </c>
      <c r="E2" s="18" t="s">
        <v>103</v>
      </c>
      <c r="F2" s="7" t="s">
        <v>170</v>
      </c>
      <c r="G2" s="6" t="s">
        <v>54</v>
      </c>
      <c r="H2" s="15">
        <f>Stock_Val_After_DA_PAK2!D7</f>
        <v>0</v>
      </c>
      <c r="I2" s="15" t="s">
        <v>258</v>
      </c>
      <c r="J2" s="17" t="s">
        <v>54</v>
      </c>
      <c r="L2" s="16" t="s">
        <v>157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2" sqref="B2"/>
    </sheetView>
  </sheetViews>
  <sheetFormatPr defaultRowHeight="15" x14ac:dyDescent="0.25"/>
  <cols>
    <col min="1" max="1" width="11.5703125" style="16" bestFit="1" customWidth="1"/>
    <col min="2" max="2" width="12.42578125" style="16" bestFit="1" customWidth="1"/>
    <col min="3" max="3" width="8.85546875" style="16" bestFit="1" customWidth="1"/>
    <col min="4" max="4" width="6.140625" style="16" bestFit="1" customWidth="1"/>
    <col min="5" max="5" width="5.7109375" style="16" bestFit="1" customWidth="1"/>
    <col min="6" max="6" width="16.42578125" style="16" bestFit="1" customWidth="1"/>
    <col min="7" max="7" width="10.28515625" style="16" bestFit="1" customWidth="1"/>
    <col min="8" max="8" width="19.28515625" style="16" bestFit="1" customWidth="1"/>
    <col min="9" max="9" width="10.5703125" style="16" bestFit="1" customWidth="1"/>
    <col min="10" max="16384" width="9.140625" style="16"/>
  </cols>
  <sheetData>
    <row r="1" spans="1:10" x14ac:dyDescent="0.25">
      <c r="A1" s="17" t="s">
        <v>318</v>
      </c>
      <c r="B1" s="17" t="s">
        <v>319</v>
      </c>
      <c r="C1" s="17" t="s">
        <v>320</v>
      </c>
      <c r="D1" s="17" t="s">
        <v>321</v>
      </c>
      <c r="E1" s="17" t="s">
        <v>6</v>
      </c>
      <c r="F1" s="17" t="s">
        <v>162</v>
      </c>
      <c r="G1" s="16" t="s">
        <v>53</v>
      </c>
      <c r="H1" s="17" t="s">
        <v>248</v>
      </c>
      <c r="I1" s="2" t="s">
        <v>155</v>
      </c>
      <c r="J1" s="2" t="s">
        <v>156</v>
      </c>
    </row>
    <row r="2" spans="1:10" x14ac:dyDescent="0.25">
      <c r="A2" s="17" t="s">
        <v>533</v>
      </c>
      <c r="B2" s="24">
        <v>46</v>
      </c>
      <c r="C2" s="4" t="s">
        <v>11</v>
      </c>
      <c r="D2" s="4" t="s">
        <v>11</v>
      </c>
      <c r="E2" s="18" t="s">
        <v>104</v>
      </c>
      <c r="F2" s="7" t="s">
        <v>170</v>
      </c>
      <c r="G2" s="6" t="s">
        <v>54</v>
      </c>
      <c r="H2" s="17" t="s">
        <v>239</v>
      </c>
      <c r="J2" s="16" t="s">
        <v>157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14" sqref="B14"/>
    </sheetView>
  </sheetViews>
  <sheetFormatPr defaultRowHeight="15" x14ac:dyDescent="0.25"/>
  <cols>
    <col min="2" max="2" width="34.7109375" bestFit="1" customWidth="1"/>
  </cols>
  <sheetData>
    <row r="1" spans="1:8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89</v>
      </c>
      <c r="F1" s="16" t="s">
        <v>90</v>
      </c>
      <c r="G1" s="16" t="s">
        <v>314</v>
      </c>
      <c r="H1" s="16" t="s">
        <v>315</v>
      </c>
    </row>
    <row r="2" spans="1:8" x14ac:dyDescent="0.25">
      <c r="A2" s="9" t="s">
        <v>50</v>
      </c>
      <c r="B2" s="15" t="s">
        <v>325</v>
      </c>
      <c r="C2" s="17" t="s">
        <v>54</v>
      </c>
      <c r="D2" s="16" t="s">
        <v>157</v>
      </c>
      <c r="E2" s="17" t="s">
        <v>91</v>
      </c>
      <c r="F2" s="16" t="str">
        <f ca="1">TEXT(NOW(),"yyyy-mm-dd")</f>
        <v>2026-09-21</v>
      </c>
      <c r="G2" s="16" t="s">
        <v>88</v>
      </c>
      <c r="H2" s="16" t="s">
        <v>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sheetData>
    <row r="1" spans="1:6" x14ac:dyDescent="0.25">
      <c r="A1" s="2" t="s">
        <v>6</v>
      </c>
      <c r="B1" s="2" t="s">
        <v>53</v>
      </c>
      <c r="C1" s="2" t="s">
        <v>156</v>
      </c>
      <c r="D1" s="2" t="s">
        <v>82</v>
      </c>
      <c r="E1" s="2" t="s">
        <v>265</v>
      </c>
      <c r="F1" s="2" t="s">
        <v>269</v>
      </c>
    </row>
    <row r="2" spans="1:6" x14ac:dyDescent="0.25">
      <c r="A2" s="7" t="s">
        <v>103</v>
      </c>
      <c r="B2" s="17" t="s">
        <v>54</v>
      </c>
      <c r="C2" s="17" t="s">
        <v>157</v>
      </c>
      <c r="D2" s="17" t="s">
        <v>376</v>
      </c>
      <c r="E2" s="24" t="s">
        <v>316</v>
      </c>
      <c r="F2" s="4" t="s">
        <v>317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8" sqref="G8"/>
    </sheetView>
  </sheetViews>
  <sheetFormatPr defaultRowHeight="15" x14ac:dyDescent="0.25"/>
  <cols>
    <col min="1" max="1" width="5.7109375" bestFit="1" customWidth="1"/>
    <col min="2" max="2" width="34.7109375" bestFit="1" customWidth="1"/>
    <col min="3" max="3" width="10.28515625" bestFit="1" customWidth="1"/>
    <col min="4" max="4" width="10.5703125" bestFit="1" customWidth="1"/>
    <col min="5" max="5" width="11.140625" bestFit="1" customWidth="1"/>
    <col min="6" max="6" width="10" bestFit="1" customWidth="1"/>
    <col min="7" max="7" width="11.28515625" bestFit="1" customWidth="1"/>
    <col min="8" max="8" width="10.140625" bestFit="1" customWidth="1"/>
    <col min="9" max="9" width="19" bestFit="1" customWidth="1"/>
    <col min="10" max="10" width="19.28515625" bestFit="1" customWidth="1"/>
  </cols>
  <sheetData>
    <row r="1" spans="1:10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326</v>
      </c>
      <c r="F1" s="2" t="s">
        <v>327</v>
      </c>
      <c r="G1" s="2" t="s">
        <v>328</v>
      </c>
      <c r="H1" s="2" t="s">
        <v>329</v>
      </c>
      <c r="I1" s="17" t="s">
        <v>248</v>
      </c>
      <c r="J1" s="2" t="s">
        <v>155</v>
      </c>
    </row>
    <row r="2" spans="1:10" x14ac:dyDescent="0.25">
      <c r="A2" s="7" t="s">
        <v>104</v>
      </c>
      <c r="B2" s="15" t="s">
        <v>325</v>
      </c>
      <c r="C2" s="17" t="s">
        <v>54</v>
      </c>
      <c r="D2" s="17" t="s">
        <v>157</v>
      </c>
      <c r="E2" s="7" t="s">
        <v>11</v>
      </c>
      <c r="F2" s="7" t="s">
        <v>11</v>
      </c>
      <c r="G2" s="7" t="s">
        <v>11</v>
      </c>
      <c r="H2" s="7" t="s">
        <v>11</v>
      </c>
      <c r="I2" s="17" t="s">
        <v>239</v>
      </c>
      <c r="J2" s="1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7" t="s">
        <v>50</v>
      </c>
      <c r="B2" s="16"/>
      <c r="C2" s="16" t="s">
        <v>157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12" sqref="E12"/>
    </sheetView>
  </sheetViews>
  <sheetFormatPr defaultRowHeight="15" x14ac:dyDescent="0.25"/>
  <cols>
    <col min="1" max="1" width="23.28515625" style="16" bestFit="1" customWidth="1"/>
    <col min="2" max="2" width="29.28515625" style="16" bestFit="1" customWidth="1"/>
    <col min="3" max="3" width="11.5703125" style="16" bestFit="1" customWidth="1"/>
    <col min="4" max="4" width="3.28515625" style="16" bestFit="1" customWidth="1"/>
    <col min="5" max="5" width="36.5703125" style="16" bestFit="1" customWidth="1"/>
    <col min="6" max="6" width="16.28515625" style="16" bestFit="1" customWidth="1"/>
    <col min="7" max="7" width="19.28515625" style="16" bestFit="1" customWidth="1"/>
    <col min="8" max="8" width="10.5703125" style="16" bestFit="1" customWidth="1"/>
    <col min="9" max="9" width="10.28515625" style="16" bestFit="1" customWidth="1"/>
    <col min="10" max="10" width="5.28515625" style="16" bestFit="1" customWidth="1"/>
    <col min="11" max="11" width="23.28515625" style="16" bestFit="1" customWidth="1"/>
    <col min="12" max="16384" width="9.140625" style="16"/>
  </cols>
  <sheetData>
    <row r="1" spans="1:11" x14ac:dyDescent="0.25">
      <c r="A1" s="17" t="s">
        <v>336</v>
      </c>
      <c r="B1" s="17" t="s">
        <v>335</v>
      </c>
      <c r="C1" s="17" t="s">
        <v>5</v>
      </c>
      <c r="D1" s="17" t="s">
        <v>6</v>
      </c>
      <c r="E1" s="17" t="s">
        <v>162</v>
      </c>
      <c r="F1" s="17" t="s">
        <v>204</v>
      </c>
      <c r="G1" s="16" t="s">
        <v>155</v>
      </c>
      <c r="H1" s="16" t="s">
        <v>156</v>
      </c>
      <c r="I1" s="16" t="s">
        <v>53</v>
      </c>
      <c r="J1" s="16" t="s">
        <v>82</v>
      </c>
      <c r="K1" s="17" t="s">
        <v>334</v>
      </c>
    </row>
    <row r="2" spans="1:11" x14ac:dyDescent="0.25">
      <c r="A2" s="17" t="s">
        <v>330</v>
      </c>
      <c r="B2" s="17" t="s">
        <v>346</v>
      </c>
      <c r="C2" s="17" t="s">
        <v>333</v>
      </c>
      <c r="D2" s="7" t="s">
        <v>50</v>
      </c>
      <c r="E2" s="17" t="s">
        <v>332</v>
      </c>
      <c r="F2" s="7" t="s">
        <v>331</v>
      </c>
      <c r="G2" s="16" t="s">
        <v>160</v>
      </c>
      <c r="H2" s="16" t="s">
        <v>157</v>
      </c>
      <c r="I2" s="16" t="s">
        <v>54</v>
      </c>
      <c r="J2" s="16" t="s">
        <v>82</v>
      </c>
      <c r="K2" s="17" t="s">
        <v>330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18" sqref="E18"/>
    </sheetView>
  </sheetViews>
  <sheetFormatPr defaultColWidth="20.7109375" defaultRowHeight="15" x14ac:dyDescent="0.25"/>
  <cols>
    <col min="1" max="16384" width="20.7109375" style="16"/>
  </cols>
  <sheetData>
    <row r="1" spans="1:12" x14ac:dyDescent="0.25">
      <c r="A1" s="17" t="s">
        <v>68</v>
      </c>
      <c r="B1" s="17" t="s">
        <v>69</v>
      </c>
      <c r="C1" s="17" t="s">
        <v>70</v>
      </c>
      <c r="D1" s="17" t="s">
        <v>28</v>
      </c>
      <c r="E1" s="17" t="s">
        <v>47</v>
      </c>
      <c r="F1" s="17" t="s">
        <v>29</v>
      </c>
      <c r="G1" s="17" t="s">
        <v>6</v>
      </c>
      <c r="H1" s="17" t="s">
        <v>162</v>
      </c>
      <c r="I1" s="17" t="s">
        <v>204</v>
      </c>
      <c r="J1" s="16" t="s">
        <v>155</v>
      </c>
      <c r="K1" s="16" t="s">
        <v>156</v>
      </c>
      <c r="L1" s="16" t="s">
        <v>53</v>
      </c>
    </row>
    <row r="2" spans="1:12" x14ac:dyDescent="0.25">
      <c r="A2" s="17" t="s">
        <v>567</v>
      </c>
      <c r="B2" s="7" t="s">
        <v>337</v>
      </c>
      <c r="C2" s="17" t="s">
        <v>73</v>
      </c>
      <c r="D2" s="17" t="s">
        <v>356</v>
      </c>
      <c r="E2" s="7" t="s">
        <v>74</v>
      </c>
      <c r="F2" s="7" t="s">
        <v>353</v>
      </c>
      <c r="G2" s="7" t="s">
        <v>103</v>
      </c>
      <c r="H2" s="17" t="s">
        <v>332</v>
      </c>
      <c r="I2" s="7" t="s">
        <v>331</v>
      </c>
      <c r="J2" s="16" t="s">
        <v>208</v>
      </c>
      <c r="K2" s="16" t="s">
        <v>157</v>
      </c>
      <c r="L2" s="16" t="s">
        <v>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1:XFD1048576"/>
    </sheetView>
  </sheetViews>
  <sheetFormatPr defaultRowHeight="15" x14ac:dyDescent="0.25"/>
  <cols>
    <col min="1" max="1" width="20.28515625" style="16" bestFit="1" customWidth="1"/>
    <col min="2" max="2" width="5.7109375" style="16" bestFit="1" customWidth="1"/>
    <col min="3" max="3" width="23.28515625" style="16" bestFit="1" customWidth="1"/>
    <col min="4" max="16384" width="9.140625" style="16"/>
  </cols>
  <sheetData>
    <row r="1" spans="1:3" x14ac:dyDescent="0.25">
      <c r="A1" s="16" t="s">
        <v>82</v>
      </c>
      <c r="B1" s="16" t="s">
        <v>6</v>
      </c>
      <c r="C1" s="16" t="s">
        <v>334</v>
      </c>
    </row>
    <row r="2" spans="1:3" x14ac:dyDescent="0.25">
      <c r="A2" s="16" t="s">
        <v>102</v>
      </c>
      <c r="B2" s="7" t="s">
        <v>104</v>
      </c>
      <c r="C2" s="17" t="s">
        <v>330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opLeftCell="B1" workbookViewId="0">
      <selection activeCell="C4" sqref="C4"/>
    </sheetView>
  </sheetViews>
  <sheetFormatPr defaultRowHeight="15" x14ac:dyDescent="0.25"/>
  <cols>
    <col min="1" max="1" width="32.7109375" style="16" bestFit="1" customWidth="1"/>
    <col min="2" max="2" width="29.28515625" style="16" bestFit="1" customWidth="1"/>
    <col min="3" max="3" width="29.42578125" style="16" bestFit="1" customWidth="1"/>
    <col min="4" max="4" width="11.5703125" style="16" bestFit="1" customWidth="1"/>
    <col min="5" max="5" width="3.28515625" style="16" bestFit="1" customWidth="1"/>
    <col min="6" max="6" width="46.85546875" style="16" bestFit="1" customWidth="1"/>
    <col min="7" max="7" width="16.28515625" style="16" bestFit="1" customWidth="1"/>
    <col min="8" max="8" width="19.28515625" style="16" bestFit="1" customWidth="1"/>
    <col min="9" max="9" width="10.5703125" style="16" bestFit="1" customWidth="1"/>
    <col min="10" max="10" width="10.28515625" style="16" bestFit="1" customWidth="1"/>
    <col min="11" max="11" width="5.28515625" style="16" bestFit="1" customWidth="1"/>
    <col min="12" max="12" width="24.7109375" style="16" bestFit="1" customWidth="1"/>
    <col min="13" max="16384" width="9.140625" style="16"/>
  </cols>
  <sheetData>
    <row r="1" spans="1:12" x14ac:dyDescent="0.25">
      <c r="A1" s="17" t="s">
        <v>336</v>
      </c>
      <c r="B1" s="17" t="s">
        <v>335</v>
      </c>
      <c r="C1" s="17" t="s">
        <v>338</v>
      </c>
      <c r="D1" s="17" t="s">
        <v>5</v>
      </c>
      <c r="E1" s="17" t="s">
        <v>6</v>
      </c>
      <c r="F1" s="17" t="s">
        <v>162</v>
      </c>
      <c r="G1" s="17" t="s">
        <v>204</v>
      </c>
      <c r="H1" s="16" t="s">
        <v>155</v>
      </c>
      <c r="I1" s="16" t="s">
        <v>156</v>
      </c>
      <c r="J1" s="16" t="s">
        <v>53</v>
      </c>
      <c r="K1" s="16" t="s">
        <v>82</v>
      </c>
      <c r="L1" s="17" t="s">
        <v>334</v>
      </c>
    </row>
    <row r="2" spans="1:12" x14ac:dyDescent="0.25">
      <c r="A2" s="17" t="s">
        <v>339</v>
      </c>
      <c r="B2" s="17" t="s">
        <v>346</v>
      </c>
      <c r="C2" s="17" t="s">
        <v>352</v>
      </c>
      <c r="D2" s="17" t="s">
        <v>333</v>
      </c>
      <c r="E2" s="7" t="s">
        <v>50</v>
      </c>
      <c r="F2" s="17" t="s">
        <v>340</v>
      </c>
      <c r="G2" s="7" t="s">
        <v>331</v>
      </c>
      <c r="H2" s="16" t="s">
        <v>160</v>
      </c>
      <c r="I2" s="16" t="s">
        <v>157</v>
      </c>
      <c r="J2" s="16" t="s">
        <v>54</v>
      </c>
      <c r="K2" s="16" t="s">
        <v>82</v>
      </c>
      <c r="L2" s="17" t="s">
        <v>341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B15" sqref="B15"/>
    </sheetView>
  </sheetViews>
  <sheetFormatPr defaultColWidth="25.7109375" defaultRowHeight="15" x14ac:dyDescent="0.25"/>
  <cols>
    <col min="1" max="16384" width="25.7109375" style="16"/>
  </cols>
  <sheetData>
    <row r="1" spans="1:12" x14ac:dyDescent="0.25">
      <c r="A1" s="17" t="s">
        <v>68</v>
      </c>
      <c r="B1" s="17" t="s">
        <v>69</v>
      </c>
      <c r="C1" s="17" t="s">
        <v>70</v>
      </c>
      <c r="D1" s="17" t="s">
        <v>28</v>
      </c>
      <c r="E1" s="17" t="s">
        <v>47</v>
      </c>
      <c r="F1" s="17" t="s">
        <v>29</v>
      </c>
      <c r="G1" s="17" t="s">
        <v>6</v>
      </c>
      <c r="H1" s="17" t="s">
        <v>162</v>
      </c>
      <c r="I1" s="17" t="s">
        <v>204</v>
      </c>
      <c r="J1" s="16" t="s">
        <v>155</v>
      </c>
      <c r="K1" s="16" t="s">
        <v>156</v>
      </c>
      <c r="L1" s="16" t="s">
        <v>53</v>
      </c>
    </row>
    <row r="2" spans="1:12" x14ac:dyDescent="0.25">
      <c r="A2" s="17" t="s">
        <v>567</v>
      </c>
      <c r="B2" s="7" t="s">
        <v>337</v>
      </c>
      <c r="C2" s="17" t="s">
        <v>73</v>
      </c>
      <c r="D2" s="17" t="s">
        <v>356</v>
      </c>
      <c r="E2" s="7" t="s">
        <v>74</v>
      </c>
      <c r="F2" s="7" t="s">
        <v>353</v>
      </c>
      <c r="G2" s="7" t="s">
        <v>103</v>
      </c>
      <c r="H2" s="17" t="s">
        <v>340</v>
      </c>
      <c r="I2" s="7" t="s">
        <v>331</v>
      </c>
      <c r="J2" s="16" t="s">
        <v>208</v>
      </c>
      <c r="K2" s="16" t="s">
        <v>157</v>
      </c>
      <c r="L2" s="16" t="s">
        <v>54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I13" sqref="I13"/>
    </sheetView>
  </sheetViews>
  <sheetFormatPr defaultRowHeight="15" x14ac:dyDescent="0.25"/>
  <cols>
    <col min="1" max="16384" width="9.140625" style="16"/>
  </cols>
  <sheetData>
    <row r="1" spans="1:3" x14ac:dyDescent="0.25">
      <c r="A1" s="16" t="s">
        <v>82</v>
      </c>
      <c r="B1" s="16" t="s">
        <v>6</v>
      </c>
      <c r="C1" s="16" t="s">
        <v>334</v>
      </c>
    </row>
    <row r="2" spans="1:3" x14ac:dyDescent="0.25">
      <c r="A2" s="16" t="s">
        <v>102</v>
      </c>
      <c r="B2" s="7" t="s">
        <v>104</v>
      </c>
      <c r="C2" s="16" t="s">
        <v>341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L9" sqref="L9"/>
    </sheetView>
  </sheetViews>
  <sheetFormatPr defaultRowHeight="15" x14ac:dyDescent="0.25"/>
  <sheetData>
    <row r="1" spans="1:11" s="16" customFormat="1" x14ac:dyDescent="0.25">
      <c r="A1" s="17" t="s">
        <v>336</v>
      </c>
      <c r="B1" s="17" t="s">
        <v>335</v>
      </c>
      <c r="C1" s="17" t="s">
        <v>5</v>
      </c>
      <c r="D1" s="17" t="s">
        <v>6</v>
      </c>
      <c r="E1" s="17" t="s">
        <v>162</v>
      </c>
      <c r="F1" s="17" t="s">
        <v>204</v>
      </c>
      <c r="G1" s="16" t="s">
        <v>155</v>
      </c>
      <c r="H1" s="16" t="s">
        <v>156</v>
      </c>
      <c r="I1" s="16" t="s">
        <v>53</v>
      </c>
      <c r="J1" s="16" t="s">
        <v>82</v>
      </c>
      <c r="K1" s="17" t="s">
        <v>334</v>
      </c>
    </row>
    <row r="2" spans="1:11" s="16" customFormat="1" x14ac:dyDescent="0.25">
      <c r="A2" s="17" t="s">
        <v>664</v>
      </c>
      <c r="B2" s="17" t="s">
        <v>352</v>
      </c>
      <c r="C2" s="17" t="s">
        <v>333</v>
      </c>
      <c r="D2" s="7" t="s">
        <v>50</v>
      </c>
      <c r="E2" s="17" t="s">
        <v>665</v>
      </c>
      <c r="F2" s="7" t="s">
        <v>331</v>
      </c>
      <c r="G2" s="16" t="s">
        <v>160</v>
      </c>
      <c r="H2" s="16" t="s">
        <v>157</v>
      </c>
      <c r="I2" s="16" t="s">
        <v>54</v>
      </c>
      <c r="J2" s="16" t="s">
        <v>82</v>
      </c>
      <c r="K2" s="17" t="s">
        <v>664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F12" sqref="F12"/>
    </sheetView>
  </sheetViews>
  <sheetFormatPr defaultRowHeight="15" x14ac:dyDescent="0.25"/>
  <sheetData>
    <row r="1" spans="1:12" s="16" customFormat="1" x14ac:dyDescent="0.25">
      <c r="A1" s="17" t="s">
        <v>68</v>
      </c>
      <c r="B1" s="17" t="s">
        <v>69</v>
      </c>
      <c r="C1" s="17" t="s">
        <v>70</v>
      </c>
      <c r="D1" s="17" t="s">
        <v>28</v>
      </c>
      <c r="E1" s="17" t="s">
        <v>47</v>
      </c>
      <c r="F1" s="17" t="s">
        <v>29</v>
      </c>
      <c r="G1" s="17" t="s">
        <v>6</v>
      </c>
      <c r="H1" s="17" t="s">
        <v>162</v>
      </c>
      <c r="I1" s="17" t="s">
        <v>204</v>
      </c>
      <c r="J1" s="16" t="s">
        <v>155</v>
      </c>
      <c r="K1" s="16" t="s">
        <v>156</v>
      </c>
      <c r="L1" s="16" t="s">
        <v>53</v>
      </c>
    </row>
    <row r="2" spans="1:12" s="16" customFormat="1" x14ac:dyDescent="0.25">
      <c r="A2" s="17" t="s">
        <v>567</v>
      </c>
      <c r="B2" s="7" t="s">
        <v>72</v>
      </c>
      <c r="C2" s="17" t="s">
        <v>73</v>
      </c>
      <c r="D2" s="17" t="s">
        <v>356</v>
      </c>
      <c r="E2" s="7" t="s">
        <v>666</v>
      </c>
      <c r="F2" s="7" t="s">
        <v>667</v>
      </c>
      <c r="G2" s="7" t="s">
        <v>103</v>
      </c>
      <c r="H2" s="17" t="s">
        <v>668</v>
      </c>
      <c r="I2" s="7" t="s">
        <v>331</v>
      </c>
      <c r="J2" s="16" t="s">
        <v>208</v>
      </c>
      <c r="K2" s="16" t="s">
        <v>157</v>
      </c>
      <c r="L2" s="16" t="s">
        <v>54</v>
      </c>
    </row>
    <row r="3" spans="1:12" s="16" customFormat="1" x14ac:dyDescent="0.25">
      <c r="A3" s="17" t="s">
        <v>567</v>
      </c>
      <c r="B3" s="7" t="s">
        <v>290</v>
      </c>
      <c r="C3" s="17" t="s">
        <v>73</v>
      </c>
      <c r="D3" s="17" t="s">
        <v>669</v>
      </c>
      <c r="E3" s="7" t="s">
        <v>353</v>
      </c>
      <c r="F3" s="7" t="s">
        <v>79</v>
      </c>
      <c r="G3" s="7" t="s">
        <v>104</v>
      </c>
      <c r="H3" s="17" t="s">
        <v>670</v>
      </c>
      <c r="I3" s="7" t="s">
        <v>331</v>
      </c>
      <c r="J3" s="16" t="s">
        <v>208</v>
      </c>
      <c r="K3" s="16" t="s">
        <v>157</v>
      </c>
      <c r="L3" s="16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G16" sqref="G16"/>
    </sheetView>
  </sheetViews>
  <sheetFormatPr defaultRowHeight="15" x14ac:dyDescent="0.25"/>
  <sheetData>
    <row r="1" spans="1:3" s="16" customFormat="1" x14ac:dyDescent="0.25">
      <c r="A1" s="16" t="s">
        <v>82</v>
      </c>
      <c r="B1" s="16" t="s">
        <v>6</v>
      </c>
      <c r="C1" s="16" t="s">
        <v>334</v>
      </c>
    </row>
    <row r="2" spans="1:3" s="16" customFormat="1" x14ac:dyDescent="0.25">
      <c r="A2" s="16" t="s">
        <v>102</v>
      </c>
      <c r="B2" s="7" t="s">
        <v>103</v>
      </c>
      <c r="C2" s="17" t="s">
        <v>664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6384" width="9.140625" style="16"/>
  </cols>
  <sheetData>
    <row r="1" spans="1:4" x14ac:dyDescent="0.25">
      <c r="A1" s="16" t="s">
        <v>6</v>
      </c>
      <c r="B1" s="16" t="s">
        <v>162</v>
      </c>
      <c r="C1" s="16" t="s">
        <v>155</v>
      </c>
      <c r="D1" s="16" t="s">
        <v>156</v>
      </c>
    </row>
    <row r="2" spans="1:4" x14ac:dyDescent="0.25">
      <c r="A2" s="7" t="s">
        <v>103</v>
      </c>
      <c r="B2" s="16" t="s">
        <v>342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2"/>
    </sheetView>
  </sheetViews>
  <sheetFormatPr defaultRowHeight="15" x14ac:dyDescent="0.25"/>
  <cols>
    <col min="1" max="2" width="9.140625" style="16"/>
    <col min="3" max="3" width="20.85546875" style="16" bestFit="1" customWidth="1"/>
    <col min="4" max="4" width="22" style="16" bestFit="1" customWidth="1"/>
    <col min="5" max="16384" width="9.140625" style="16"/>
  </cols>
  <sheetData>
    <row r="1" spans="1:6" x14ac:dyDescent="0.25">
      <c r="A1" s="17" t="s">
        <v>82</v>
      </c>
      <c r="B1" s="17" t="s">
        <v>6</v>
      </c>
      <c r="C1" s="16" t="s">
        <v>162</v>
      </c>
      <c r="D1" s="16" t="s">
        <v>155</v>
      </c>
      <c r="E1" s="16" t="s">
        <v>156</v>
      </c>
      <c r="F1" s="16" t="s">
        <v>53</v>
      </c>
    </row>
    <row r="2" spans="1:6" x14ac:dyDescent="0.25">
      <c r="A2" s="17" t="s">
        <v>343</v>
      </c>
      <c r="B2" s="7" t="s">
        <v>50</v>
      </c>
      <c r="C2" s="16" t="s">
        <v>344</v>
      </c>
      <c r="D2" s="16" t="s">
        <v>161</v>
      </c>
      <c r="E2" s="16" t="s">
        <v>157</v>
      </c>
      <c r="F2" s="16" t="s">
        <v>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L8" sqref="L8"/>
    </sheetView>
  </sheetViews>
  <sheetFormatPr defaultRowHeight="15" x14ac:dyDescent="0.25"/>
  <sheetData>
    <row r="1" spans="1:6" s="16" customFormat="1" x14ac:dyDescent="0.25">
      <c r="A1" s="17" t="s">
        <v>82</v>
      </c>
      <c r="B1" s="17" t="s">
        <v>6</v>
      </c>
      <c r="C1" s="16" t="s">
        <v>162</v>
      </c>
      <c r="D1" s="16" t="s">
        <v>155</v>
      </c>
      <c r="E1" s="16" t="s">
        <v>156</v>
      </c>
      <c r="F1" s="16" t="s">
        <v>53</v>
      </c>
    </row>
    <row r="2" spans="1:6" s="16" customFormat="1" x14ac:dyDescent="0.25">
      <c r="A2" s="17" t="s">
        <v>343</v>
      </c>
      <c r="B2" s="7" t="s">
        <v>50</v>
      </c>
      <c r="C2" s="16" t="s">
        <v>344</v>
      </c>
      <c r="D2" s="16" t="s">
        <v>161</v>
      </c>
      <c r="E2" s="16" t="s">
        <v>157</v>
      </c>
      <c r="F2" s="16" t="s">
        <v>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6384" width="9.140625" style="16"/>
  </cols>
  <sheetData>
    <row r="1" spans="1:4" x14ac:dyDescent="0.25">
      <c r="A1" s="16" t="s">
        <v>6</v>
      </c>
      <c r="B1" s="16" t="s">
        <v>162</v>
      </c>
      <c r="C1" s="16" t="s">
        <v>155</v>
      </c>
      <c r="D1" s="16" t="s">
        <v>156</v>
      </c>
    </row>
    <row r="2" spans="1:4" x14ac:dyDescent="0.25">
      <c r="A2" s="7" t="s">
        <v>103</v>
      </c>
      <c r="B2" s="16" t="s">
        <v>344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cols>
    <col min="1" max="16384" width="9.140625" style="16"/>
  </cols>
  <sheetData>
    <row r="1" spans="1:8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89</v>
      </c>
      <c r="F1" s="16" t="s">
        <v>90</v>
      </c>
      <c r="G1" s="16" t="s">
        <v>314</v>
      </c>
      <c r="H1" s="16" t="s">
        <v>315</v>
      </c>
    </row>
    <row r="2" spans="1:8" x14ac:dyDescent="0.25">
      <c r="A2" s="9" t="s">
        <v>50</v>
      </c>
      <c r="B2" s="15" t="s">
        <v>345</v>
      </c>
      <c r="C2" s="17" t="s">
        <v>54</v>
      </c>
      <c r="D2" s="16" t="s">
        <v>157</v>
      </c>
      <c r="E2" s="17" t="s">
        <v>91</v>
      </c>
      <c r="F2" s="16" t="str">
        <f ca="1">TEXT(NOW(),"yyyy-mm-dd")</f>
        <v>2026-09-21</v>
      </c>
      <c r="G2" s="16" t="s">
        <v>88</v>
      </c>
      <c r="H2" s="16" t="s">
        <v>88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RowHeight="15" x14ac:dyDescent="0.25"/>
  <cols>
    <col min="1" max="4" width="9.140625" style="16"/>
    <col min="5" max="5" width="17.85546875" style="16" bestFit="1" customWidth="1"/>
    <col min="6" max="16384" width="9.140625" style="16"/>
  </cols>
  <sheetData>
    <row r="1" spans="1:6" x14ac:dyDescent="0.25">
      <c r="A1" s="2" t="s">
        <v>6</v>
      </c>
      <c r="B1" s="2" t="s">
        <v>53</v>
      </c>
      <c r="C1" s="2" t="s">
        <v>156</v>
      </c>
      <c r="D1" s="2" t="s">
        <v>82</v>
      </c>
      <c r="E1" s="2" t="s">
        <v>265</v>
      </c>
      <c r="F1" s="2" t="s">
        <v>269</v>
      </c>
    </row>
    <row r="2" spans="1:6" x14ac:dyDescent="0.25">
      <c r="A2" s="7" t="s">
        <v>103</v>
      </c>
      <c r="B2" s="17" t="s">
        <v>54</v>
      </c>
      <c r="C2" s="17" t="s">
        <v>157</v>
      </c>
      <c r="D2" s="9">
        <v>20080958</v>
      </c>
      <c r="E2" s="16" t="s">
        <v>346</v>
      </c>
      <c r="F2" s="16" t="s">
        <v>317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12" sqref="J12"/>
    </sheetView>
  </sheetViews>
  <sheetFormatPr defaultRowHeight="15" x14ac:dyDescent="0.25"/>
  <cols>
    <col min="1" max="16384" width="9.140625" style="16"/>
  </cols>
  <sheetData>
    <row r="1" spans="1:10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318</v>
      </c>
      <c r="F1" s="2" t="s">
        <v>319</v>
      </c>
      <c r="G1" s="2" t="s">
        <v>320</v>
      </c>
      <c r="H1" s="2" t="s">
        <v>321</v>
      </c>
      <c r="I1" s="17" t="s">
        <v>248</v>
      </c>
      <c r="J1" s="2" t="s">
        <v>155</v>
      </c>
    </row>
    <row r="2" spans="1:10" x14ac:dyDescent="0.25">
      <c r="A2" s="7" t="s">
        <v>103</v>
      </c>
      <c r="B2" s="15" t="s">
        <v>345</v>
      </c>
      <c r="C2" s="17" t="s">
        <v>54</v>
      </c>
      <c r="D2" s="17" t="s">
        <v>157</v>
      </c>
      <c r="E2" s="7" t="s">
        <v>74</v>
      </c>
      <c r="F2" s="7" t="s">
        <v>11</v>
      </c>
      <c r="G2" s="7" t="s">
        <v>353</v>
      </c>
      <c r="H2" s="7" t="s">
        <v>11</v>
      </c>
      <c r="I2" s="17" t="s">
        <v>239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30" sqref="A30"/>
    </sheetView>
  </sheetViews>
  <sheetFormatPr defaultRowHeight="15" x14ac:dyDescent="0.25"/>
  <cols>
    <col min="1" max="16384" width="9.140625" style="16"/>
  </cols>
  <sheetData>
    <row r="1" spans="1:8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89</v>
      </c>
      <c r="F1" s="16" t="s">
        <v>90</v>
      </c>
      <c r="G1" s="16" t="s">
        <v>314</v>
      </c>
      <c r="H1" s="16" t="s">
        <v>315</v>
      </c>
    </row>
    <row r="2" spans="1:8" x14ac:dyDescent="0.25">
      <c r="A2" s="9" t="s">
        <v>50</v>
      </c>
      <c r="B2" s="15" t="s">
        <v>347</v>
      </c>
      <c r="C2" s="17" t="s">
        <v>54</v>
      </c>
      <c r="D2" s="16" t="s">
        <v>157</v>
      </c>
      <c r="E2" s="17" t="s">
        <v>91</v>
      </c>
      <c r="F2" s="16" t="str">
        <f ca="1">TEXT(NOW(),"yyyy-mm-dd")</f>
        <v>2026-09-21</v>
      </c>
      <c r="G2" s="16" t="s">
        <v>88</v>
      </c>
      <c r="H2" s="16" t="s">
        <v>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1" sqref="D21"/>
    </sheetView>
  </sheetViews>
  <sheetFormatPr defaultRowHeight="15" x14ac:dyDescent="0.25"/>
  <cols>
    <col min="1" max="4" width="9.140625" style="16"/>
    <col min="5" max="5" width="17.85546875" style="16" bestFit="1" customWidth="1"/>
    <col min="6" max="16384" width="9.140625" style="16"/>
  </cols>
  <sheetData>
    <row r="1" spans="1:6" x14ac:dyDescent="0.25">
      <c r="A1" s="2" t="s">
        <v>6</v>
      </c>
      <c r="B1" s="2" t="s">
        <v>53</v>
      </c>
      <c r="C1" s="2" t="s">
        <v>156</v>
      </c>
      <c r="D1" s="2" t="s">
        <v>82</v>
      </c>
      <c r="E1" s="2" t="s">
        <v>265</v>
      </c>
      <c r="F1" s="2" t="s">
        <v>269</v>
      </c>
    </row>
    <row r="2" spans="1:6" x14ac:dyDescent="0.25">
      <c r="A2" s="7" t="s">
        <v>103</v>
      </c>
      <c r="B2" s="17" t="s">
        <v>54</v>
      </c>
      <c r="C2" s="17" t="s">
        <v>157</v>
      </c>
      <c r="D2" s="9">
        <v>20080958</v>
      </c>
      <c r="E2" s="16" t="s">
        <v>346</v>
      </c>
      <c r="F2" s="16" t="s">
        <v>317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E30" sqref="E30"/>
    </sheetView>
  </sheetViews>
  <sheetFormatPr defaultColWidth="10.7109375" defaultRowHeight="15" x14ac:dyDescent="0.25"/>
  <cols>
    <col min="1" max="1" width="10.7109375" style="16"/>
    <col min="2" max="2" width="30.7109375" style="16" bestFit="1" customWidth="1"/>
    <col min="3" max="16384" width="10.7109375" style="16"/>
  </cols>
  <sheetData>
    <row r="1" spans="1:14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318</v>
      </c>
      <c r="F1" s="2" t="s">
        <v>319</v>
      </c>
      <c r="G1" s="2" t="s">
        <v>320</v>
      </c>
      <c r="H1" s="2" t="s">
        <v>321</v>
      </c>
      <c r="I1" s="2" t="s">
        <v>348</v>
      </c>
      <c r="J1" s="2" t="s">
        <v>349</v>
      </c>
      <c r="K1" s="2" t="s">
        <v>350</v>
      </c>
      <c r="L1" s="2" t="s">
        <v>351</v>
      </c>
      <c r="M1" s="17" t="s">
        <v>248</v>
      </c>
      <c r="N1" s="2" t="s">
        <v>155</v>
      </c>
    </row>
    <row r="2" spans="1:14" x14ac:dyDescent="0.25">
      <c r="A2" s="7" t="s">
        <v>103</v>
      </c>
      <c r="B2" s="7" t="s">
        <v>347</v>
      </c>
      <c r="C2" s="17" t="s">
        <v>54</v>
      </c>
      <c r="D2" s="17" t="s">
        <v>157</v>
      </c>
      <c r="E2" s="7" t="s">
        <v>74</v>
      </c>
      <c r="F2" s="7" t="s">
        <v>74</v>
      </c>
      <c r="G2" s="7" t="s">
        <v>353</v>
      </c>
      <c r="H2" s="7" t="s">
        <v>353</v>
      </c>
      <c r="I2" s="7" t="s">
        <v>74</v>
      </c>
      <c r="J2" s="7" t="s">
        <v>11</v>
      </c>
      <c r="K2" s="7" t="s">
        <v>353</v>
      </c>
      <c r="L2" s="7" t="s">
        <v>11</v>
      </c>
      <c r="M2" s="17" t="s">
        <v>239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7" sqref="I7"/>
    </sheetView>
  </sheetViews>
  <sheetFormatPr defaultRowHeight="15" x14ac:dyDescent="0.25"/>
  <cols>
    <col min="1" max="5" width="9.140625" style="16"/>
    <col min="6" max="6" width="10.7109375" style="16" bestFit="1" customWidth="1"/>
    <col min="7" max="16384" width="9.140625" style="16"/>
  </cols>
  <sheetData>
    <row r="1" spans="1:8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89</v>
      </c>
      <c r="F1" s="16" t="s">
        <v>90</v>
      </c>
      <c r="G1" s="16" t="s">
        <v>314</v>
      </c>
      <c r="H1" s="16" t="s">
        <v>315</v>
      </c>
    </row>
    <row r="2" spans="1:8" x14ac:dyDescent="0.25">
      <c r="A2" s="9" t="s">
        <v>50</v>
      </c>
      <c r="B2" s="15" t="s">
        <v>671</v>
      </c>
      <c r="C2" s="17" t="s">
        <v>54</v>
      </c>
      <c r="D2" s="16" t="s">
        <v>157</v>
      </c>
      <c r="E2" s="17" t="s">
        <v>91</v>
      </c>
      <c r="F2" s="16" t="str">
        <f ca="1">TEXT(NOW(),"yyyy-mm-dd")</f>
        <v>2026-09-21</v>
      </c>
      <c r="G2" s="16" t="s">
        <v>88</v>
      </c>
      <c r="H2" s="16" t="s">
        <v>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13" sqref="H13"/>
    </sheetView>
  </sheetViews>
  <sheetFormatPr defaultRowHeight="15" x14ac:dyDescent="0.25"/>
  <cols>
    <col min="1" max="4" width="9.140625" style="16"/>
    <col min="5" max="5" width="17.85546875" style="16" bestFit="1" customWidth="1"/>
    <col min="6" max="16384" width="9.140625" style="16"/>
  </cols>
  <sheetData>
    <row r="1" spans="1:6" x14ac:dyDescent="0.25">
      <c r="A1" s="2" t="s">
        <v>6</v>
      </c>
      <c r="B1" s="2" t="s">
        <v>53</v>
      </c>
      <c r="C1" s="2" t="s">
        <v>156</v>
      </c>
      <c r="D1" s="2" t="s">
        <v>82</v>
      </c>
      <c r="E1" s="2" t="s">
        <v>265</v>
      </c>
      <c r="F1" s="2" t="s">
        <v>269</v>
      </c>
    </row>
    <row r="2" spans="1:6" x14ac:dyDescent="0.25">
      <c r="A2" s="7" t="s">
        <v>103</v>
      </c>
      <c r="B2" s="17" t="s">
        <v>54</v>
      </c>
      <c r="C2" s="17" t="s">
        <v>157</v>
      </c>
      <c r="D2" s="9" t="s">
        <v>567</v>
      </c>
      <c r="E2" s="16" t="s">
        <v>352</v>
      </c>
      <c r="F2" s="9" t="s">
        <v>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9" sqref="L9"/>
    </sheetView>
  </sheetViews>
  <sheetFormatPr defaultRowHeight="15" x14ac:dyDescent="0.25"/>
  <cols>
    <col min="1" max="1" width="5.7109375" style="16" bestFit="1" customWidth="1"/>
    <col min="2" max="2" width="30.140625" style="16" bestFit="1" customWidth="1"/>
    <col min="3" max="3" width="10.28515625" style="16" bestFit="1" customWidth="1"/>
    <col min="4" max="4" width="10.5703125" style="16" bestFit="1" customWidth="1"/>
    <col min="5" max="5" width="12.42578125" style="16" bestFit="1" customWidth="1"/>
    <col min="6" max="6" width="14.140625" style="16" bestFit="1" customWidth="1"/>
    <col min="7" max="7" width="12.5703125" style="16" bestFit="1" customWidth="1"/>
    <col min="8" max="8" width="14.28515625" style="16" bestFit="1" customWidth="1"/>
    <col min="9" max="9" width="15.28515625" style="16" bestFit="1" customWidth="1"/>
    <col min="10" max="10" width="16.85546875" style="16" bestFit="1" customWidth="1"/>
    <col min="11" max="11" width="15.42578125" style="16" bestFit="1" customWidth="1"/>
    <col min="12" max="12" width="17" style="16" bestFit="1" customWidth="1"/>
    <col min="13" max="13" width="19" style="16" bestFit="1" customWidth="1"/>
    <col min="14" max="14" width="19.28515625" style="16" bestFit="1" customWidth="1"/>
    <col min="15" max="16384" width="9.140625" style="16"/>
  </cols>
  <sheetData>
    <row r="1" spans="1:14" x14ac:dyDescent="0.25">
      <c r="A1" s="2" t="s">
        <v>6</v>
      </c>
      <c r="B1" s="2" t="s">
        <v>162</v>
      </c>
      <c r="C1" s="2" t="s">
        <v>53</v>
      </c>
      <c r="D1" s="2" t="s">
        <v>156</v>
      </c>
      <c r="E1" s="2" t="s">
        <v>672</v>
      </c>
      <c r="F1" s="2" t="s">
        <v>673</v>
      </c>
      <c r="G1" s="2" t="s">
        <v>674</v>
      </c>
      <c r="H1" s="2" t="s">
        <v>675</v>
      </c>
      <c r="I1" s="2" t="s">
        <v>676</v>
      </c>
      <c r="J1" s="2" t="s">
        <v>677</v>
      </c>
      <c r="K1" s="2" t="s">
        <v>678</v>
      </c>
      <c r="L1" s="2" t="s">
        <v>679</v>
      </c>
      <c r="M1" s="17" t="s">
        <v>248</v>
      </c>
      <c r="N1" s="2" t="s">
        <v>155</v>
      </c>
    </row>
    <row r="2" spans="1:14" x14ac:dyDescent="0.25">
      <c r="A2" s="7" t="s">
        <v>103</v>
      </c>
      <c r="B2" s="15" t="s">
        <v>671</v>
      </c>
      <c r="C2" s="17" t="s">
        <v>54</v>
      </c>
      <c r="D2" s="17" t="s">
        <v>157</v>
      </c>
      <c r="E2" s="7" t="s">
        <v>74</v>
      </c>
      <c r="F2" s="7" t="s">
        <v>353</v>
      </c>
      <c r="G2" s="7" t="s">
        <v>353</v>
      </c>
      <c r="H2" s="7" t="s">
        <v>79</v>
      </c>
      <c r="I2" s="7" t="s">
        <v>353</v>
      </c>
      <c r="J2" s="7" t="s">
        <v>11</v>
      </c>
      <c r="K2" s="7" t="s">
        <v>79</v>
      </c>
      <c r="L2" s="7" t="s">
        <v>11</v>
      </c>
      <c r="M2" s="17" t="s">
        <v>239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12" sqref="B12"/>
    </sheetView>
  </sheetViews>
  <sheetFormatPr defaultRowHeight="15" x14ac:dyDescent="0.25"/>
  <cols>
    <col min="1" max="1" width="23.28515625" style="16" bestFit="1" customWidth="1"/>
    <col min="2" max="2" width="23.85546875" style="16" bestFit="1" customWidth="1"/>
    <col min="3" max="3" width="11.5703125" style="16" bestFit="1" customWidth="1"/>
    <col min="4" max="4" width="3.28515625" style="16" bestFit="1" customWidth="1"/>
    <col min="5" max="5" width="29" style="16" bestFit="1" customWidth="1"/>
    <col min="6" max="6" width="16.28515625" style="16" bestFit="1" customWidth="1"/>
    <col min="7" max="7" width="19.28515625" style="16" bestFit="1" customWidth="1"/>
    <col min="8" max="8" width="10.5703125" style="16" bestFit="1" customWidth="1"/>
    <col min="9" max="9" width="10.28515625" style="16" bestFit="1" customWidth="1"/>
    <col min="10" max="10" width="5.28515625" style="16" bestFit="1" customWidth="1"/>
    <col min="11" max="11" width="23.28515625" style="16" bestFit="1" customWidth="1"/>
    <col min="12" max="16384" width="9.140625" style="16"/>
  </cols>
  <sheetData>
    <row r="1" spans="1:11" x14ac:dyDescent="0.25">
      <c r="A1" s="17" t="s">
        <v>336</v>
      </c>
      <c r="B1" s="17" t="s">
        <v>335</v>
      </c>
      <c r="C1" s="17" t="s">
        <v>5</v>
      </c>
      <c r="D1" s="17" t="s">
        <v>6</v>
      </c>
      <c r="E1" s="17" t="s">
        <v>162</v>
      </c>
      <c r="F1" s="17" t="s">
        <v>204</v>
      </c>
      <c r="G1" s="16" t="s">
        <v>155</v>
      </c>
      <c r="H1" s="16" t="s">
        <v>156</v>
      </c>
      <c r="I1" s="16" t="s">
        <v>53</v>
      </c>
      <c r="J1" s="16" t="s">
        <v>82</v>
      </c>
      <c r="K1" s="17" t="s">
        <v>334</v>
      </c>
    </row>
    <row r="2" spans="1:11" x14ac:dyDescent="0.25">
      <c r="A2" s="17" t="s">
        <v>330</v>
      </c>
      <c r="B2" s="24" t="s">
        <v>354</v>
      </c>
      <c r="C2" s="17" t="s">
        <v>333</v>
      </c>
      <c r="D2" s="7" t="s">
        <v>50</v>
      </c>
      <c r="E2" s="17" t="s">
        <v>355</v>
      </c>
      <c r="F2" s="7" t="s">
        <v>331</v>
      </c>
      <c r="G2" s="16" t="s">
        <v>160</v>
      </c>
      <c r="H2" s="16" t="s">
        <v>157</v>
      </c>
      <c r="I2" s="16" t="s">
        <v>54</v>
      </c>
      <c r="J2" s="16" t="s">
        <v>82</v>
      </c>
      <c r="K2" s="17" t="s">
        <v>330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defaultColWidth="12.7109375" defaultRowHeight="15" x14ac:dyDescent="0.25"/>
  <cols>
    <col min="1" max="16384" width="12.7109375" style="16"/>
  </cols>
  <sheetData>
    <row r="1" spans="1:12" x14ac:dyDescent="0.25">
      <c r="A1" s="17" t="s">
        <v>68</v>
      </c>
      <c r="B1" s="17" t="s">
        <v>69</v>
      </c>
      <c r="C1" s="17" t="s">
        <v>70</v>
      </c>
      <c r="D1" s="17" t="s">
        <v>28</v>
      </c>
      <c r="E1" s="17" t="s">
        <v>47</v>
      </c>
      <c r="F1" s="17" t="s">
        <v>29</v>
      </c>
      <c r="G1" s="17" t="s">
        <v>6</v>
      </c>
      <c r="H1" s="17" t="s">
        <v>162</v>
      </c>
      <c r="I1" s="17" t="s">
        <v>204</v>
      </c>
      <c r="J1" s="16" t="s">
        <v>155</v>
      </c>
      <c r="K1" s="16" t="s">
        <v>156</v>
      </c>
      <c r="L1" s="16" t="s">
        <v>53</v>
      </c>
    </row>
    <row r="2" spans="1:12" x14ac:dyDescent="0.25">
      <c r="A2" s="9" t="s">
        <v>376</v>
      </c>
      <c r="B2" s="7" t="s">
        <v>337</v>
      </c>
      <c r="C2" s="17" t="s">
        <v>73</v>
      </c>
      <c r="D2" s="17" t="s">
        <v>356</v>
      </c>
      <c r="E2" s="7" t="s">
        <v>569</v>
      </c>
      <c r="F2" s="7" t="s">
        <v>11</v>
      </c>
      <c r="G2" s="7" t="s">
        <v>103</v>
      </c>
      <c r="H2" s="17" t="s">
        <v>355</v>
      </c>
      <c r="I2" s="7" t="s">
        <v>331</v>
      </c>
      <c r="J2" s="16" t="s">
        <v>208</v>
      </c>
      <c r="K2" s="16" t="s">
        <v>157</v>
      </c>
      <c r="L2" s="16" t="s">
        <v>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29" sqref="F29"/>
    </sheetView>
  </sheetViews>
  <sheetFormatPr defaultColWidth="19.7109375" defaultRowHeight="15" x14ac:dyDescent="0.25"/>
  <cols>
    <col min="1" max="1" width="20.28515625" style="16" bestFit="1" customWidth="1"/>
    <col min="2" max="2" width="19.7109375" style="16"/>
    <col min="3" max="3" width="23.28515625" style="16" bestFit="1" customWidth="1"/>
    <col min="4" max="16384" width="19.7109375" style="16"/>
  </cols>
  <sheetData>
    <row r="1" spans="1:3" x14ac:dyDescent="0.25">
      <c r="A1" s="16" t="s">
        <v>82</v>
      </c>
      <c r="B1" s="16" t="s">
        <v>6</v>
      </c>
      <c r="C1" s="16" t="s">
        <v>334</v>
      </c>
    </row>
    <row r="2" spans="1:3" x14ac:dyDescent="0.25">
      <c r="A2" s="16" t="s">
        <v>102</v>
      </c>
      <c r="B2" s="7" t="s">
        <v>103</v>
      </c>
      <c r="C2" s="17" t="s">
        <v>330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2" max="2" width="44.42578125" bestFit="1" customWidth="1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17" t="s">
        <v>296</v>
      </c>
      <c r="C2" s="16" t="s">
        <v>157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F5" sqref="F5"/>
    </sheetView>
  </sheetViews>
  <sheetFormatPr defaultRowHeight="15" x14ac:dyDescent="0.25"/>
  <cols>
    <col min="1" max="1" width="10.42578125" style="16" bestFit="1" customWidth="1"/>
    <col min="2" max="2" width="22" style="16" bestFit="1" customWidth="1"/>
    <col min="3" max="16384" width="9.140625" style="16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17" t="s">
        <v>161</v>
      </c>
      <c r="C2" s="16" t="s">
        <v>157</v>
      </c>
    </row>
    <row r="4" spans="1:3" x14ac:dyDescent="0.25">
      <c r="B4"/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6" sqref="E6"/>
    </sheetView>
  </sheetViews>
  <sheetFormatPr defaultRowHeight="15" x14ac:dyDescent="0.25"/>
  <cols>
    <col min="1" max="1" width="22.42578125" bestFit="1" customWidth="1"/>
    <col min="2" max="2" width="20.28515625" bestFit="1" customWidth="1"/>
    <col min="3" max="3" width="10.28515625" bestFit="1" customWidth="1"/>
    <col min="5" max="5" width="18.42578125" bestFit="1" customWidth="1"/>
  </cols>
  <sheetData>
    <row r="1" spans="1:5" x14ac:dyDescent="0.25">
      <c r="A1" s="16" t="s">
        <v>95</v>
      </c>
      <c r="B1" s="16" t="s">
        <v>82</v>
      </c>
      <c r="C1" t="s">
        <v>53</v>
      </c>
      <c r="D1" s="16" t="s">
        <v>6</v>
      </c>
      <c r="E1" s="16" t="s">
        <v>162</v>
      </c>
    </row>
    <row r="2" spans="1:5" x14ac:dyDescent="0.25">
      <c r="A2" s="8" t="str">
        <f ca="1">CONCATENATE("Automation_",TEXT(NOW(),"DD-MM-YYYY"))</f>
        <v>Automation_21-09-2026</v>
      </c>
      <c r="B2" t="s">
        <v>102</v>
      </c>
      <c r="C2" s="1" t="s">
        <v>54</v>
      </c>
      <c r="D2" s="9" t="s">
        <v>147</v>
      </c>
      <c r="E2" s="7" t="s">
        <v>163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30" sqref="F30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80</v>
      </c>
      <c r="B1" t="s">
        <v>53</v>
      </c>
    </row>
    <row r="2" spans="1:2" x14ac:dyDescent="0.25">
      <c r="A2" t="s">
        <v>102</v>
      </c>
      <c r="B2" s="1" t="s">
        <v>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10.42578125" style="16" bestFit="1" customWidth="1"/>
    <col min="2" max="2" width="22" style="16" bestFit="1" customWidth="1"/>
    <col min="3" max="16384" width="9.140625" style="16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17" t="s">
        <v>161</v>
      </c>
      <c r="C2" s="16" t="s">
        <v>157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B1" workbookViewId="0">
      <selection activeCell="C12" sqref="C12"/>
    </sheetView>
  </sheetViews>
  <sheetFormatPr defaultRowHeight="15" x14ac:dyDescent="0.25"/>
  <cols>
    <col min="1" max="1" width="23.7109375" bestFit="1" customWidth="1"/>
    <col min="2" max="2" width="21.140625" bestFit="1" customWidth="1"/>
    <col min="3" max="3" width="19.5703125" customWidth="1"/>
    <col min="4" max="4" width="27.140625" bestFit="1" customWidth="1"/>
    <col min="5" max="5" width="33.85546875" bestFit="1" customWidth="1"/>
    <col min="6" max="6" width="26.7109375" customWidth="1"/>
    <col min="7" max="7" width="18.140625" bestFit="1" customWidth="1"/>
    <col min="9" max="9" width="13.7109375" style="16" bestFit="1" customWidth="1"/>
    <col min="10" max="10" width="10.28515625" bestFit="1" customWidth="1"/>
  </cols>
  <sheetData>
    <row r="1" spans="1:10" x14ac:dyDescent="0.25">
      <c r="A1" s="17" t="s">
        <v>0</v>
      </c>
      <c r="B1" s="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52</v>
      </c>
      <c r="H1" s="17" t="s">
        <v>6</v>
      </c>
      <c r="I1" s="17" t="s">
        <v>162</v>
      </c>
      <c r="J1" s="17" t="s">
        <v>53</v>
      </c>
    </row>
    <row r="2" spans="1:10" x14ac:dyDescent="0.25">
      <c r="A2" s="1" t="s">
        <v>7</v>
      </c>
      <c r="B2" s="1" t="s">
        <v>8</v>
      </c>
      <c r="C2" s="1" t="s">
        <v>137</v>
      </c>
      <c r="D2" s="1" t="s">
        <v>117</v>
      </c>
      <c r="E2" s="1" t="s">
        <v>217</v>
      </c>
      <c r="F2" s="1" t="s">
        <v>139</v>
      </c>
      <c r="G2" s="1">
        <v>100</v>
      </c>
      <c r="H2" s="9" t="s">
        <v>50</v>
      </c>
      <c r="I2" s="7" t="s">
        <v>164</v>
      </c>
      <c r="J2" s="1" t="s">
        <v>54</v>
      </c>
    </row>
    <row r="3" spans="1:10" x14ac:dyDescent="0.25">
      <c r="A3" t="s">
        <v>7</v>
      </c>
      <c r="B3" s="1" t="s">
        <v>8</v>
      </c>
      <c r="C3" s="1" t="s">
        <v>137</v>
      </c>
      <c r="D3" s="1" t="s">
        <v>117</v>
      </c>
      <c r="E3" t="s">
        <v>218</v>
      </c>
      <c r="F3" s="1" t="s">
        <v>142</v>
      </c>
      <c r="H3" s="9" t="s">
        <v>100</v>
      </c>
      <c r="I3" s="7" t="s">
        <v>169</v>
      </c>
      <c r="J3" t="s">
        <v>54</v>
      </c>
    </row>
    <row r="4" spans="1:10" x14ac:dyDescent="0.25">
      <c r="A4" t="s">
        <v>7</v>
      </c>
      <c r="B4" s="1" t="s">
        <v>8</v>
      </c>
      <c r="C4" s="1" t="s">
        <v>137</v>
      </c>
      <c r="D4" s="1" t="s">
        <v>117</v>
      </c>
      <c r="E4" t="s">
        <v>219</v>
      </c>
      <c r="F4" s="1" t="s">
        <v>141</v>
      </c>
      <c r="H4" s="9" t="s">
        <v>101</v>
      </c>
      <c r="I4" s="7" t="s">
        <v>165</v>
      </c>
      <c r="J4" t="s">
        <v>54</v>
      </c>
    </row>
    <row r="5" spans="1:10" x14ac:dyDescent="0.25">
      <c r="A5" t="s">
        <v>7</v>
      </c>
      <c r="B5" s="1" t="s">
        <v>8</v>
      </c>
      <c r="C5" s="1" t="s">
        <v>137</v>
      </c>
      <c r="D5" s="1" t="s">
        <v>117</v>
      </c>
      <c r="E5" t="s">
        <v>214</v>
      </c>
      <c r="F5" s="1" t="s">
        <v>140</v>
      </c>
      <c r="H5" s="9" t="s">
        <v>109</v>
      </c>
      <c r="I5" s="7" t="s">
        <v>199</v>
      </c>
      <c r="J5" t="s">
        <v>54</v>
      </c>
    </row>
    <row r="6" spans="1:10" x14ac:dyDescent="0.25">
      <c r="A6" t="s">
        <v>7</v>
      </c>
      <c r="B6" s="1" t="s">
        <v>8</v>
      </c>
      <c r="C6" s="1" t="s">
        <v>137</v>
      </c>
      <c r="D6" s="1" t="s">
        <v>117</v>
      </c>
      <c r="E6" t="s">
        <v>216</v>
      </c>
      <c r="F6" s="1" t="s">
        <v>143</v>
      </c>
      <c r="H6" s="9" t="s">
        <v>146</v>
      </c>
      <c r="I6" s="7" t="s">
        <v>166</v>
      </c>
      <c r="J6" t="s">
        <v>54</v>
      </c>
    </row>
    <row r="7" spans="1:10" x14ac:dyDescent="0.25">
      <c r="A7" t="s">
        <v>7</v>
      </c>
      <c r="B7" s="1" t="s">
        <v>8</v>
      </c>
      <c r="C7" s="1" t="s">
        <v>137</v>
      </c>
      <c r="D7" s="1" t="s">
        <v>117</v>
      </c>
      <c r="E7" t="s">
        <v>259</v>
      </c>
      <c r="F7" s="1" t="s">
        <v>144</v>
      </c>
      <c r="H7" s="9" t="s">
        <v>147</v>
      </c>
      <c r="I7" s="7" t="s">
        <v>167</v>
      </c>
      <c r="J7" t="s">
        <v>54</v>
      </c>
    </row>
    <row r="8" spans="1:10" x14ac:dyDescent="0.25">
      <c r="A8" t="s">
        <v>7</v>
      </c>
      <c r="B8" s="1" t="s">
        <v>8</v>
      </c>
      <c r="C8" s="1" t="s">
        <v>137</v>
      </c>
      <c r="D8" s="1" t="s">
        <v>117</v>
      </c>
      <c r="E8" t="s">
        <v>159</v>
      </c>
      <c r="F8" s="1" t="s">
        <v>145</v>
      </c>
      <c r="H8" s="9" t="s">
        <v>148</v>
      </c>
      <c r="I8" s="7" t="s">
        <v>168</v>
      </c>
      <c r="J8" t="s">
        <v>54</v>
      </c>
    </row>
    <row r="9" spans="1:10" s="16" customFormat="1" x14ac:dyDescent="0.25">
      <c r="A9" s="16" t="s">
        <v>7</v>
      </c>
      <c r="B9" s="17" t="s">
        <v>8</v>
      </c>
      <c r="C9" s="17" t="s">
        <v>137</v>
      </c>
      <c r="D9" s="17" t="s">
        <v>117</v>
      </c>
      <c r="E9" s="16" t="s">
        <v>273</v>
      </c>
      <c r="F9" s="17" t="s">
        <v>271</v>
      </c>
      <c r="H9" s="9" t="s">
        <v>274</v>
      </c>
      <c r="I9" s="7" t="s">
        <v>272</v>
      </c>
      <c r="J9" s="16" t="s">
        <v>54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E10" sqref="E10"/>
    </sheetView>
  </sheetViews>
  <sheetFormatPr defaultRowHeight="15" x14ac:dyDescent="0.25"/>
  <cols>
    <col min="1" max="5" width="9.140625" style="16"/>
    <col min="6" max="6" width="16.42578125" style="16" bestFit="1" customWidth="1"/>
    <col min="7" max="7" width="9.140625" style="16"/>
    <col min="8" max="8" width="12.5703125" style="6" bestFit="1" customWidth="1"/>
    <col min="9" max="9" width="13.5703125" style="6" bestFit="1" customWidth="1"/>
    <col min="10" max="10" width="19" style="6" bestFit="1" customWidth="1"/>
    <col min="11" max="11" width="22.140625" style="16" bestFit="1" customWidth="1"/>
    <col min="12" max="12" width="12" style="16" bestFit="1" customWidth="1"/>
    <col min="13" max="16384" width="9.140625" style="16"/>
  </cols>
  <sheetData>
    <row r="1" spans="1:12" x14ac:dyDescent="0.25">
      <c r="A1" s="17" t="s">
        <v>97</v>
      </c>
      <c r="B1" s="17" t="s">
        <v>9</v>
      </c>
      <c r="C1" s="17" t="s">
        <v>55</v>
      </c>
      <c r="D1" s="17" t="s">
        <v>10</v>
      </c>
      <c r="E1" s="17" t="s">
        <v>6</v>
      </c>
      <c r="F1" s="17" t="s">
        <v>162</v>
      </c>
      <c r="G1" s="16" t="s">
        <v>53</v>
      </c>
      <c r="H1" s="6" t="s">
        <v>128</v>
      </c>
      <c r="I1" s="6" t="s">
        <v>122</v>
      </c>
      <c r="J1" s="17" t="s">
        <v>248</v>
      </c>
      <c r="K1" s="2" t="s">
        <v>155</v>
      </c>
      <c r="L1" s="2" t="s">
        <v>156</v>
      </c>
    </row>
    <row r="2" spans="1:12" x14ac:dyDescent="0.25">
      <c r="A2" s="17" t="s">
        <v>110</v>
      </c>
      <c r="B2" s="4">
        <v>5</v>
      </c>
      <c r="C2" s="4" t="s">
        <v>11</v>
      </c>
      <c r="D2" s="17">
        <v>1</v>
      </c>
      <c r="E2" s="18" t="s">
        <v>103</v>
      </c>
      <c r="F2" s="7" t="s">
        <v>170</v>
      </c>
      <c r="G2" s="6" t="s">
        <v>54</v>
      </c>
      <c r="H2" s="15" t="s">
        <v>257</v>
      </c>
      <c r="I2" s="15" t="s">
        <v>258</v>
      </c>
      <c r="J2" s="17" t="s">
        <v>239</v>
      </c>
      <c r="L2" s="16" t="s">
        <v>157</v>
      </c>
    </row>
    <row r="3" spans="1:12" x14ac:dyDescent="0.25">
      <c r="A3" s="5">
        <v>69993785</v>
      </c>
      <c r="B3" s="4" t="s">
        <v>79</v>
      </c>
      <c r="C3" s="4">
        <v>0</v>
      </c>
      <c r="D3" s="4" t="s">
        <v>11</v>
      </c>
      <c r="E3" s="18" t="s">
        <v>104</v>
      </c>
      <c r="F3" s="7" t="s">
        <v>183</v>
      </c>
      <c r="G3" s="16" t="s">
        <v>54</v>
      </c>
      <c r="H3" s="15" t="s">
        <v>372</v>
      </c>
      <c r="I3" s="15" t="s">
        <v>373</v>
      </c>
      <c r="J3" s="16" t="s">
        <v>239</v>
      </c>
      <c r="L3" s="16" t="s">
        <v>157</v>
      </c>
    </row>
    <row r="4" spans="1:12" x14ac:dyDescent="0.25">
      <c r="A4" s="5">
        <v>62740537</v>
      </c>
      <c r="B4" s="4" t="s">
        <v>11</v>
      </c>
      <c r="C4" s="4" t="s">
        <v>11</v>
      </c>
      <c r="D4" s="4" t="s">
        <v>362</v>
      </c>
      <c r="E4" s="18" t="s">
        <v>284</v>
      </c>
      <c r="F4" s="7" t="s">
        <v>357</v>
      </c>
      <c r="G4" s="4" t="s">
        <v>54</v>
      </c>
      <c r="H4" s="9" t="s">
        <v>374</v>
      </c>
      <c r="I4" s="15" t="s">
        <v>370</v>
      </c>
      <c r="J4" s="17" t="s">
        <v>239</v>
      </c>
      <c r="L4" s="16" t="s">
        <v>157</v>
      </c>
    </row>
    <row r="5" spans="1:12" x14ac:dyDescent="0.25">
      <c r="A5" s="17" t="s">
        <v>110</v>
      </c>
      <c r="B5" s="4" t="s">
        <v>79</v>
      </c>
      <c r="C5" s="4">
        <v>0</v>
      </c>
      <c r="D5" s="4">
        <v>1</v>
      </c>
      <c r="E5" s="18" t="s">
        <v>129</v>
      </c>
      <c r="F5" s="7" t="s">
        <v>171</v>
      </c>
      <c r="G5" s="16" t="s">
        <v>54</v>
      </c>
      <c r="H5" s="15" t="s">
        <v>257</v>
      </c>
      <c r="I5" s="15" t="s">
        <v>258</v>
      </c>
      <c r="J5" s="16" t="s">
        <v>239</v>
      </c>
      <c r="L5" s="16" t="s">
        <v>157</v>
      </c>
    </row>
    <row r="6" spans="1:12" x14ac:dyDescent="0.25">
      <c r="A6" s="5">
        <v>69993785</v>
      </c>
      <c r="B6" s="4" t="s">
        <v>79</v>
      </c>
      <c r="C6" s="4">
        <v>0</v>
      </c>
      <c r="D6" s="4" t="s">
        <v>11</v>
      </c>
      <c r="E6" s="18" t="s">
        <v>130</v>
      </c>
      <c r="F6" s="7" t="s">
        <v>172</v>
      </c>
      <c r="G6" s="16" t="s">
        <v>54</v>
      </c>
      <c r="H6" s="15" t="s">
        <v>372</v>
      </c>
      <c r="I6" s="15" t="s">
        <v>373</v>
      </c>
      <c r="J6" s="17" t="s">
        <v>239</v>
      </c>
      <c r="L6" s="16" t="s">
        <v>157</v>
      </c>
    </row>
    <row r="7" spans="1:12" x14ac:dyDescent="0.25">
      <c r="A7" s="5">
        <v>62740537</v>
      </c>
      <c r="B7" s="4" t="s">
        <v>11</v>
      </c>
      <c r="C7" s="4" t="s">
        <v>11</v>
      </c>
      <c r="D7" s="4" t="s">
        <v>362</v>
      </c>
      <c r="E7" s="18" t="s">
        <v>358</v>
      </c>
      <c r="F7" s="7" t="s">
        <v>359</v>
      </c>
      <c r="G7" s="4" t="s">
        <v>54</v>
      </c>
      <c r="H7" s="15" t="s">
        <v>374</v>
      </c>
      <c r="I7" s="15" t="s">
        <v>370</v>
      </c>
      <c r="J7" s="17" t="s">
        <v>239</v>
      </c>
      <c r="L7" s="16" t="s">
        <v>157</v>
      </c>
    </row>
    <row r="8" spans="1:12" x14ac:dyDescent="0.25">
      <c r="A8" s="17" t="s">
        <v>110</v>
      </c>
      <c r="B8" s="4" t="s">
        <v>79</v>
      </c>
      <c r="C8" s="4">
        <v>0</v>
      </c>
      <c r="D8" s="4">
        <v>1</v>
      </c>
      <c r="E8" s="18" t="s">
        <v>131</v>
      </c>
      <c r="F8" s="7" t="s">
        <v>173</v>
      </c>
      <c r="G8" s="16" t="s">
        <v>54</v>
      </c>
      <c r="H8" s="15" t="s">
        <v>257</v>
      </c>
      <c r="I8" s="15" t="s">
        <v>258</v>
      </c>
      <c r="J8" s="16" t="s">
        <v>239</v>
      </c>
      <c r="L8" s="16" t="s">
        <v>157</v>
      </c>
    </row>
    <row r="9" spans="1:12" x14ac:dyDescent="0.25">
      <c r="A9" s="5">
        <v>69993785</v>
      </c>
      <c r="B9" s="4" t="s">
        <v>79</v>
      </c>
      <c r="C9" s="4">
        <v>0</v>
      </c>
      <c r="D9" s="4" t="s">
        <v>11</v>
      </c>
      <c r="E9" s="18" t="s">
        <v>132</v>
      </c>
      <c r="F9" s="7" t="s">
        <v>174</v>
      </c>
      <c r="G9" s="16" t="s">
        <v>54</v>
      </c>
      <c r="H9" s="15" t="s">
        <v>372</v>
      </c>
      <c r="I9" s="15" t="s">
        <v>373</v>
      </c>
      <c r="J9" s="17" t="s">
        <v>239</v>
      </c>
      <c r="L9" s="16" t="s">
        <v>157</v>
      </c>
    </row>
    <row r="10" spans="1:12" x14ac:dyDescent="0.25">
      <c r="A10" s="5">
        <v>62740537</v>
      </c>
      <c r="B10" s="4" t="s">
        <v>11</v>
      </c>
      <c r="C10" s="4" t="s">
        <v>11</v>
      </c>
      <c r="D10" s="4" t="s">
        <v>362</v>
      </c>
      <c r="E10" s="18" t="s">
        <v>360</v>
      </c>
      <c r="F10" s="7" t="s">
        <v>361</v>
      </c>
      <c r="G10" s="4" t="s">
        <v>54</v>
      </c>
      <c r="H10" s="15" t="s">
        <v>374</v>
      </c>
      <c r="I10" s="15" t="s">
        <v>370</v>
      </c>
      <c r="J10" s="17" t="s">
        <v>239</v>
      </c>
      <c r="L10" s="16" t="s">
        <v>157</v>
      </c>
    </row>
    <row r="11" spans="1:12" x14ac:dyDescent="0.25">
      <c r="A11" s="17" t="s">
        <v>110</v>
      </c>
      <c r="B11" s="4" t="s">
        <v>79</v>
      </c>
      <c r="C11" s="4">
        <v>0</v>
      </c>
      <c r="D11" s="4">
        <v>1</v>
      </c>
      <c r="E11" s="18" t="s">
        <v>133</v>
      </c>
      <c r="F11" s="7" t="s">
        <v>175</v>
      </c>
      <c r="G11" s="16" t="s">
        <v>54</v>
      </c>
      <c r="H11" s="15" t="s">
        <v>257</v>
      </c>
      <c r="I11" s="15" t="s">
        <v>258</v>
      </c>
      <c r="J11" s="16" t="s">
        <v>239</v>
      </c>
      <c r="L11" s="16" t="s">
        <v>157</v>
      </c>
    </row>
    <row r="12" spans="1:12" x14ac:dyDescent="0.25">
      <c r="A12" s="5">
        <v>69993785</v>
      </c>
      <c r="B12" s="4" t="s">
        <v>79</v>
      </c>
      <c r="C12" s="4">
        <v>0</v>
      </c>
      <c r="D12" s="4" t="s">
        <v>11</v>
      </c>
      <c r="E12" s="18" t="s">
        <v>134</v>
      </c>
      <c r="F12" s="7" t="s">
        <v>176</v>
      </c>
      <c r="G12" s="16" t="s">
        <v>54</v>
      </c>
      <c r="H12" s="15" t="s">
        <v>372</v>
      </c>
      <c r="I12" s="15" t="s">
        <v>373</v>
      </c>
      <c r="J12" s="17" t="s">
        <v>239</v>
      </c>
      <c r="L12" s="16" t="s">
        <v>157</v>
      </c>
    </row>
    <row r="13" spans="1:12" x14ac:dyDescent="0.25">
      <c r="A13" s="5">
        <v>62740537</v>
      </c>
      <c r="B13" s="4" t="s">
        <v>11</v>
      </c>
      <c r="C13" s="4" t="s">
        <v>11</v>
      </c>
      <c r="D13" s="4" t="s">
        <v>362</v>
      </c>
      <c r="E13" s="18" t="s">
        <v>363</v>
      </c>
      <c r="F13" s="7" t="s">
        <v>364</v>
      </c>
      <c r="G13" s="4" t="s">
        <v>54</v>
      </c>
      <c r="H13" s="15" t="s">
        <v>374</v>
      </c>
      <c r="I13" s="15" t="s">
        <v>370</v>
      </c>
      <c r="J13" s="17" t="s">
        <v>239</v>
      </c>
      <c r="L13" s="16" t="s">
        <v>157</v>
      </c>
    </row>
    <row r="14" spans="1:12" x14ac:dyDescent="0.25">
      <c r="A14" s="17" t="s">
        <v>110</v>
      </c>
      <c r="B14" s="4" t="s">
        <v>79</v>
      </c>
      <c r="C14" s="4">
        <v>0</v>
      </c>
      <c r="D14" s="4">
        <v>1</v>
      </c>
      <c r="E14" s="18" t="s">
        <v>149</v>
      </c>
      <c r="F14" s="7" t="s">
        <v>177</v>
      </c>
      <c r="G14" s="16" t="s">
        <v>54</v>
      </c>
      <c r="H14" s="15" t="s">
        <v>257</v>
      </c>
      <c r="I14" s="15" t="s">
        <v>258</v>
      </c>
      <c r="J14" s="16" t="s">
        <v>239</v>
      </c>
      <c r="L14" s="16" t="s">
        <v>157</v>
      </c>
    </row>
    <row r="15" spans="1:12" x14ac:dyDescent="0.25">
      <c r="A15" s="5">
        <v>69993785</v>
      </c>
      <c r="B15" s="4" t="s">
        <v>79</v>
      </c>
      <c r="C15" s="4">
        <v>0</v>
      </c>
      <c r="D15" s="4" t="s">
        <v>11</v>
      </c>
      <c r="E15" s="18" t="s">
        <v>150</v>
      </c>
      <c r="F15" s="7" t="s">
        <v>178</v>
      </c>
      <c r="G15" s="16" t="s">
        <v>54</v>
      </c>
      <c r="H15" s="15" t="s">
        <v>372</v>
      </c>
      <c r="I15" s="15" t="s">
        <v>373</v>
      </c>
      <c r="J15" s="17" t="s">
        <v>239</v>
      </c>
      <c r="L15" s="16" t="s">
        <v>157</v>
      </c>
    </row>
    <row r="16" spans="1:12" x14ac:dyDescent="0.25">
      <c r="A16" s="5">
        <v>62740537</v>
      </c>
      <c r="B16" s="4" t="s">
        <v>11</v>
      </c>
      <c r="C16" s="4" t="s">
        <v>11</v>
      </c>
      <c r="D16" s="4" t="s">
        <v>362</v>
      </c>
      <c r="E16" s="18" t="s">
        <v>365</v>
      </c>
      <c r="F16" s="7" t="s">
        <v>366</v>
      </c>
      <c r="G16" s="4" t="s">
        <v>54</v>
      </c>
      <c r="H16" s="15" t="s">
        <v>374</v>
      </c>
      <c r="I16" s="15" t="s">
        <v>370</v>
      </c>
      <c r="J16" s="17" t="s">
        <v>239</v>
      </c>
      <c r="L16" s="16" t="s">
        <v>157</v>
      </c>
    </row>
    <row r="17" spans="1:12" x14ac:dyDescent="0.25">
      <c r="A17" s="17" t="s">
        <v>110</v>
      </c>
      <c r="B17" s="4" t="s">
        <v>79</v>
      </c>
      <c r="C17" s="4">
        <v>0</v>
      </c>
      <c r="D17" s="4">
        <v>1</v>
      </c>
      <c r="E17" s="18" t="s">
        <v>151</v>
      </c>
      <c r="F17" s="7" t="s">
        <v>179</v>
      </c>
      <c r="G17" s="16" t="s">
        <v>54</v>
      </c>
      <c r="H17" s="15" t="s">
        <v>257</v>
      </c>
      <c r="I17" s="15" t="s">
        <v>258</v>
      </c>
      <c r="J17" s="16" t="s">
        <v>239</v>
      </c>
      <c r="L17" s="16" t="s">
        <v>157</v>
      </c>
    </row>
    <row r="18" spans="1:12" x14ac:dyDescent="0.25">
      <c r="A18" s="5">
        <v>69993785</v>
      </c>
      <c r="B18" s="4" t="s">
        <v>79</v>
      </c>
      <c r="C18" s="4">
        <v>0</v>
      </c>
      <c r="D18" s="4" t="s">
        <v>11</v>
      </c>
      <c r="E18" s="18" t="s">
        <v>152</v>
      </c>
      <c r="F18" s="7" t="s">
        <v>180</v>
      </c>
      <c r="G18" s="16" t="s">
        <v>54</v>
      </c>
      <c r="H18" s="15" t="s">
        <v>372</v>
      </c>
      <c r="I18" s="15" t="s">
        <v>373</v>
      </c>
      <c r="J18" s="17" t="s">
        <v>239</v>
      </c>
      <c r="L18" s="16" t="s">
        <v>157</v>
      </c>
    </row>
    <row r="19" spans="1:12" x14ac:dyDescent="0.25">
      <c r="A19" s="5">
        <v>62740537</v>
      </c>
      <c r="B19" s="4" t="s">
        <v>11</v>
      </c>
      <c r="C19" s="4" t="s">
        <v>11</v>
      </c>
      <c r="D19" s="4" t="s">
        <v>362</v>
      </c>
      <c r="E19" s="18" t="s">
        <v>253</v>
      </c>
      <c r="F19" s="7" t="s">
        <v>367</v>
      </c>
      <c r="G19" s="4" t="s">
        <v>54</v>
      </c>
      <c r="H19" s="15" t="s">
        <v>374</v>
      </c>
      <c r="I19" s="15" t="s">
        <v>370</v>
      </c>
      <c r="J19" s="17" t="s">
        <v>239</v>
      </c>
      <c r="L19" s="16" t="s">
        <v>157</v>
      </c>
    </row>
    <row r="20" spans="1:12" x14ac:dyDescent="0.25">
      <c r="A20" s="17" t="s">
        <v>110</v>
      </c>
      <c r="B20" s="4" t="s">
        <v>79</v>
      </c>
      <c r="C20" s="4">
        <v>0</v>
      </c>
      <c r="D20" s="4">
        <v>1</v>
      </c>
      <c r="E20" s="18" t="s">
        <v>153</v>
      </c>
      <c r="F20" s="7" t="s">
        <v>181</v>
      </c>
      <c r="G20" s="16" t="s">
        <v>54</v>
      </c>
      <c r="H20" s="15" t="s">
        <v>257</v>
      </c>
      <c r="I20" s="15" t="s">
        <v>258</v>
      </c>
      <c r="J20" s="16" t="s">
        <v>239</v>
      </c>
      <c r="L20" s="16" t="s">
        <v>157</v>
      </c>
    </row>
    <row r="21" spans="1:12" x14ac:dyDescent="0.25">
      <c r="A21" s="5">
        <v>69993785</v>
      </c>
      <c r="B21" s="4" t="s">
        <v>79</v>
      </c>
      <c r="C21" s="4">
        <v>0</v>
      </c>
      <c r="D21" s="4" t="s">
        <v>11</v>
      </c>
      <c r="E21" s="18" t="s">
        <v>154</v>
      </c>
      <c r="F21" s="7" t="s">
        <v>182</v>
      </c>
      <c r="G21" s="16" t="s">
        <v>54</v>
      </c>
      <c r="H21" s="15" t="s">
        <v>372</v>
      </c>
      <c r="I21" s="15" t="s">
        <v>373</v>
      </c>
      <c r="J21" s="17" t="s">
        <v>239</v>
      </c>
      <c r="L21" s="16" t="s">
        <v>157</v>
      </c>
    </row>
    <row r="22" spans="1:12" x14ac:dyDescent="0.25">
      <c r="A22" s="5">
        <v>62740537</v>
      </c>
      <c r="B22" s="4" t="s">
        <v>11</v>
      </c>
      <c r="C22" s="4" t="s">
        <v>11</v>
      </c>
      <c r="D22" s="4" t="s">
        <v>362</v>
      </c>
      <c r="E22" s="18" t="s">
        <v>368</v>
      </c>
      <c r="F22" s="7" t="s">
        <v>369</v>
      </c>
      <c r="G22" s="16" t="s">
        <v>54</v>
      </c>
      <c r="H22" s="9" t="s">
        <v>374</v>
      </c>
      <c r="I22" s="25" t="s">
        <v>370</v>
      </c>
      <c r="J22" s="17" t="s">
        <v>239</v>
      </c>
      <c r="L22" s="16" t="s">
        <v>157</v>
      </c>
    </row>
    <row r="23" spans="1:12" x14ac:dyDescent="0.25">
      <c r="A23" s="17" t="s">
        <v>110</v>
      </c>
      <c r="B23" s="4" t="s">
        <v>79</v>
      </c>
      <c r="C23" s="4">
        <v>0</v>
      </c>
      <c r="D23" s="4">
        <v>1</v>
      </c>
      <c r="E23" s="18" t="s">
        <v>275</v>
      </c>
      <c r="F23" s="7" t="s">
        <v>276</v>
      </c>
      <c r="G23" s="16" t="s">
        <v>54</v>
      </c>
      <c r="H23" s="15" t="s">
        <v>257</v>
      </c>
      <c r="I23" s="15" t="s">
        <v>375</v>
      </c>
      <c r="J23" s="16" t="s">
        <v>239</v>
      </c>
      <c r="L23" s="16" t="s">
        <v>157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A10" sqref="A10"/>
    </sheetView>
  </sheetViews>
  <sheetFormatPr defaultRowHeight="15" x14ac:dyDescent="0.25"/>
  <cols>
    <col min="1" max="1" width="12" bestFit="1" customWidth="1"/>
    <col min="6" max="6" width="16.42578125" style="16" bestFit="1" customWidth="1"/>
    <col min="7" max="7" width="10.28515625" bestFit="1" customWidth="1"/>
    <col min="8" max="8" width="12.5703125" style="6" bestFit="1" customWidth="1"/>
    <col min="9" max="9" width="14.140625" style="6" bestFit="1" customWidth="1"/>
    <col min="10" max="10" width="19" style="6" bestFit="1" customWidth="1"/>
    <col min="11" max="11" width="22.140625" bestFit="1" customWidth="1"/>
    <col min="12" max="12" width="12" bestFit="1" customWidth="1"/>
  </cols>
  <sheetData>
    <row r="1" spans="1:12" x14ac:dyDescent="0.25">
      <c r="A1" s="1" t="s">
        <v>97</v>
      </c>
      <c r="B1" s="1" t="s">
        <v>9</v>
      </c>
      <c r="C1" s="1" t="s">
        <v>55</v>
      </c>
      <c r="D1" s="1" t="s">
        <v>10</v>
      </c>
      <c r="E1" s="1" t="s">
        <v>6</v>
      </c>
      <c r="F1" s="17" t="s">
        <v>162</v>
      </c>
      <c r="G1" t="s">
        <v>53</v>
      </c>
      <c r="H1" s="6" t="s">
        <v>128</v>
      </c>
      <c r="I1" s="6" t="s">
        <v>122</v>
      </c>
      <c r="J1" s="17" t="s">
        <v>248</v>
      </c>
      <c r="K1" s="2" t="s">
        <v>155</v>
      </c>
      <c r="L1" s="2" t="s">
        <v>156</v>
      </c>
    </row>
    <row r="2" spans="1:12" x14ac:dyDescent="0.25">
      <c r="A2" s="1" t="s">
        <v>376</v>
      </c>
      <c r="B2" s="4">
        <v>5</v>
      </c>
      <c r="C2" s="4" t="s">
        <v>11</v>
      </c>
      <c r="D2" s="17" t="s">
        <v>108</v>
      </c>
      <c r="E2" s="10" t="s">
        <v>103</v>
      </c>
      <c r="F2" s="7" t="s">
        <v>170</v>
      </c>
      <c r="G2" s="6" t="s">
        <v>54</v>
      </c>
      <c r="H2" s="15" t="s">
        <v>411</v>
      </c>
      <c r="I2" s="15" t="s">
        <v>427</v>
      </c>
      <c r="J2" s="17" t="s">
        <v>239</v>
      </c>
      <c r="L2" t="s">
        <v>157</v>
      </c>
    </row>
    <row r="3" spans="1:12" x14ac:dyDescent="0.25">
      <c r="A3" s="5">
        <v>20050310</v>
      </c>
      <c r="B3" s="4" t="s">
        <v>79</v>
      </c>
      <c r="C3" s="4">
        <v>0</v>
      </c>
      <c r="D3" s="4" t="s">
        <v>11</v>
      </c>
      <c r="E3" s="10" t="s">
        <v>104</v>
      </c>
      <c r="F3" s="7" t="s">
        <v>183</v>
      </c>
      <c r="G3" t="s">
        <v>54</v>
      </c>
      <c r="H3" s="15" t="s">
        <v>412</v>
      </c>
      <c r="I3" s="15" t="s">
        <v>413</v>
      </c>
      <c r="J3" s="16" t="s">
        <v>239</v>
      </c>
      <c r="L3" t="s">
        <v>157</v>
      </c>
    </row>
    <row r="4" spans="1:12" s="16" customFormat="1" x14ac:dyDescent="0.25">
      <c r="A4" s="5">
        <v>62690363</v>
      </c>
      <c r="B4" s="4" t="s">
        <v>362</v>
      </c>
      <c r="C4" s="4" t="s">
        <v>11</v>
      </c>
      <c r="D4" s="4" t="s">
        <v>107</v>
      </c>
      <c r="E4" s="18" t="s">
        <v>284</v>
      </c>
      <c r="F4" s="7" t="s">
        <v>357</v>
      </c>
      <c r="G4" s="6" t="s">
        <v>54</v>
      </c>
      <c r="H4" s="15" t="s">
        <v>414</v>
      </c>
      <c r="I4" s="15" t="s">
        <v>428</v>
      </c>
      <c r="J4" s="17" t="s">
        <v>239</v>
      </c>
      <c r="L4" s="16" t="s">
        <v>157</v>
      </c>
    </row>
    <row r="5" spans="1:12" s="16" customFormat="1" x14ac:dyDescent="0.25">
      <c r="A5" s="9" t="s">
        <v>384</v>
      </c>
      <c r="B5" s="4" t="s">
        <v>107</v>
      </c>
      <c r="C5" s="4" t="s">
        <v>11</v>
      </c>
      <c r="D5" s="4" t="s">
        <v>353</v>
      </c>
      <c r="E5" s="18" t="s">
        <v>285</v>
      </c>
      <c r="F5" s="7" t="s">
        <v>378</v>
      </c>
      <c r="G5" s="16" t="s">
        <v>54</v>
      </c>
      <c r="H5" s="9" t="s">
        <v>415</v>
      </c>
      <c r="I5" s="15" t="s">
        <v>429</v>
      </c>
      <c r="J5" s="16" t="s">
        <v>239</v>
      </c>
      <c r="L5" s="16" t="s">
        <v>157</v>
      </c>
    </row>
    <row r="6" spans="1:12" s="16" customFormat="1" x14ac:dyDescent="0.25">
      <c r="A6" s="17" t="s">
        <v>385</v>
      </c>
      <c r="B6" s="4" t="s">
        <v>11</v>
      </c>
      <c r="C6" s="4" t="s">
        <v>11</v>
      </c>
      <c r="D6" s="4" t="s">
        <v>322</v>
      </c>
      <c r="E6" s="18" t="s">
        <v>377</v>
      </c>
      <c r="F6" s="7" t="s">
        <v>379</v>
      </c>
      <c r="G6" s="6" t="s">
        <v>54</v>
      </c>
      <c r="H6" s="15" t="s">
        <v>416</v>
      </c>
      <c r="I6" s="15" t="s">
        <v>430</v>
      </c>
      <c r="J6" s="17" t="s">
        <v>239</v>
      </c>
      <c r="L6" s="16" t="s">
        <v>157</v>
      </c>
    </row>
    <row r="7" spans="1:12" x14ac:dyDescent="0.25">
      <c r="A7" s="1" t="s">
        <v>376</v>
      </c>
      <c r="B7" s="4" t="s">
        <v>79</v>
      </c>
      <c r="C7" s="4">
        <v>0</v>
      </c>
      <c r="D7" s="4" t="s">
        <v>108</v>
      </c>
      <c r="E7" s="10" t="s">
        <v>129</v>
      </c>
      <c r="F7" s="7" t="s">
        <v>171</v>
      </c>
      <c r="G7" t="s">
        <v>54</v>
      </c>
      <c r="H7" s="15" t="s">
        <v>411</v>
      </c>
      <c r="I7" s="15" t="s">
        <v>427</v>
      </c>
      <c r="J7" s="16" t="s">
        <v>239</v>
      </c>
      <c r="L7" t="s">
        <v>157</v>
      </c>
    </row>
    <row r="8" spans="1:12" x14ac:dyDescent="0.25">
      <c r="A8" s="5">
        <v>20050310</v>
      </c>
      <c r="B8" s="4" t="s">
        <v>79</v>
      </c>
      <c r="C8" s="4">
        <v>0</v>
      </c>
      <c r="D8" s="4" t="s">
        <v>11</v>
      </c>
      <c r="E8" s="10" t="s">
        <v>130</v>
      </c>
      <c r="F8" s="7" t="s">
        <v>172</v>
      </c>
      <c r="G8" t="s">
        <v>54</v>
      </c>
      <c r="H8" s="15" t="s">
        <v>412</v>
      </c>
      <c r="I8" s="15" t="s">
        <v>413</v>
      </c>
      <c r="J8" s="17" t="s">
        <v>239</v>
      </c>
      <c r="L8" t="s">
        <v>157</v>
      </c>
    </row>
    <row r="9" spans="1:12" s="16" customFormat="1" x14ac:dyDescent="0.25">
      <c r="A9" s="5">
        <v>62690363</v>
      </c>
      <c r="B9" s="4" t="s">
        <v>362</v>
      </c>
      <c r="C9" s="4" t="s">
        <v>11</v>
      </c>
      <c r="D9" s="4" t="s">
        <v>107</v>
      </c>
      <c r="E9" s="18" t="s">
        <v>358</v>
      </c>
      <c r="F9" s="7" t="s">
        <v>359</v>
      </c>
      <c r="G9" s="16" t="s">
        <v>54</v>
      </c>
      <c r="H9" s="15" t="s">
        <v>414</v>
      </c>
      <c r="I9" s="15" t="s">
        <v>428</v>
      </c>
      <c r="J9" s="16" t="s">
        <v>239</v>
      </c>
      <c r="L9" s="16" t="s">
        <v>157</v>
      </c>
    </row>
    <row r="10" spans="1:12" s="16" customFormat="1" x14ac:dyDescent="0.25">
      <c r="A10" s="5">
        <v>20050308</v>
      </c>
      <c r="B10" s="4" t="s">
        <v>107</v>
      </c>
      <c r="C10" s="4" t="s">
        <v>11</v>
      </c>
      <c r="D10" s="4" t="s">
        <v>353</v>
      </c>
      <c r="E10" s="18" t="s">
        <v>389</v>
      </c>
      <c r="F10" s="7" t="s">
        <v>399</v>
      </c>
      <c r="G10" s="16" t="s">
        <v>54</v>
      </c>
      <c r="H10" s="9" t="s">
        <v>415</v>
      </c>
      <c r="I10" s="15" t="s">
        <v>429</v>
      </c>
      <c r="J10" s="17" t="s">
        <v>239</v>
      </c>
      <c r="L10" s="16" t="s">
        <v>157</v>
      </c>
    </row>
    <row r="11" spans="1:12" s="16" customFormat="1" x14ac:dyDescent="0.25">
      <c r="A11" s="5">
        <v>69997598</v>
      </c>
      <c r="B11" s="4" t="s">
        <v>11</v>
      </c>
      <c r="C11" s="4" t="s">
        <v>11</v>
      </c>
      <c r="D11" s="4" t="s">
        <v>322</v>
      </c>
      <c r="E11" s="18" t="s">
        <v>390</v>
      </c>
      <c r="F11" s="7" t="s">
        <v>400</v>
      </c>
      <c r="G11" s="16" t="s">
        <v>54</v>
      </c>
      <c r="H11" s="15" t="s">
        <v>416</v>
      </c>
      <c r="I11" s="15" t="s">
        <v>430</v>
      </c>
      <c r="J11" s="16" t="s">
        <v>239</v>
      </c>
      <c r="L11" s="16" t="s">
        <v>157</v>
      </c>
    </row>
    <row r="12" spans="1:12" x14ac:dyDescent="0.25">
      <c r="A12" s="17" t="s">
        <v>376</v>
      </c>
      <c r="B12" s="4" t="s">
        <v>79</v>
      </c>
      <c r="C12" s="4">
        <v>0</v>
      </c>
      <c r="D12" s="4" t="s">
        <v>108</v>
      </c>
      <c r="E12" s="10" t="s">
        <v>131</v>
      </c>
      <c r="F12" s="7" t="s">
        <v>173</v>
      </c>
      <c r="G12" t="s">
        <v>54</v>
      </c>
      <c r="H12" s="15" t="s">
        <v>411</v>
      </c>
      <c r="I12" s="15" t="s">
        <v>427</v>
      </c>
      <c r="J12" s="16" t="s">
        <v>239</v>
      </c>
      <c r="L12" t="s">
        <v>157</v>
      </c>
    </row>
    <row r="13" spans="1:12" x14ac:dyDescent="0.25">
      <c r="A13" s="5">
        <v>20050310</v>
      </c>
      <c r="B13" s="4" t="s">
        <v>79</v>
      </c>
      <c r="C13" s="4">
        <v>0</v>
      </c>
      <c r="D13" s="4" t="s">
        <v>11</v>
      </c>
      <c r="E13" s="10" t="s">
        <v>132</v>
      </c>
      <c r="F13" s="7" t="s">
        <v>174</v>
      </c>
      <c r="G13" t="s">
        <v>54</v>
      </c>
      <c r="H13" s="15" t="s">
        <v>412</v>
      </c>
      <c r="I13" s="15" t="s">
        <v>413</v>
      </c>
      <c r="J13" s="17" t="s">
        <v>239</v>
      </c>
      <c r="L13" t="s">
        <v>157</v>
      </c>
    </row>
    <row r="14" spans="1:12" s="16" customFormat="1" x14ac:dyDescent="0.25">
      <c r="A14" s="5">
        <v>62690363</v>
      </c>
      <c r="B14" s="4" t="s">
        <v>362</v>
      </c>
      <c r="C14" s="4" t="s">
        <v>11</v>
      </c>
      <c r="D14" s="4" t="s">
        <v>107</v>
      </c>
      <c r="E14" s="18" t="s">
        <v>360</v>
      </c>
      <c r="F14" s="7" t="s">
        <v>361</v>
      </c>
      <c r="G14" s="16" t="s">
        <v>54</v>
      </c>
      <c r="H14" s="15" t="s">
        <v>414</v>
      </c>
      <c r="I14" s="15" t="s">
        <v>428</v>
      </c>
      <c r="J14" s="16" t="s">
        <v>239</v>
      </c>
      <c r="L14" s="16" t="s">
        <v>157</v>
      </c>
    </row>
    <row r="15" spans="1:12" s="16" customFormat="1" x14ac:dyDescent="0.25">
      <c r="A15" s="5">
        <v>20050308</v>
      </c>
      <c r="B15" s="4" t="s">
        <v>107</v>
      </c>
      <c r="C15" s="4" t="s">
        <v>11</v>
      </c>
      <c r="D15" s="4" t="s">
        <v>353</v>
      </c>
      <c r="E15" s="18" t="s">
        <v>391</v>
      </c>
      <c r="F15" s="7" t="s">
        <v>401</v>
      </c>
      <c r="G15" s="16" t="s">
        <v>54</v>
      </c>
      <c r="H15" s="9" t="s">
        <v>415</v>
      </c>
      <c r="I15" s="15" t="s">
        <v>429</v>
      </c>
      <c r="J15" s="17" t="s">
        <v>239</v>
      </c>
      <c r="L15" s="16" t="s">
        <v>157</v>
      </c>
    </row>
    <row r="16" spans="1:12" s="16" customFormat="1" x14ac:dyDescent="0.25">
      <c r="A16" s="5">
        <v>69997598</v>
      </c>
      <c r="B16" s="4" t="s">
        <v>11</v>
      </c>
      <c r="C16" s="4" t="s">
        <v>11</v>
      </c>
      <c r="D16" s="4" t="s">
        <v>322</v>
      </c>
      <c r="E16" s="18" t="s">
        <v>392</v>
      </c>
      <c r="F16" s="7" t="s">
        <v>402</v>
      </c>
      <c r="G16" s="16" t="s">
        <v>54</v>
      </c>
      <c r="H16" s="15" t="s">
        <v>416</v>
      </c>
      <c r="I16" s="15" t="s">
        <v>430</v>
      </c>
      <c r="J16" s="16" t="s">
        <v>239</v>
      </c>
      <c r="L16" s="16" t="s">
        <v>157</v>
      </c>
    </row>
    <row r="17" spans="1:12" x14ac:dyDescent="0.25">
      <c r="A17" s="17" t="s">
        <v>376</v>
      </c>
      <c r="B17" s="4" t="s">
        <v>79</v>
      </c>
      <c r="C17" s="4">
        <v>0</v>
      </c>
      <c r="D17" s="4" t="s">
        <v>108</v>
      </c>
      <c r="E17" s="10" t="s">
        <v>133</v>
      </c>
      <c r="F17" s="7" t="s">
        <v>175</v>
      </c>
      <c r="G17" t="s">
        <v>54</v>
      </c>
      <c r="H17" s="15" t="s">
        <v>411</v>
      </c>
      <c r="I17" s="15" t="s">
        <v>427</v>
      </c>
      <c r="J17" s="16" t="s">
        <v>239</v>
      </c>
      <c r="L17" t="s">
        <v>157</v>
      </c>
    </row>
    <row r="18" spans="1:12" x14ac:dyDescent="0.25">
      <c r="A18" s="5">
        <v>20050310</v>
      </c>
      <c r="B18" s="4" t="s">
        <v>79</v>
      </c>
      <c r="C18" s="4">
        <v>0</v>
      </c>
      <c r="D18" s="4" t="s">
        <v>11</v>
      </c>
      <c r="E18" s="10" t="s">
        <v>134</v>
      </c>
      <c r="F18" s="7" t="s">
        <v>176</v>
      </c>
      <c r="G18" t="s">
        <v>54</v>
      </c>
      <c r="H18" s="15" t="s">
        <v>412</v>
      </c>
      <c r="I18" s="15" t="s">
        <v>413</v>
      </c>
      <c r="J18" s="17" t="s">
        <v>239</v>
      </c>
      <c r="L18" t="s">
        <v>157</v>
      </c>
    </row>
    <row r="19" spans="1:12" s="16" customFormat="1" x14ac:dyDescent="0.25">
      <c r="A19" s="5">
        <v>62690363</v>
      </c>
      <c r="B19" s="4" t="s">
        <v>362</v>
      </c>
      <c r="C19" s="4" t="s">
        <v>11</v>
      </c>
      <c r="D19" s="4" t="s">
        <v>107</v>
      </c>
      <c r="E19" s="18" t="s">
        <v>363</v>
      </c>
      <c r="F19" s="7" t="s">
        <v>364</v>
      </c>
      <c r="G19" s="16" t="s">
        <v>54</v>
      </c>
      <c r="H19" s="15" t="s">
        <v>414</v>
      </c>
      <c r="I19" s="15" t="s">
        <v>428</v>
      </c>
      <c r="J19" s="16" t="s">
        <v>239</v>
      </c>
      <c r="L19" s="16" t="s">
        <v>157</v>
      </c>
    </row>
    <row r="20" spans="1:12" s="16" customFormat="1" x14ac:dyDescent="0.25">
      <c r="A20" s="5">
        <v>20050308</v>
      </c>
      <c r="B20" s="4" t="s">
        <v>107</v>
      </c>
      <c r="C20" s="4" t="s">
        <v>11</v>
      </c>
      <c r="D20" s="4" t="s">
        <v>353</v>
      </c>
      <c r="E20" s="18" t="s">
        <v>393</v>
      </c>
      <c r="F20" s="7" t="s">
        <v>403</v>
      </c>
      <c r="G20" s="16" t="s">
        <v>54</v>
      </c>
      <c r="H20" s="9" t="s">
        <v>415</v>
      </c>
      <c r="I20" s="15" t="s">
        <v>429</v>
      </c>
      <c r="J20" s="17" t="s">
        <v>239</v>
      </c>
      <c r="L20" s="16" t="s">
        <v>157</v>
      </c>
    </row>
    <row r="21" spans="1:12" s="16" customFormat="1" x14ac:dyDescent="0.25">
      <c r="A21" s="5">
        <v>69997598</v>
      </c>
      <c r="B21" s="4" t="s">
        <v>11</v>
      </c>
      <c r="C21" s="4" t="s">
        <v>11</v>
      </c>
      <c r="D21" s="4" t="s">
        <v>322</v>
      </c>
      <c r="E21" s="18" t="s">
        <v>394</v>
      </c>
      <c r="F21" s="7" t="s">
        <v>404</v>
      </c>
      <c r="G21" s="16" t="s">
        <v>54</v>
      </c>
      <c r="H21" s="15" t="s">
        <v>416</v>
      </c>
      <c r="I21" s="15" t="s">
        <v>430</v>
      </c>
      <c r="J21" s="16" t="s">
        <v>239</v>
      </c>
      <c r="L21" s="16" t="s">
        <v>157</v>
      </c>
    </row>
    <row r="22" spans="1:12" x14ac:dyDescent="0.25">
      <c r="A22" s="17" t="s">
        <v>376</v>
      </c>
      <c r="B22" s="4" t="s">
        <v>79</v>
      </c>
      <c r="C22" s="4">
        <v>0</v>
      </c>
      <c r="D22" s="4" t="s">
        <v>108</v>
      </c>
      <c r="E22" s="10" t="s">
        <v>149</v>
      </c>
      <c r="F22" s="7" t="s">
        <v>177</v>
      </c>
      <c r="G22" t="s">
        <v>54</v>
      </c>
      <c r="H22" s="15" t="s">
        <v>411</v>
      </c>
      <c r="I22" s="15" t="s">
        <v>427</v>
      </c>
      <c r="J22" s="16" t="s">
        <v>239</v>
      </c>
      <c r="L22" t="s">
        <v>157</v>
      </c>
    </row>
    <row r="23" spans="1:12" x14ac:dyDescent="0.25">
      <c r="A23" s="5">
        <v>20050310</v>
      </c>
      <c r="B23" s="4" t="s">
        <v>79</v>
      </c>
      <c r="C23" s="4">
        <v>0</v>
      </c>
      <c r="D23" s="4" t="s">
        <v>11</v>
      </c>
      <c r="E23" s="10" t="s">
        <v>150</v>
      </c>
      <c r="F23" s="7" t="s">
        <v>178</v>
      </c>
      <c r="G23" t="s">
        <v>54</v>
      </c>
      <c r="H23" s="15" t="s">
        <v>412</v>
      </c>
      <c r="I23" s="15" t="s">
        <v>413</v>
      </c>
      <c r="J23" s="17" t="s">
        <v>239</v>
      </c>
      <c r="L23" t="s">
        <v>157</v>
      </c>
    </row>
    <row r="24" spans="1:12" s="16" customFormat="1" x14ac:dyDescent="0.25">
      <c r="A24" s="5">
        <v>62690363</v>
      </c>
      <c r="B24" s="4" t="s">
        <v>362</v>
      </c>
      <c r="C24" s="4" t="s">
        <v>11</v>
      </c>
      <c r="D24" s="4" t="s">
        <v>107</v>
      </c>
      <c r="E24" s="18" t="s">
        <v>365</v>
      </c>
      <c r="F24" s="7" t="s">
        <v>366</v>
      </c>
      <c r="G24" s="16" t="s">
        <v>54</v>
      </c>
      <c r="H24" s="15" t="s">
        <v>414</v>
      </c>
      <c r="I24" s="15" t="s">
        <v>428</v>
      </c>
      <c r="J24" s="16" t="s">
        <v>239</v>
      </c>
      <c r="L24" s="16" t="s">
        <v>157</v>
      </c>
    </row>
    <row r="25" spans="1:12" s="16" customFormat="1" x14ac:dyDescent="0.25">
      <c r="A25" s="5">
        <v>20050308</v>
      </c>
      <c r="B25" s="4" t="s">
        <v>107</v>
      </c>
      <c r="C25" s="4" t="s">
        <v>11</v>
      </c>
      <c r="D25" s="4" t="s">
        <v>353</v>
      </c>
      <c r="E25" s="18" t="s">
        <v>395</v>
      </c>
      <c r="F25" s="7" t="s">
        <v>405</v>
      </c>
      <c r="G25" s="16" t="s">
        <v>54</v>
      </c>
      <c r="H25" s="9" t="s">
        <v>415</v>
      </c>
      <c r="I25" s="15" t="s">
        <v>429</v>
      </c>
      <c r="J25" s="17" t="s">
        <v>239</v>
      </c>
      <c r="L25" s="16" t="s">
        <v>157</v>
      </c>
    </row>
    <row r="26" spans="1:12" s="16" customFormat="1" x14ac:dyDescent="0.25">
      <c r="A26" s="5">
        <v>69997598</v>
      </c>
      <c r="B26" s="4" t="s">
        <v>11</v>
      </c>
      <c r="C26" s="4" t="s">
        <v>11</v>
      </c>
      <c r="D26" s="4" t="s">
        <v>322</v>
      </c>
      <c r="E26" s="18" t="s">
        <v>396</v>
      </c>
      <c r="F26" s="7" t="s">
        <v>406</v>
      </c>
      <c r="G26" s="16" t="s">
        <v>54</v>
      </c>
      <c r="H26" s="15" t="s">
        <v>416</v>
      </c>
      <c r="I26" s="15" t="s">
        <v>430</v>
      </c>
      <c r="J26" s="16" t="s">
        <v>239</v>
      </c>
      <c r="L26" s="16" t="s">
        <v>157</v>
      </c>
    </row>
    <row r="27" spans="1:12" x14ac:dyDescent="0.25">
      <c r="A27" s="17" t="s">
        <v>376</v>
      </c>
      <c r="B27" s="4" t="s">
        <v>79</v>
      </c>
      <c r="C27" s="4">
        <v>0</v>
      </c>
      <c r="D27" s="4" t="s">
        <v>108</v>
      </c>
      <c r="E27" s="10" t="s">
        <v>151</v>
      </c>
      <c r="F27" s="7" t="s">
        <v>179</v>
      </c>
      <c r="G27" t="s">
        <v>54</v>
      </c>
      <c r="H27" s="15" t="s">
        <v>411</v>
      </c>
      <c r="I27" s="15" t="s">
        <v>427</v>
      </c>
      <c r="J27" s="16" t="s">
        <v>239</v>
      </c>
      <c r="L27" t="s">
        <v>157</v>
      </c>
    </row>
    <row r="28" spans="1:12" x14ac:dyDescent="0.25">
      <c r="A28" s="5">
        <v>20050310</v>
      </c>
      <c r="B28" s="4" t="s">
        <v>79</v>
      </c>
      <c r="C28" s="4">
        <v>0</v>
      </c>
      <c r="D28" s="4" t="s">
        <v>11</v>
      </c>
      <c r="E28" s="10" t="s">
        <v>152</v>
      </c>
      <c r="F28" s="7" t="s">
        <v>180</v>
      </c>
      <c r="G28" t="s">
        <v>54</v>
      </c>
      <c r="H28" s="15" t="s">
        <v>412</v>
      </c>
      <c r="I28" s="15" t="s">
        <v>413</v>
      </c>
      <c r="J28" s="17" t="s">
        <v>239</v>
      </c>
      <c r="L28" t="s">
        <v>157</v>
      </c>
    </row>
    <row r="29" spans="1:12" s="16" customFormat="1" x14ac:dyDescent="0.25">
      <c r="A29" s="5">
        <v>62690363</v>
      </c>
      <c r="B29" s="4" t="s">
        <v>362</v>
      </c>
      <c r="C29" s="4" t="s">
        <v>11</v>
      </c>
      <c r="D29" s="4" t="s">
        <v>107</v>
      </c>
      <c r="E29" s="18" t="s">
        <v>253</v>
      </c>
      <c r="F29" s="7" t="s">
        <v>367</v>
      </c>
      <c r="G29" s="16" t="s">
        <v>54</v>
      </c>
      <c r="H29" s="15" t="s">
        <v>414</v>
      </c>
      <c r="I29" s="15" t="s">
        <v>428</v>
      </c>
      <c r="J29" s="16" t="s">
        <v>239</v>
      </c>
      <c r="L29" s="16" t="s">
        <v>157</v>
      </c>
    </row>
    <row r="30" spans="1:12" s="16" customFormat="1" x14ac:dyDescent="0.25">
      <c r="A30" s="5">
        <v>20050308</v>
      </c>
      <c r="B30" s="4" t="s">
        <v>107</v>
      </c>
      <c r="C30" s="4" t="s">
        <v>11</v>
      </c>
      <c r="D30" s="4" t="s">
        <v>353</v>
      </c>
      <c r="E30" s="18" t="s">
        <v>381</v>
      </c>
      <c r="F30" s="7" t="s">
        <v>407</v>
      </c>
      <c r="G30" s="16" t="s">
        <v>54</v>
      </c>
      <c r="H30" s="9" t="s">
        <v>415</v>
      </c>
      <c r="I30" s="15" t="s">
        <v>429</v>
      </c>
      <c r="J30" s="17" t="s">
        <v>239</v>
      </c>
      <c r="L30" s="16" t="s">
        <v>157</v>
      </c>
    </row>
    <row r="31" spans="1:12" s="16" customFormat="1" x14ac:dyDescent="0.25">
      <c r="A31" s="5">
        <v>69997598</v>
      </c>
      <c r="B31" s="4" t="s">
        <v>11</v>
      </c>
      <c r="C31" s="4" t="s">
        <v>11</v>
      </c>
      <c r="D31" s="4" t="s">
        <v>322</v>
      </c>
      <c r="E31" s="18" t="s">
        <v>382</v>
      </c>
      <c r="F31" s="7" t="s">
        <v>408</v>
      </c>
      <c r="G31" s="16" t="s">
        <v>54</v>
      </c>
      <c r="H31" s="15" t="s">
        <v>416</v>
      </c>
      <c r="I31" s="15" t="s">
        <v>430</v>
      </c>
      <c r="J31" s="16" t="s">
        <v>239</v>
      </c>
      <c r="L31" s="16" t="s">
        <v>157</v>
      </c>
    </row>
    <row r="32" spans="1:12" x14ac:dyDescent="0.25">
      <c r="A32" s="17" t="s">
        <v>376</v>
      </c>
      <c r="B32" s="4" t="s">
        <v>79</v>
      </c>
      <c r="C32" s="4">
        <v>0</v>
      </c>
      <c r="D32" s="4" t="s">
        <v>108</v>
      </c>
      <c r="E32" s="10" t="s">
        <v>153</v>
      </c>
      <c r="F32" s="7" t="s">
        <v>181</v>
      </c>
      <c r="G32" t="s">
        <v>54</v>
      </c>
      <c r="H32" s="15" t="s">
        <v>411</v>
      </c>
      <c r="I32" s="15" t="s">
        <v>427</v>
      </c>
      <c r="J32" s="16" t="s">
        <v>239</v>
      </c>
      <c r="L32" t="s">
        <v>157</v>
      </c>
    </row>
    <row r="33" spans="1:12" x14ac:dyDescent="0.25">
      <c r="A33" s="5">
        <v>20050310</v>
      </c>
      <c r="B33" s="4" t="s">
        <v>79</v>
      </c>
      <c r="C33" s="4">
        <v>0</v>
      </c>
      <c r="D33" s="4" t="s">
        <v>11</v>
      </c>
      <c r="E33" s="10" t="s">
        <v>154</v>
      </c>
      <c r="F33" s="7" t="s">
        <v>182</v>
      </c>
      <c r="G33" t="s">
        <v>54</v>
      </c>
      <c r="H33" s="15" t="s">
        <v>412</v>
      </c>
      <c r="I33" s="15" t="s">
        <v>413</v>
      </c>
      <c r="J33" s="17" t="s">
        <v>239</v>
      </c>
      <c r="L33" t="s">
        <v>157</v>
      </c>
    </row>
    <row r="34" spans="1:12" s="16" customFormat="1" x14ac:dyDescent="0.25">
      <c r="A34" s="5">
        <v>62690363</v>
      </c>
      <c r="B34" s="4" t="s">
        <v>362</v>
      </c>
      <c r="C34" s="4" t="s">
        <v>11</v>
      </c>
      <c r="D34" s="4" t="s">
        <v>107</v>
      </c>
      <c r="E34" s="18" t="s">
        <v>368</v>
      </c>
      <c r="F34" s="7" t="s">
        <v>369</v>
      </c>
      <c r="G34" s="16" t="s">
        <v>54</v>
      </c>
      <c r="H34" s="15" t="s">
        <v>414</v>
      </c>
      <c r="I34" s="15" t="s">
        <v>428</v>
      </c>
      <c r="J34" s="16" t="s">
        <v>239</v>
      </c>
      <c r="L34" s="16" t="s">
        <v>157</v>
      </c>
    </row>
    <row r="35" spans="1:12" s="16" customFormat="1" x14ac:dyDescent="0.25">
      <c r="A35" s="5">
        <v>20050308</v>
      </c>
      <c r="B35" s="4" t="s">
        <v>107</v>
      </c>
      <c r="C35" s="4" t="s">
        <v>11</v>
      </c>
      <c r="D35" s="4" t="s">
        <v>353</v>
      </c>
      <c r="E35" s="18" t="s">
        <v>397</v>
      </c>
      <c r="F35" s="7" t="s">
        <v>409</v>
      </c>
      <c r="G35" s="16" t="s">
        <v>54</v>
      </c>
      <c r="H35" s="9" t="s">
        <v>415</v>
      </c>
      <c r="I35" s="15" t="s">
        <v>429</v>
      </c>
      <c r="J35" s="17" t="s">
        <v>239</v>
      </c>
      <c r="L35" s="16" t="s">
        <v>157</v>
      </c>
    </row>
    <row r="36" spans="1:12" s="16" customFormat="1" x14ac:dyDescent="0.25">
      <c r="A36" s="5">
        <v>69997598</v>
      </c>
      <c r="B36" s="4" t="s">
        <v>11</v>
      </c>
      <c r="C36" s="4" t="s">
        <v>11</v>
      </c>
      <c r="D36" s="4" t="s">
        <v>322</v>
      </c>
      <c r="E36" s="18" t="s">
        <v>398</v>
      </c>
      <c r="F36" s="7" t="s">
        <v>410</v>
      </c>
      <c r="G36" s="16" t="s">
        <v>54</v>
      </c>
      <c r="H36" s="15" t="s">
        <v>416</v>
      </c>
      <c r="I36" s="15" t="s">
        <v>430</v>
      </c>
      <c r="J36" s="16" t="s">
        <v>239</v>
      </c>
      <c r="L36" s="16" t="s">
        <v>157</v>
      </c>
    </row>
    <row r="37" spans="1:12" s="16" customFormat="1" x14ac:dyDescent="0.25">
      <c r="A37" s="17" t="s">
        <v>376</v>
      </c>
      <c r="B37" s="4" t="s">
        <v>79</v>
      </c>
      <c r="C37" s="4">
        <v>0</v>
      </c>
      <c r="D37" s="4" t="s">
        <v>108</v>
      </c>
      <c r="E37" s="18" t="s">
        <v>275</v>
      </c>
      <c r="F37" s="7" t="s">
        <v>276</v>
      </c>
      <c r="G37" s="16" t="s">
        <v>54</v>
      </c>
      <c r="H37" s="15" t="s">
        <v>411</v>
      </c>
      <c r="I37" s="15" t="s">
        <v>427</v>
      </c>
      <c r="J37" s="16" t="s">
        <v>239</v>
      </c>
      <c r="L37" s="16" t="s">
        <v>157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11" sqref="B11"/>
    </sheetView>
  </sheetViews>
  <sheetFormatPr defaultRowHeight="15" x14ac:dyDescent="0.25"/>
  <cols>
    <col min="2" max="2" width="23.5703125" style="16" bestFit="1" customWidth="1"/>
    <col min="3" max="3" width="10.28515625" bestFit="1" customWidth="1"/>
    <col min="4" max="4" width="13.5703125" bestFit="1" customWidth="1"/>
    <col min="5" max="5" width="9.28515625" bestFit="1" customWidth="1"/>
    <col min="6" max="6" width="9" bestFit="1" customWidth="1"/>
    <col min="7" max="7" width="11.85546875" bestFit="1" customWidth="1"/>
    <col min="8" max="8" width="19" bestFit="1" customWidth="1"/>
  </cols>
  <sheetData>
    <row r="1" spans="1:8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</row>
    <row r="2" spans="1:8" x14ac:dyDescent="0.25">
      <c r="A2" s="9" t="s">
        <v>50</v>
      </c>
      <c r="B2" s="7" t="s">
        <v>184</v>
      </c>
      <c r="C2" s="9" t="s">
        <v>54</v>
      </c>
      <c r="D2" s="9" t="s">
        <v>431</v>
      </c>
      <c r="E2" s="7" t="s">
        <v>432</v>
      </c>
      <c r="F2" s="9" t="s">
        <v>525</v>
      </c>
      <c r="G2" s="9" t="s">
        <v>526</v>
      </c>
      <c r="H2" s="17" t="s">
        <v>239</v>
      </c>
    </row>
    <row r="3" spans="1:8" x14ac:dyDescent="0.25">
      <c r="A3" s="9" t="s">
        <v>100</v>
      </c>
      <c r="B3" s="7" t="s">
        <v>185</v>
      </c>
      <c r="C3" s="9" t="s">
        <v>54</v>
      </c>
      <c r="D3" s="9" t="s">
        <v>431</v>
      </c>
      <c r="E3" s="7" t="s">
        <v>432</v>
      </c>
      <c r="F3" s="9" t="s">
        <v>435</v>
      </c>
      <c r="G3" s="9" t="s">
        <v>570</v>
      </c>
      <c r="H3" t="s">
        <v>239</v>
      </c>
    </row>
    <row r="4" spans="1:8" x14ac:dyDescent="0.25">
      <c r="A4" s="9" t="s">
        <v>101</v>
      </c>
      <c r="B4" s="7" t="s">
        <v>186</v>
      </c>
      <c r="C4" s="9" t="s">
        <v>54</v>
      </c>
      <c r="D4" s="9" t="s">
        <v>431</v>
      </c>
      <c r="E4" s="7" t="s">
        <v>432</v>
      </c>
      <c r="F4" s="9" t="s">
        <v>681</v>
      </c>
      <c r="G4" s="9" t="s">
        <v>682</v>
      </c>
      <c r="H4" s="17" t="s">
        <v>239</v>
      </c>
    </row>
    <row r="5" spans="1:8" x14ac:dyDescent="0.25">
      <c r="A5" s="9" t="s">
        <v>109</v>
      </c>
      <c r="B5" s="7" t="s">
        <v>187</v>
      </c>
      <c r="C5" s="9" t="s">
        <v>54</v>
      </c>
      <c r="D5" s="9" t="s">
        <v>431</v>
      </c>
      <c r="E5" s="7" t="s">
        <v>432</v>
      </c>
      <c r="F5" s="9" t="s">
        <v>435</v>
      </c>
      <c r="G5" s="9" t="s">
        <v>570</v>
      </c>
      <c r="H5" s="16" t="s">
        <v>239</v>
      </c>
    </row>
    <row r="6" spans="1:8" s="16" customFormat="1" x14ac:dyDescent="0.25">
      <c r="A6" s="9" t="s">
        <v>146</v>
      </c>
      <c r="B6" s="7" t="s">
        <v>188</v>
      </c>
      <c r="C6" s="9" t="s">
        <v>54</v>
      </c>
      <c r="D6" s="9" t="s">
        <v>431</v>
      </c>
      <c r="E6" s="7" t="s">
        <v>432</v>
      </c>
      <c r="F6" s="9" t="s">
        <v>11</v>
      </c>
      <c r="G6" s="9" t="s">
        <v>527</v>
      </c>
      <c r="H6" s="17" t="s">
        <v>239</v>
      </c>
    </row>
    <row r="7" spans="1:8" s="16" customFormat="1" x14ac:dyDescent="0.25">
      <c r="A7" s="9" t="s">
        <v>147</v>
      </c>
      <c r="B7" s="7" t="s">
        <v>189</v>
      </c>
      <c r="C7" s="9" t="s">
        <v>54</v>
      </c>
      <c r="D7" s="9" t="s">
        <v>431</v>
      </c>
      <c r="E7" s="7" t="s">
        <v>432</v>
      </c>
      <c r="F7" s="9" t="s">
        <v>11</v>
      </c>
      <c r="G7" s="9" t="s">
        <v>527</v>
      </c>
      <c r="H7" s="16" t="s">
        <v>239</v>
      </c>
    </row>
    <row r="8" spans="1:8" s="16" customFormat="1" x14ac:dyDescent="0.25">
      <c r="A8" s="9" t="s">
        <v>148</v>
      </c>
      <c r="B8" s="7" t="s">
        <v>190</v>
      </c>
      <c r="C8" s="9" t="s">
        <v>54</v>
      </c>
      <c r="D8" s="9" t="s">
        <v>431</v>
      </c>
      <c r="E8" s="7" t="s">
        <v>432</v>
      </c>
      <c r="F8" s="9" t="s">
        <v>433</v>
      </c>
      <c r="G8" s="9" t="s">
        <v>434</v>
      </c>
      <c r="H8" s="17" t="s">
        <v>239</v>
      </c>
    </row>
    <row r="9" spans="1:8" s="16" customFormat="1" x14ac:dyDescent="0.25">
      <c r="A9" s="9" t="s">
        <v>274</v>
      </c>
      <c r="B9" s="7" t="s">
        <v>277</v>
      </c>
      <c r="C9" s="9" t="s">
        <v>54</v>
      </c>
      <c r="D9" s="9" t="s">
        <v>436</v>
      </c>
      <c r="E9" s="7" t="s">
        <v>571</v>
      </c>
      <c r="F9" s="9" t="s">
        <v>437</v>
      </c>
      <c r="G9" s="9" t="s">
        <v>438</v>
      </c>
      <c r="H9" s="16" t="s">
        <v>239</v>
      </c>
    </row>
    <row r="10" spans="1:8" x14ac:dyDescent="0.25">
      <c r="G10" s="26"/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I14" sqref="I14"/>
    </sheetView>
  </sheetViews>
  <sheetFormatPr defaultRowHeight="15" x14ac:dyDescent="0.25"/>
  <cols>
    <col min="1" max="1" width="15.28515625" style="16" customWidth="1"/>
    <col min="2" max="2" width="22.85546875" style="16" bestFit="1" customWidth="1"/>
    <col min="3" max="3" width="21.7109375" style="16" customWidth="1"/>
    <col min="4" max="4" width="17.285156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6" t="s">
        <v>156</v>
      </c>
    </row>
    <row r="2" spans="1:4" x14ac:dyDescent="0.25">
      <c r="A2" s="18" t="s">
        <v>104</v>
      </c>
      <c r="B2" s="7" t="s">
        <v>191</v>
      </c>
      <c r="C2" s="17" t="s">
        <v>158</v>
      </c>
      <c r="D2" s="16" t="s">
        <v>157</v>
      </c>
    </row>
    <row r="3" spans="1:4" x14ac:dyDescent="0.25">
      <c r="A3" s="18" t="s">
        <v>130</v>
      </c>
      <c r="B3" s="7" t="s">
        <v>192</v>
      </c>
      <c r="C3" s="17" t="s">
        <v>158</v>
      </c>
      <c r="D3" s="16" t="s">
        <v>157</v>
      </c>
    </row>
    <row r="4" spans="1:4" x14ac:dyDescent="0.25">
      <c r="A4" s="18" t="s">
        <v>132</v>
      </c>
      <c r="B4" s="7" t="s">
        <v>193</v>
      </c>
      <c r="C4" s="17" t="s">
        <v>158</v>
      </c>
      <c r="D4" s="16" t="s">
        <v>157</v>
      </c>
    </row>
    <row r="5" spans="1:4" x14ac:dyDescent="0.25">
      <c r="A5" s="18" t="s">
        <v>134</v>
      </c>
      <c r="B5" s="7" t="s">
        <v>194</v>
      </c>
      <c r="C5" s="17" t="s">
        <v>158</v>
      </c>
      <c r="D5" s="16" t="s">
        <v>157</v>
      </c>
    </row>
    <row r="6" spans="1:4" x14ac:dyDescent="0.25">
      <c r="A6" s="18" t="s">
        <v>150</v>
      </c>
      <c r="B6" s="7" t="s">
        <v>195</v>
      </c>
      <c r="C6" s="17" t="s">
        <v>158</v>
      </c>
      <c r="D6" s="16" t="s">
        <v>157</v>
      </c>
    </row>
    <row r="7" spans="1:4" x14ac:dyDescent="0.25">
      <c r="A7" s="18" t="s">
        <v>152</v>
      </c>
      <c r="B7" s="7" t="s">
        <v>196</v>
      </c>
      <c r="C7" s="17" t="s">
        <v>158</v>
      </c>
      <c r="D7" s="16" t="s">
        <v>157</v>
      </c>
    </row>
    <row r="8" spans="1:4" x14ac:dyDescent="0.25">
      <c r="A8" s="18" t="s">
        <v>154</v>
      </c>
      <c r="B8" s="7" t="s">
        <v>197</v>
      </c>
      <c r="C8" s="17" t="s">
        <v>158</v>
      </c>
      <c r="D8" s="16" t="s">
        <v>157</v>
      </c>
    </row>
    <row r="9" spans="1:4" x14ac:dyDescent="0.25">
      <c r="A9" s="18" t="s">
        <v>278</v>
      </c>
      <c r="B9" s="7" t="s">
        <v>279</v>
      </c>
      <c r="C9" s="17" t="s">
        <v>158</v>
      </c>
      <c r="D9" s="16" t="s">
        <v>157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7.28515625" customWidth="1"/>
    <col min="6" max="6" width="10.28515625" bestFit="1" customWidth="1"/>
    <col min="7" max="7" width="11" bestFit="1" customWidth="1"/>
  </cols>
  <sheetData>
    <row r="1" spans="1:7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x14ac:dyDescent="0.25">
      <c r="A2" s="17" t="s">
        <v>461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482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XFD6"/>
    </sheetView>
  </sheetViews>
  <sheetFormatPr defaultRowHeight="15" x14ac:dyDescent="0.25"/>
  <cols>
    <col min="1" max="1" width="14.140625" bestFit="1" customWidth="1"/>
    <col min="2" max="2" width="16.85546875" bestFit="1" customWidth="1"/>
    <col min="3" max="3" width="13.140625" bestFit="1" customWidth="1"/>
    <col min="4" max="4" width="16.140625" bestFit="1" customWidth="1"/>
    <col min="5" max="5" width="9.140625" customWidth="1"/>
    <col min="6" max="6" width="45.5703125" bestFit="1" customWidth="1"/>
    <col min="7" max="7" width="10.28515625" bestFit="1" customWidth="1"/>
    <col min="8" max="8" width="19" bestFit="1" customWidth="1"/>
    <col min="9" max="9" width="19.28515625" bestFit="1" customWidth="1"/>
  </cols>
  <sheetData>
    <row r="1" spans="1:9" x14ac:dyDescent="0.25">
      <c r="A1" s="9" t="s">
        <v>122</v>
      </c>
      <c r="B1" s="9" t="s">
        <v>123</v>
      </c>
      <c r="C1" s="9" t="s">
        <v>124</v>
      </c>
      <c r="D1" s="9" t="s">
        <v>125</v>
      </c>
      <c r="E1" s="9" t="s">
        <v>6</v>
      </c>
      <c r="F1" s="9" t="s">
        <v>162</v>
      </c>
      <c r="G1" s="9" t="s">
        <v>53</v>
      </c>
      <c r="H1" s="17" t="s">
        <v>248</v>
      </c>
      <c r="I1" s="16" t="s">
        <v>155</v>
      </c>
    </row>
    <row r="2" spans="1:9" x14ac:dyDescent="0.25">
      <c r="A2" s="15" t="s">
        <v>427</v>
      </c>
      <c r="B2" s="15" t="s">
        <v>466</v>
      </c>
      <c r="C2" s="15" t="s">
        <v>11</v>
      </c>
      <c r="D2" s="15" t="s">
        <v>545</v>
      </c>
      <c r="E2" s="9" t="s">
        <v>103</v>
      </c>
      <c r="F2" s="7" t="s">
        <v>573</v>
      </c>
      <c r="G2" s="9" t="s">
        <v>54</v>
      </c>
      <c r="H2" s="17" t="s">
        <v>239</v>
      </c>
      <c r="I2" s="16"/>
    </row>
    <row r="3" spans="1:9" x14ac:dyDescent="0.25">
      <c r="A3" s="15" t="s">
        <v>413</v>
      </c>
      <c r="B3" s="15" t="s">
        <v>467</v>
      </c>
      <c r="C3" s="15" t="s">
        <v>11</v>
      </c>
      <c r="D3" s="15" t="s">
        <v>546</v>
      </c>
      <c r="E3" s="9" t="s">
        <v>104</v>
      </c>
      <c r="F3" s="7" t="s">
        <v>574</v>
      </c>
      <c r="G3" s="9" t="s">
        <v>54</v>
      </c>
      <c r="H3" s="17" t="s">
        <v>239</v>
      </c>
    </row>
    <row r="4" spans="1:9" x14ac:dyDescent="0.25">
      <c r="A4" s="15" t="s">
        <v>428</v>
      </c>
      <c r="B4" s="15" t="s">
        <v>468</v>
      </c>
      <c r="C4" s="15" t="s">
        <v>11</v>
      </c>
      <c r="D4" s="15" t="s">
        <v>547</v>
      </c>
      <c r="E4" s="9" t="s">
        <v>284</v>
      </c>
      <c r="F4" s="7" t="s">
        <v>575</v>
      </c>
      <c r="G4" s="9" t="s">
        <v>54</v>
      </c>
      <c r="H4" s="17" t="s">
        <v>239</v>
      </c>
    </row>
    <row r="5" spans="1:9" x14ac:dyDescent="0.25">
      <c r="A5" s="15" t="s">
        <v>429</v>
      </c>
      <c r="B5" s="15" t="s">
        <v>469</v>
      </c>
      <c r="C5" s="15" t="s">
        <v>11</v>
      </c>
      <c r="D5" s="15" t="s">
        <v>548</v>
      </c>
      <c r="E5" s="9" t="s">
        <v>285</v>
      </c>
      <c r="F5" s="7" t="s">
        <v>576</v>
      </c>
      <c r="G5" s="9" t="s">
        <v>54</v>
      </c>
      <c r="H5" s="17" t="s">
        <v>239</v>
      </c>
    </row>
    <row r="6" spans="1:9" x14ac:dyDescent="0.25">
      <c r="A6" s="15" t="s">
        <v>430</v>
      </c>
      <c r="B6" s="15" t="s">
        <v>470</v>
      </c>
      <c r="C6" s="15" t="s">
        <v>11</v>
      </c>
      <c r="D6" s="15" t="s">
        <v>549</v>
      </c>
      <c r="E6" s="9" t="s">
        <v>377</v>
      </c>
      <c r="F6" s="7" t="s">
        <v>577</v>
      </c>
      <c r="G6" s="9" t="s">
        <v>54</v>
      </c>
      <c r="H6" s="17" t="s">
        <v>239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XFD2"/>
    </sheetView>
  </sheetViews>
  <sheetFormatPr defaultRowHeight="15" x14ac:dyDescent="0.25"/>
  <cols>
    <col min="2" max="2" width="46" bestFit="1" customWidth="1"/>
    <col min="3" max="3" width="10.28515625" bestFit="1" customWidth="1"/>
    <col min="4" max="4" width="15.140625" bestFit="1" customWidth="1"/>
    <col min="5" max="5" width="15.85546875" bestFit="1" customWidth="1"/>
    <col min="6" max="6" width="14.140625" bestFit="1" customWidth="1"/>
    <col min="7" max="7" width="15.140625" bestFit="1" customWidth="1"/>
    <col min="8" max="8" width="19" bestFit="1" customWidth="1"/>
    <col min="9" max="9" width="19.28515625" bestFit="1" customWidth="1"/>
  </cols>
  <sheetData>
    <row r="1" spans="1:9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155</v>
      </c>
    </row>
    <row r="2" spans="1:9" x14ac:dyDescent="0.25">
      <c r="A2" s="9" t="s">
        <v>103</v>
      </c>
      <c r="B2" s="7" t="s">
        <v>578</v>
      </c>
      <c r="C2" s="9" t="s">
        <v>54</v>
      </c>
      <c r="D2" s="7" t="s">
        <v>471</v>
      </c>
      <c r="E2" s="7" t="s">
        <v>604</v>
      </c>
      <c r="F2" s="15" t="s">
        <v>11</v>
      </c>
      <c r="G2" s="7" t="s">
        <v>550</v>
      </c>
      <c r="H2" s="17" t="s">
        <v>239</v>
      </c>
      <c r="I2" s="16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XFD6"/>
    </sheetView>
  </sheetViews>
  <sheetFormatPr defaultRowHeight="15" x14ac:dyDescent="0.25"/>
  <cols>
    <col min="1" max="1" width="14.140625" bestFit="1" customWidth="1"/>
    <col min="2" max="2" width="13.85546875" bestFit="1" customWidth="1"/>
    <col min="4" max="4" width="52.42578125" bestFit="1" customWidth="1"/>
    <col min="5" max="5" width="10.28515625" bestFit="1" customWidth="1"/>
    <col min="6" max="6" width="19" bestFit="1" customWidth="1"/>
    <col min="7" max="7" width="19.28515625" bestFit="1" customWidth="1"/>
  </cols>
  <sheetData>
    <row r="1" spans="1:7" x14ac:dyDescent="0.25">
      <c r="A1" s="6" t="s">
        <v>123</v>
      </c>
      <c r="B1" s="9" t="s">
        <v>463</v>
      </c>
      <c r="C1" s="9" t="s">
        <v>6</v>
      </c>
      <c r="D1" s="9" t="s">
        <v>162</v>
      </c>
      <c r="E1" s="9" t="s">
        <v>53</v>
      </c>
      <c r="F1" s="17" t="s">
        <v>248</v>
      </c>
      <c r="G1" s="16" t="s">
        <v>155</v>
      </c>
    </row>
    <row r="2" spans="1:7" x14ac:dyDescent="0.25">
      <c r="A2" s="15" t="s">
        <v>481</v>
      </c>
      <c r="B2" s="15" t="s">
        <v>11</v>
      </c>
      <c r="C2" s="9" t="s">
        <v>103</v>
      </c>
      <c r="D2" s="7" t="s">
        <v>579</v>
      </c>
      <c r="E2" s="9" t="s">
        <v>54</v>
      </c>
      <c r="F2" s="17" t="s">
        <v>239</v>
      </c>
      <c r="G2" s="16"/>
    </row>
    <row r="3" spans="1:7" s="16" customFormat="1" x14ac:dyDescent="0.25">
      <c r="A3" s="15" t="s">
        <v>464</v>
      </c>
      <c r="B3" s="15" t="s">
        <v>11</v>
      </c>
      <c r="C3" s="9" t="s">
        <v>104</v>
      </c>
      <c r="D3" s="7" t="s">
        <v>580</v>
      </c>
      <c r="E3" s="9" t="s">
        <v>54</v>
      </c>
      <c r="F3" s="17" t="s">
        <v>239</v>
      </c>
    </row>
    <row r="4" spans="1:7" s="16" customFormat="1" x14ac:dyDescent="0.25">
      <c r="A4" s="15" t="s">
        <v>481</v>
      </c>
      <c r="B4" s="15" t="s">
        <v>11</v>
      </c>
      <c r="C4" s="9" t="s">
        <v>284</v>
      </c>
      <c r="D4" s="7" t="s">
        <v>581</v>
      </c>
      <c r="E4" s="9" t="s">
        <v>54</v>
      </c>
      <c r="F4" s="17" t="s">
        <v>239</v>
      </c>
    </row>
    <row r="5" spans="1:7" s="16" customFormat="1" x14ac:dyDescent="0.25">
      <c r="A5" s="15" t="s">
        <v>464</v>
      </c>
      <c r="B5" s="15" t="s">
        <v>11</v>
      </c>
      <c r="C5" s="9" t="s">
        <v>285</v>
      </c>
      <c r="D5" s="7" t="s">
        <v>582</v>
      </c>
      <c r="E5" s="9" t="s">
        <v>54</v>
      </c>
      <c r="F5" s="17" t="s">
        <v>239</v>
      </c>
    </row>
    <row r="6" spans="1:7" s="16" customFormat="1" x14ac:dyDescent="0.25">
      <c r="A6" s="15" t="s">
        <v>465</v>
      </c>
      <c r="B6" s="15" t="s">
        <v>11</v>
      </c>
      <c r="C6" s="9" t="s">
        <v>377</v>
      </c>
      <c r="D6" s="7" t="s">
        <v>583</v>
      </c>
      <c r="E6" s="9" t="s">
        <v>54</v>
      </c>
      <c r="F6" s="17" t="s">
        <v>239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7" sqref="E17"/>
    </sheetView>
  </sheetViews>
  <sheetFormatPr defaultRowHeight="15" x14ac:dyDescent="0.25"/>
  <cols>
    <col min="1" max="1" width="15.7109375" bestFit="1" customWidth="1"/>
    <col min="2" max="2" width="10" customWidth="1"/>
    <col min="3" max="3" width="39.570312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t="s">
        <v>480</v>
      </c>
      <c r="B2" s="9" t="s">
        <v>103</v>
      </c>
      <c r="C2" s="7" t="s">
        <v>475</v>
      </c>
      <c r="D2" s="9" t="s">
        <v>54</v>
      </c>
      <c r="E2" s="17" t="s">
        <v>239</v>
      </c>
      <c r="F2" s="16"/>
    </row>
    <row r="3" spans="1:6" x14ac:dyDescent="0.25">
      <c r="A3" s="16" t="s">
        <v>478</v>
      </c>
      <c r="B3" s="9" t="s">
        <v>104</v>
      </c>
      <c r="C3" s="7" t="s">
        <v>476</v>
      </c>
      <c r="D3" s="9" t="s">
        <v>54</v>
      </c>
      <c r="E3" s="17" t="s">
        <v>239</v>
      </c>
      <c r="F3" s="16"/>
    </row>
    <row r="4" spans="1:6" x14ac:dyDescent="0.25">
      <c r="A4" s="16" t="s">
        <v>474</v>
      </c>
      <c r="B4" s="9" t="s">
        <v>284</v>
      </c>
      <c r="C4" s="7" t="s">
        <v>462</v>
      </c>
      <c r="D4" s="9" t="s">
        <v>54</v>
      </c>
      <c r="E4" s="17" t="s">
        <v>239</v>
      </c>
      <c r="F4" s="16"/>
    </row>
    <row r="5" spans="1:6" x14ac:dyDescent="0.25">
      <c r="A5" s="16" t="s">
        <v>479</v>
      </c>
      <c r="B5" s="9" t="s">
        <v>285</v>
      </c>
      <c r="C5" s="7" t="s">
        <v>477</v>
      </c>
      <c r="D5" s="9" t="s">
        <v>54</v>
      </c>
      <c r="E5" s="17" t="s">
        <v>239</v>
      </c>
      <c r="F5" s="16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H18" sqref="H18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6" max="6" width="10.28515625" bestFit="1" customWidth="1"/>
    <col min="7" max="7" width="11" bestFit="1" customWidth="1"/>
  </cols>
  <sheetData>
    <row r="1" spans="1:7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x14ac:dyDescent="0.25">
      <c r="A2" s="17" t="s">
        <v>461</v>
      </c>
      <c r="B2" s="17" t="s">
        <v>88</v>
      </c>
      <c r="C2" s="6" t="str">
        <f t="shared" ref="C2:D9" ca="1" si="0">TEXT(NOW(),"YYYY-MM-DD")</f>
        <v>2026-09-21</v>
      </c>
      <c r="D2" s="6" t="str">
        <f t="shared" ca="1" si="0"/>
        <v>2026-09-21</v>
      </c>
      <c r="E2" s="7" t="s">
        <v>50</v>
      </c>
      <c r="F2" s="17" t="s">
        <v>54</v>
      </c>
      <c r="G2" s="17" t="s">
        <v>498</v>
      </c>
    </row>
    <row r="3" spans="1:7" x14ac:dyDescent="0.25">
      <c r="A3" s="17" t="s">
        <v>461</v>
      </c>
      <c r="B3" s="17" t="s">
        <v>88</v>
      </c>
      <c r="C3" s="6" t="str">
        <f t="shared" ca="1" si="0"/>
        <v>2026-09-21</v>
      </c>
      <c r="D3" s="6" t="str">
        <f t="shared" ca="1" si="0"/>
        <v>2026-09-21</v>
      </c>
      <c r="E3" s="7" t="s">
        <v>100</v>
      </c>
      <c r="F3" s="17" t="s">
        <v>54</v>
      </c>
      <c r="G3" s="17" t="s">
        <v>504</v>
      </c>
    </row>
    <row r="4" spans="1:7" x14ac:dyDescent="0.25">
      <c r="A4" s="17" t="s">
        <v>461</v>
      </c>
      <c r="B4" s="17" t="s">
        <v>88</v>
      </c>
      <c r="C4" s="6" t="str">
        <f t="shared" ca="1" si="0"/>
        <v>2026-09-21</v>
      </c>
      <c r="D4" s="6" t="str">
        <f t="shared" ca="1" si="0"/>
        <v>2026-09-21</v>
      </c>
      <c r="E4" s="7" t="s">
        <v>101</v>
      </c>
      <c r="F4" s="17" t="s">
        <v>54</v>
      </c>
      <c r="G4" s="17" t="s">
        <v>506</v>
      </c>
    </row>
    <row r="5" spans="1:7" x14ac:dyDescent="0.25">
      <c r="A5" s="17" t="s">
        <v>461</v>
      </c>
      <c r="B5" s="17" t="s">
        <v>88</v>
      </c>
      <c r="C5" s="6" t="str">
        <f t="shared" ca="1" si="0"/>
        <v>2026-09-21</v>
      </c>
      <c r="D5" s="6" t="str">
        <f t="shared" ca="1" si="0"/>
        <v>2026-09-21</v>
      </c>
      <c r="E5" s="7" t="s">
        <v>109</v>
      </c>
      <c r="F5" s="17" t="s">
        <v>54</v>
      </c>
      <c r="G5" s="17" t="s">
        <v>308</v>
      </c>
    </row>
    <row r="6" spans="1:7" x14ac:dyDescent="0.25">
      <c r="A6" s="17" t="s">
        <v>461</v>
      </c>
      <c r="B6" s="17" t="s">
        <v>88</v>
      </c>
      <c r="C6" s="6" t="str">
        <f t="shared" ca="1" si="0"/>
        <v>2026-09-21</v>
      </c>
      <c r="D6" s="6" t="str">
        <f t="shared" ca="1" si="0"/>
        <v>2026-09-21</v>
      </c>
      <c r="E6" s="7" t="s">
        <v>146</v>
      </c>
      <c r="F6" s="17" t="s">
        <v>54</v>
      </c>
      <c r="G6" s="17" t="s">
        <v>507</v>
      </c>
    </row>
    <row r="7" spans="1:7" x14ac:dyDescent="0.25">
      <c r="A7" s="17" t="s">
        <v>461</v>
      </c>
      <c r="B7" s="17" t="s">
        <v>88</v>
      </c>
      <c r="C7" s="6" t="str">
        <f t="shared" ca="1" si="0"/>
        <v>2026-09-21</v>
      </c>
      <c r="D7" s="6" t="str">
        <f t="shared" ca="1" si="0"/>
        <v>2026-09-21</v>
      </c>
      <c r="E7" s="7" t="s">
        <v>147</v>
      </c>
      <c r="F7" s="17" t="s">
        <v>54</v>
      </c>
      <c r="G7" s="17" t="s">
        <v>482</v>
      </c>
    </row>
    <row r="8" spans="1:7" x14ac:dyDescent="0.25">
      <c r="A8" s="17" t="s">
        <v>461</v>
      </c>
      <c r="B8" s="17" t="s">
        <v>88</v>
      </c>
      <c r="C8" s="6" t="str">
        <f t="shared" ca="1" si="0"/>
        <v>2026-09-21</v>
      </c>
      <c r="D8" s="6" t="str">
        <f t="shared" ca="1" si="0"/>
        <v>2026-09-21</v>
      </c>
      <c r="E8" s="7" t="s">
        <v>148</v>
      </c>
      <c r="F8" s="17" t="s">
        <v>54</v>
      </c>
      <c r="G8" s="17" t="s">
        <v>484</v>
      </c>
    </row>
    <row r="9" spans="1:7" x14ac:dyDescent="0.25">
      <c r="A9" s="17" t="s">
        <v>461</v>
      </c>
      <c r="B9" s="17" t="s">
        <v>88</v>
      </c>
      <c r="C9" s="6" t="str">
        <f t="shared" ca="1" si="0"/>
        <v>2026-09-21</v>
      </c>
      <c r="D9" s="6" t="str">
        <f t="shared" ca="1" si="0"/>
        <v>2026-09-21</v>
      </c>
      <c r="E9" s="7" t="s">
        <v>274</v>
      </c>
      <c r="F9" s="17" t="s">
        <v>54</v>
      </c>
      <c r="G9" s="17" t="s">
        <v>508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F15" sqref="F15"/>
    </sheetView>
  </sheetViews>
  <sheetFormatPr defaultRowHeight="15" x14ac:dyDescent="0.25"/>
  <cols>
    <col min="1" max="1" width="15.7109375" bestFit="1" customWidth="1"/>
    <col min="3" max="3" width="42.4257812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480</v>
      </c>
      <c r="B2" s="9" t="s">
        <v>103</v>
      </c>
      <c r="C2" s="7" t="s">
        <v>494</v>
      </c>
      <c r="D2" s="9" t="s">
        <v>54</v>
      </c>
      <c r="E2" s="17" t="s">
        <v>239</v>
      </c>
      <c r="F2" s="16"/>
    </row>
    <row r="3" spans="1:6" x14ac:dyDescent="0.25">
      <c r="A3" s="16" t="s">
        <v>478</v>
      </c>
      <c r="B3" s="9" t="s">
        <v>104</v>
      </c>
      <c r="C3" s="7" t="s">
        <v>495</v>
      </c>
      <c r="D3" s="9" t="s">
        <v>54</v>
      </c>
      <c r="E3" s="17" t="s">
        <v>239</v>
      </c>
      <c r="F3" s="16"/>
    </row>
    <row r="4" spans="1:6" x14ac:dyDescent="0.25">
      <c r="A4" s="16" t="s">
        <v>474</v>
      </c>
      <c r="B4" s="9" t="s">
        <v>284</v>
      </c>
      <c r="C4" s="7" t="s">
        <v>496</v>
      </c>
      <c r="D4" s="9" t="s">
        <v>54</v>
      </c>
      <c r="E4" s="17" t="s">
        <v>239</v>
      </c>
      <c r="F4" s="16"/>
    </row>
    <row r="5" spans="1:6" x14ac:dyDescent="0.25">
      <c r="A5" s="16" t="s">
        <v>479</v>
      </c>
      <c r="B5" s="9" t="s">
        <v>285</v>
      </c>
      <c r="C5" s="7" t="s">
        <v>497</v>
      </c>
      <c r="D5" s="9" t="s">
        <v>54</v>
      </c>
      <c r="E5" s="17" t="s">
        <v>239</v>
      </c>
      <c r="F5" s="16"/>
    </row>
    <row r="6" spans="1:6" x14ac:dyDescent="0.25">
      <c r="A6" s="16" t="s">
        <v>534</v>
      </c>
      <c r="B6" s="9" t="s">
        <v>129</v>
      </c>
      <c r="C6" s="7" t="s">
        <v>494</v>
      </c>
      <c r="D6" s="9" t="s">
        <v>54</v>
      </c>
      <c r="E6" s="17" t="s">
        <v>239</v>
      </c>
      <c r="F6" s="16"/>
    </row>
    <row r="7" spans="1:6" x14ac:dyDescent="0.25">
      <c r="A7" s="16" t="s">
        <v>479</v>
      </c>
      <c r="B7" s="9" t="s">
        <v>130</v>
      </c>
      <c r="C7" s="7" t="s">
        <v>509</v>
      </c>
      <c r="D7" s="9" t="s">
        <v>54</v>
      </c>
      <c r="E7" s="17" t="s">
        <v>239</v>
      </c>
      <c r="F7" s="16"/>
    </row>
    <row r="8" spans="1:6" x14ac:dyDescent="0.25">
      <c r="A8" s="16" t="s">
        <v>480</v>
      </c>
      <c r="B8" s="9" t="s">
        <v>131</v>
      </c>
      <c r="C8" s="7" t="s">
        <v>494</v>
      </c>
      <c r="D8" s="9" t="s">
        <v>54</v>
      </c>
      <c r="E8" s="17" t="s">
        <v>239</v>
      </c>
      <c r="F8" s="16"/>
    </row>
    <row r="9" spans="1:6" x14ac:dyDescent="0.25">
      <c r="A9" s="16" t="s">
        <v>479</v>
      </c>
      <c r="B9" s="9" t="s">
        <v>132</v>
      </c>
      <c r="C9" s="7" t="s">
        <v>509</v>
      </c>
      <c r="D9" s="9" t="s">
        <v>54</v>
      </c>
      <c r="E9" s="17" t="s">
        <v>239</v>
      </c>
      <c r="F9" s="16"/>
    </row>
    <row r="10" spans="1:6" x14ac:dyDescent="0.25">
      <c r="A10" s="16" t="s">
        <v>499</v>
      </c>
      <c r="B10" s="9" t="s">
        <v>133</v>
      </c>
      <c r="C10" s="7" t="s">
        <v>494</v>
      </c>
      <c r="D10" s="9" t="s">
        <v>54</v>
      </c>
      <c r="E10" s="17" t="s">
        <v>239</v>
      </c>
      <c r="F10" s="16"/>
    </row>
    <row r="11" spans="1:6" x14ac:dyDescent="0.25">
      <c r="A11" s="16" t="s">
        <v>479</v>
      </c>
      <c r="B11" s="9" t="s">
        <v>134</v>
      </c>
      <c r="C11" s="7" t="s">
        <v>495</v>
      </c>
      <c r="D11" s="9" t="s">
        <v>54</v>
      </c>
      <c r="E11" s="17" t="s">
        <v>239</v>
      </c>
      <c r="F11" s="16"/>
    </row>
    <row r="12" spans="1:6" x14ac:dyDescent="0.25">
      <c r="A12" s="16" t="s">
        <v>479</v>
      </c>
      <c r="B12" s="9" t="s">
        <v>363</v>
      </c>
      <c r="C12" s="7" t="s">
        <v>496</v>
      </c>
      <c r="D12" s="9" t="s">
        <v>54</v>
      </c>
      <c r="E12" s="17" t="s">
        <v>239</v>
      </c>
      <c r="F12" s="16"/>
    </row>
    <row r="13" spans="1:6" x14ac:dyDescent="0.25">
      <c r="A13" s="9" t="s">
        <v>11</v>
      </c>
      <c r="B13" s="9" t="s">
        <v>149</v>
      </c>
      <c r="C13" s="7" t="s">
        <v>510</v>
      </c>
      <c r="D13" s="9" t="s">
        <v>54</v>
      </c>
      <c r="E13" s="17" t="s">
        <v>239</v>
      </c>
      <c r="F13" s="16"/>
    </row>
    <row r="14" spans="1:6" x14ac:dyDescent="0.25">
      <c r="A14" s="9" t="s">
        <v>11</v>
      </c>
      <c r="B14" s="9" t="s">
        <v>151</v>
      </c>
      <c r="C14" s="7" t="s">
        <v>511</v>
      </c>
      <c r="D14" s="9" t="s">
        <v>54</v>
      </c>
      <c r="E14" s="17" t="s">
        <v>239</v>
      </c>
      <c r="F14" s="16"/>
    </row>
    <row r="15" spans="1:6" x14ac:dyDescent="0.25">
      <c r="A15" s="16" t="s">
        <v>480</v>
      </c>
      <c r="B15" s="9" t="s">
        <v>153</v>
      </c>
      <c r="C15" s="7" t="s">
        <v>494</v>
      </c>
      <c r="D15" s="9" t="s">
        <v>54</v>
      </c>
      <c r="E15" s="17" t="s">
        <v>239</v>
      </c>
      <c r="F15" s="16"/>
    </row>
    <row r="16" spans="1:6" x14ac:dyDescent="0.25">
      <c r="A16" s="16" t="s">
        <v>512</v>
      </c>
      <c r="B16" s="9" t="s">
        <v>154</v>
      </c>
      <c r="C16" s="7" t="s">
        <v>513</v>
      </c>
      <c r="D16" s="9" t="s">
        <v>54</v>
      </c>
      <c r="E16" s="17" t="s">
        <v>239</v>
      </c>
      <c r="F16" s="16"/>
    </row>
    <row r="17" spans="1:6" x14ac:dyDescent="0.25">
      <c r="A17" s="16" t="s">
        <v>479</v>
      </c>
      <c r="B17" s="9" t="s">
        <v>368</v>
      </c>
      <c r="C17" s="7" t="s">
        <v>514</v>
      </c>
      <c r="D17" s="9" t="s">
        <v>54</v>
      </c>
      <c r="E17" s="17" t="s">
        <v>239</v>
      </c>
      <c r="F17" s="16"/>
    </row>
    <row r="18" spans="1:6" x14ac:dyDescent="0.25">
      <c r="A18" s="16" t="s">
        <v>515</v>
      </c>
      <c r="B18" s="9" t="s">
        <v>275</v>
      </c>
      <c r="C18" s="7" t="s">
        <v>494</v>
      </c>
      <c r="D18" s="9" t="s">
        <v>54</v>
      </c>
      <c r="E18" s="17" t="s">
        <v>239</v>
      </c>
      <c r="F18" s="16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2" sqref="C12"/>
    </sheetView>
  </sheetViews>
  <sheetFormatPr defaultRowHeight="15" x14ac:dyDescent="0.25"/>
  <cols>
    <col min="1" max="1" width="15.7109375" bestFit="1" customWidth="1"/>
    <col min="3" max="3" width="40.710937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463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472</v>
      </c>
      <c r="B2" s="9" t="s">
        <v>50</v>
      </c>
      <c r="C2" s="7" t="s">
        <v>493</v>
      </c>
      <c r="D2" s="9" t="s">
        <v>54</v>
      </c>
      <c r="E2" s="17" t="s">
        <v>239</v>
      </c>
      <c r="F2" s="16"/>
    </row>
    <row r="3" spans="1:6" x14ac:dyDescent="0.25">
      <c r="A3" s="16" t="s">
        <v>535</v>
      </c>
      <c r="B3" s="9" t="s">
        <v>100</v>
      </c>
      <c r="C3" s="7" t="s">
        <v>518</v>
      </c>
      <c r="D3" s="9" t="s">
        <v>54</v>
      </c>
      <c r="E3" s="17" t="s">
        <v>239</v>
      </c>
      <c r="F3" s="16"/>
    </row>
    <row r="4" spans="1:6" x14ac:dyDescent="0.25">
      <c r="A4" s="16" t="s">
        <v>516</v>
      </c>
      <c r="B4" s="9" t="s">
        <v>101</v>
      </c>
      <c r="C4" s="7" t="s">
        <v>519</v>
      </c>
      <c r="D4" s="9" t="s">
        <v>54</v>
      </c>
      <c r="E4" s="17" t="s">
        <v>239</v>
      </c>
      <c r="F4" s="16"/>
    </row>
    <row r="5" spans="1:6" x14ac:dyDescent="0.25">
      <c r="A5" s="16" t="s">
        <v>572</v>
      </c>
      <c r="B5" s="9" t="s">
        <v>109</v>
      </c>
      <c r="C5" s="7" t="s">
        <v>520</v>
      </c>
      <c r="D5" s="9" t="s">
        <v>54</v>
      </c>
      <c r="E5" s="17" t="s">
        <v>239</v>
      </c>
      <c r="F5" s="16"/>
    </row>
    <row r="6" spans="1:6" x14ac:dyDescent="0.25">
      <c r="A6" s="9" t="s">
        <v>11</v>
      </c>
      <c r="B6" s="9" t="s">
        <v>146</v>
      </c>
      <c r="C6" s="7" t="s">
        <v>521</v>
      </c>
      <c r="D6" s="9" t="s">
        <v>54</v>
      </c>
      <c r="E6" s="17" t="s">
        <v>239</v>
      </c>
      <c r="F6" s="16"/>
    </row>
    <row r="7" spans="1:6" x14ac:dyDescent="0.25">
      <c r="A7" s="9" t="s">
        <v>11</v>
      </c>
      <c r="B7" s="9" t="s">
        <v>147</v>
      </c>
      <c r="C7" s="7" t="s">
        <v>522</v>
      </c>
      <c r="D7" s="9" t="s">
        <v>54</v>
      </c>
      <c r="E7" s="17" t="s">
        <v>239</v>
      </c>
      <c r="F7" s="16"/>
    </row>
    <row r="8" spans="1:6" x14ac:dyDescent="0.25">
      <c r="A8" s="16" t="s">
        <v>517</v>
      </c>
      <c r="B8" s="9" t="s">
        <v>148</v>
      </c>
      <c r="C8" s="7" t="s">
        <v>523</v>
      </c>
      <c r="D8" s="9" t="s">
        <v>54</v>
      </c>
      <c r="E8" s="17" t="s">
        <v>239</v>
      </c>
      <c r="F8" s="16"/>
    </row>
    <row r="9" spans="1:6" x14ac:dyDescent="0.25">
      <c r="A9" s="16" t="s">
        <v>515</v>
      </c>
      <c r="B9" s="9" t="s">
        <v>274</v>
      </c>
      <c r="C9" s="7" t="s">
        <v>524</v>
      </c>
      <c r="D9" s="9" t="s">
        <v>54</v>
      </c>
      <c r="E9" s="17" t="s">
        <v>239</v>
      </c>
      <c r="F9" s="16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:E4"/>
    </sheetView>
  </sheetViews>
  <sheetFormatPr defaultRowHeight="15" x14ac:dyDescent="0.25"/>
  <cols>
    <col min="1" max="1" width="15.7109375" bestFit="1" customWidth="1"/>
    <col min="3" max="3" width="40.710937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502</v>
      </c>
      <c r="B2" s="9" t="s">
        <v>103</v>
      </c>
      <c r="C2" s="7" t="s">
        <v>494</v>
      </c>
      <c r="D2" s="9" t="s">
        <v>54</v>
      </c>
      <c r="E2" s="17" t="s">
        <v>239</v>
      </c>
      <c r="F2" s="16"/>
    </row>
    <row r="3" spans="1:6" x14ac:dyDescent="0.25">
      <c r="A3" s="16" t="s">
        <v>503</v>
      </c>
      <c r="B3" s="9" t="s">
        <v>284</v>
      </c>
      <c r="C3" s="7" t="s">
        <v>500</v>
      </c>
      <c r="D3" s="9" t="s">
        <v>54</v>
      </c>
      <c r="E3" s="17" t="s">
        <v>239</v>
      </c>
      <c r="F3" s="16"/>
    </row>
    <row r="4" spans="1:6" x14ac:dyDescent="0.25">
      <c r="A4" s="16" t="s">
        <v>479</v>
      </c>
      <c r="B4" s="9" t="s">
        <v>285</v>
      </c>
      <c r="C4" s="7" t="s">
        <v>501</v>
      </c>
      <c r="D4" s="9" t="s">
        <v>54</v>
      </c>
      <c r="E4" s="17" t="s">
        <v>239</v>
      </c>
      <c r="F4" s="16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3" sqref="C3"/>
    </sheetView>
  </sheetViews>
  <sheetFormatPr defaultRowHeight="15" x14ac:dyDescent="0.25"/>
  <cols>
    <col min="1" max="1" width="15.7109375" bestFit="1" customWidth="1"/>
    <col min="3" max="3" width="40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480</v>
      </c>
      <c r="B2" s="9" t="s">
        <v>103</v>
      </c>
      <c r="C2" s="7" t="s">
        <v>494</v>
      </c>
      <c r="D2" s="9" t="s">
        <v>54</v>
      </c>
      <c r="E2" s="17" t="s">
        <v>239</v>
      </c>
      <c r="F2" s="16"/>
    </row>
    <row r="3" spans="1:6" x14ac:dyDescent="0.25">
      <c r="A3" s="16" t="s">
        <v>479</v>
      </c>
      <c r="B3" s="9" t="s">
        <v>104</v>
      </c>
      <c r="C3" s="7" t="s">
        <v>505</v>
      </c>
      <c r="D3" s="9" t="s">
        <v>54</v>
      </c>
      <c r="E3" s="17" t="s">
        <v>239</v>
      </c>
      <c r="F3" s="16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I5" sqref="I5"/>
    </sheetView>
  </sheetViews>
  <sheetFormatPr defaultRowHeight="15" x14ac:dyDescent="0.25"/>
  <cols>
    <col min="1" max="1" width="21.5703125" bestFit="1" customWidth="1"/>
    <col min="2" max="2" width="21.5703125" customWidth="1"/>
    <col min="3" max="3" width="29.5703125" customWidth="1"/>
    <col min="4" max="4" width="32.7109375" bestFit="1" customWidth="1"/>
    <col min="5" max="5" width="14.42578125" customWidth="1"/>
    <col min="6" max="6" width="14.28515625" customWidth="1"/>
    <col min="8" max="8" width="23.140625" style="16" bestFit="1" customWidth="1"/>
  </cols>
  <sheetData>
    <row r="1" spans="1:10" x14ac:dyDescent="0.25">
      <c r="A1" s="2" t="s">
        <v>1</v>
      </c>
      <c r="B1" s="2" t="s">
        <v>56</v>
      </c>
      <c r="C1" s="2" t="s">
        <v>3</v>
      </c>
      <c r="D1" s="2" t="s">
        <v>4</v>
      </c>
      <c r="E1" s="2" t="s">
        <v>45</v>
      </c>
      <c r="F1" s="2" t="s">
        <v>46</v>
      </c>
      <c r="G1" s="2" t="s">
        <v>6</v>
      </c>
      <c r="H1" s="2" t="s">
        <v>162</v>
      </c>
      <c r="I1" s="2" t="s">
        <v>53</v>
      </c>
      <c r="J1" s="17" t="s">
        <v>240</v>
      </c>
    </row>
    <row r="2" spans="1:10" x14ac:dyDescent="0.25">
      <c r="A2" s="1" t="s">
        <v>24</v>
      </c>
      <c r="B2" s="1" t="s">
        <v>137</v>
      </c>
      <c r="C2" s="1" t="s">
        <v>117</v>
      </c>
      <c r="D2" t="s">
        <v>483</v>
      </c>
      <c r="E2" s="6" t="str">
        <f ca="1">TEXT(NOW(),"YYYY-MM-DD")</f>
        <v>2026-09-21</v>
      </c>
      <c r="F2" s="6" t="str">
        <f ca="1">TEXT(NOW(),"YYYY-MM-DD")</f>
        <v>2026-09-21</v>
      </c>
      <c r="G2" s="9" t="s">
        <v>50</v>
      </c>
      <c r="H2" s="15" t="s">
        <v>198</v>
      </c>
      <c r="I2" s="1" t="s">
        <v>54</v>
      </c>
      <c r="J2" s="17" t="s">
        <v>239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15" sqref="G15"/>
    </sheetView>
  </sheetViews>
  <sheetFormatPr defaultRowHeight="15" x14ac:dyDescent="0.25"/>
  <cols>
    <col min="3" max="3" width="17.28515625" bestFit="1" customWidth="1"/>
    <col min="5" max="5" width="23.140625" style="16" bestFit="1" customWidth="1"/>
    <col min="7" max="7" width="19.28515625" bestFit="1" customWidth="1"/>
  </cols>
  <sheetData>
    <row r="1" spans="1:8" x14ac:dyDescent="0.25">
      <c r="A1" s="2" t="s">
        <v>9</v>
      </c>
      <c r="B1" s="2" t="s">
        <v>10</v>
      </c>
      <c r="C1" s="2" t="s">
        <v>28</v>
      </c>
      <c r="D1" s="2" t="s">
        <v>6</v>
      </c>
      <c r="E1" s="2" t="s">
        <v>162</v>
      </c>
      <c r="F1" s="2" t="s">
        <v>53</v>
      </c>
      <c r="G1" s="2" t="s">
        <v>155</v>
      </c>
      <c r="H1" s="2" t="s">
        <v>156</v>
      </c>
    </row>
    <row r="2" spans="1:8" x14ac:dyDescent="0.25">
      <c r="A2" s="7" t="s">
        <v>108</v>
      </c>
      <c r="B2" s="1" t="s">
        <v>11</v>
      </c>
      <c r="C2" t="s">
        <v>288</v>
      </c>
      <c r="D2" s="9" t="s">
        <v>103</v>
      </c>
      <c r="E2" s="15" t="s">
        <v>198</v>
      </c>
      <c r="F2" s="1" t="s">
        <v>54</v>
      </c>
      <c r="H2" t="s">
        <v>157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15" sqref="G15"/>
    </sheetView>
  </sheetViews>
  <sheetFormatPr defaultRowHeight="15" x14ac:dyDescent="0.25"/>
  <cols>
    <col min="1" max="1" width="9.140625" style="16"/>
    <col min="2" max="2" width="25" style="16" bestFit="1" customWidth="1"/>
    <col min="3" max="3" width="9.140625" style="16"/>
    <col min="4" max="4" width="13.5703125" style="16" bestFit="1" customWidth="1"/>
    <col min="5" max="6" width="9.140625" style="16"/>
    <col min="7" max="7" width="11.85546875" style="16" bestFit="1" customWidth="1"/>
    <col min="8" max="16384" width="9.140625" style="16"/>
  </cols>
  <sheetData>
    <row r="1" spans="1:8" x14ac:dyDescent="0.25">
      <c r="A1" s="9" t="s">
        <v>6</v>
      </c>
      <c r="B1" s="9" t="s">
        <v>138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</row>
    <row r="2" spans="1:8" x14ac:dyDescent="0.25">
      <c r="A2" s="9" t="s">
        <v>103</v>
      </c>
      <c r="B2" s="9" t="s">
        <v>243</v>
      </c>
      <c r="C2" s="9" t="s">
        <v>54</v>
      </c>
      <c r="D2" s="14">
        <v>10120.969999999999</v>
      </c>
      <c r="E2" s="14">
        <v>-1012.1</v>
      </c>
      <c r="F2" s="14">
        <v>1726.32</v>
      </c>
      <c r="G2" s="20">
        <v>10835</v>
      </c>
      <c r="H2" s="17" t="s">
        <v>239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9" sqref="J9"/>
    </sheetView>
  </sheetViews>
  <sheetFormatPr defaultRowHeight="15" x14ac:dyDescent="0.25"/>
  <cols>
    <col min="3" max="3" width="13.5703125" bestFit="1" customWidth="1"/>
    <col min="4" max="4" width="9.7109375" bestFit="1" customWidth="1"/>
    <col min="6" max="6" width="11.85546875" bestFit="1" customWidth="1"/>
    <col min="7" max="7" width="19" bestFit="1" customWidth="1"/>
    <col min="8" max="8" width="19.28515625" bestFit="1" customWidth="1"/>
  </cols>
  <sheetData>
    <row r="1" spans="1:8" x14ac:dyDescent="0.25">
      <c r="A1" s="9" t="s">
        <v>6</v>
      </c>
      <c r="B1" s="9" t="s">
        <v>53</v>
      </c>
      <c r="C1" s="9" t="s">
        <v>122</v>
      </c>
      <c r="D1" s="9" t="s">
        <v>123</v>
      </c>
      <c r="E1" s="9" t="s">
        <v>124</v>
      </c>
      <c r="F1" s="9" t="s">
        <v>125</v>
      </c>
      <c r="G1" s="17" t="s">
        <v>248</v>
      </c>
      <c r="H1" s="2" t="s">
        <v>155</v>
      </c>
    </row>
    <row r="2" spans="1:8" x14ac:dyDescent="0.25">
      <c r="A2" s="9" t="s">
        <v>103</v>
      </c>
      <c r="B2" s="9" t="s">
        <v>54</v>
      </c>
      <c r="C2" s="15" t="s">
        <v>439</v>
      </c>
      <c r="D2" s="15" t="s">
        <v>440</v>
      </c>
      <c r="E2" s="15" t="s">
        <v>584</v>
      </c>
      <c r="F2" s="15" t="s">
        <v>680</v>
      </c>
      <c r="G2" s="17" t="s">
        <v>239</v>
      </c>
      <c r="H2" s="16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L10" sqref="L10"/>
    </sheetView>
  </sheetViews>
  <sheetFormatPr defaultRowHeight="15" x14ac:dyDescent="0.25"/>
  <sheetData>
    <row r="1" spans="1:8" s="16" customFormat="1" x14ac:dyDescent="0.25">
      <c r="A1" s="9" t="s">
        <v>6</v>
      </c>
      <c r="B1" s="9" t="s">
        <v>53</v>
      </c>
      <c r="C1" s="9" t="s">
        <v>122</v>
      </c>
      <c r="D1" s="9" t="s">
        <v>123</v>
      </c>
      <c r="E1" s="9" t="s">
        <v>124</v>
      </c>
      <c r="F1" s="9" t="s">
        <v>125</v>
      </c>
      <c r="G1" s="17" t="s">
        <v>248</v>
      </c>
      <c r="H1" s="2" t="s">
        <v>155</v>
      </c>
    </row>
    <row r="2" spans="1:8" s="16" customFormat="1" x14ac:dyDescent="0.25">
      <c r="A2" s="9" t="s">
        <v>103</v>
      </c>
      <c r="B2" s="9" t="s">
        <v>54</v>
      </c>
      <c r="C2" s="15" t="s">
        <v>439</v>
      </c>
      <c r="D2" s="15" t="s">
        <v>440</v>
      </c>
      <c r="E2" s="15" t="s">
        <v>584</v>
      </c>
      <c r="F2" s="15" t="s">
        <v>680</v>
      </c>
      <c r="G2" s="17" t="s">
        <v>239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6" max="6" width="10.28515625" bestFit="1" customWidth="1"/>
    <col min="7" max="7" width="11" bestFit="1" customWidth="1"/>
  </cols>
  <sheetData>
    <row r="1" spans="1:7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x14ac:dyDescent="0.25">
      <c r="A2" s="17" t="s">
        <v>461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308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13" sqref="C13"/>
    </sheetView>
  </sheetViews>
  <sheetFormatPr defaultRowHeight="15" x14ac:dyDescent="0.25"/>
  <cols>
    <col min="1" max="1" width="15.7109375" bestFit="1" customWidth="1"/>
    <col min="3" max="3" width="42.4257812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499</v>
      </c>
      <c r="B2" s="9" t="s">
        <v>103</v>
      </c>
      <c r="C2" s="7" t="s">
        <v>494</v>
      </c>
      <c r="D2" s="9" t="s">
        <v>54</v>
      </c>
      <c r="E2" s="17" t="s">
        <v>239</v>
      </c>
      <c r="F2" s="16"/>
    </row>
    <row r="3" spans="1:6" x14ac:dyDescent="0.25">
      <c r="A3" s="16" t="s">
        <v>479</v>
      </c>
      <c r="B3" s="9" t="s">
        <v>104</v>
      </c>
      <c r="C3" s="7" t="s">
        <v>514</v>
      </c>
      <c r="D3" s="9" t="s">
        <v>54</v>
      </c>
      <c r="E3" s="17" t="s">
        <v>239</v>
      </c>
      <c r="F3" s="16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11" sqref="J11"/>
    </sheetView>
  </sheetViews>
  <sheetFormatPr defaultRowHeight="15" x14ac:dyDescent="0.25"/>
  <cols>
    <col min="1" max="1" width="13.140625" bestFit="1" customWidth="1"/>
    <col min="3" max="3" width="40.7109375" bestFit="1" customWidth="1"/>
    <col min="4" max="4" width="10.2851562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463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572</v>
      </c>
      <c r="B2" s="9" t="s">
        <v>50</v>
      </c>
      <c r="C2" s="7" t="s">
        <v>493</v>
      </c>
      <c r="D2" s="9" t="s">
        <v>54</v>
      </c>
      <c r="E2" s="17" t="s">
        <v>239</v>
      </c>
      <c r="F2" s="16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RowHeight="15" x14ac:dyDescent="0.25"/>
  <cols>
    <col min="1" max="1" width="9.140625" style="16"/>
    <col min="2" max="2" width="39" style="16" customWidth="1"/>
    <col min="3" max="3" width="24.42578125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6" t="s">
        <v>156</v>
      </c>
    </row>
    <row r="2" spans="1:4" x14ac:dyDescent="0.25">
      <c r="A2" s="18" t="s">
        <v>103</v>
      </c>
      <c r="B2" s="7" t="s">
        <v>200</v>
      </c>
      <c r="C2" s="7" t="s">
        <v>202</v>
      </c>
      <c r="D2" s="16" t="s">
        <v>157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9.140625" style="16"/>
    <col min="2" max="2" width="39" style="16" customWidth="1"/>
    <col min="3" max="3" width="22.140625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6" t="s">
        <v>156</v>
      </c>
    </row>
    <row r="2" spans="1:4" x14ac:dyDescent="0.25">
      <c r="A2" s="18" t="s">
        <v>103</v>
      </c>
      <c r="B2" s="7" t="s">
        <v>201</v>
      </c>
      <c r="C2" s="7" t="s">
        <v>158</v>
      </c>
      <c r="D2" s="16" t="s">
        <v>157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3.28515625" bestFit="1" customWidth="1"/>
    <col min="6" max="6" width="10.28515625" bestFit="1" customWidth="1"/>
    <col min="7" max="7" width="11" bestFit="1" customWidth="1"/>
  </cols>
  <sheetData>
    <row r="1" spans="1:7" s="16" customFormat="1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s="16" customFormat="1" x14ac:dyDescent="0.25">
      <c r="A2" s="17" t="s">
        <v>461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308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XFD2"/>
    </sheetView>
  </sheetViews>
  <sheetFormatPr defaultRowHeight="15" x14ac:dyDescent="0.25"/>
  <cols>
    <col min="1" max="1" width="5.7109375" bestFit="1" customWidth="1"/>
    <col min="2" max="2" width="47" bestFit="1" customWidth="1"/>
    <col min="3" max="3" width="10.28515625" bestFit="1" customWidth="1"/>
    <col min="4" max="4" width="14.140625" bestFit="1" customWidth="1"/>
    <col min="5" max="5" width="13.85546875" bestFit="1" customWidth="1"/>
    <col min="6" max="6" width="4" bestFit="1" customWidth="1"/>
    <col min="7" max="7" width="11.85546875" bestFit="1" customWidth="1"/>
    <col min="8" max="8" width="19" bestFit="1" customWidth="1"/>
    <col min="9" max="9" width="19.28515625" bestFit="1" customWidth="1"/>
  </cols>
  <sheetData>
    <row r="1" spans="1:9" s="16" customFormat="1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155</v>
      </c>
    </row>
    <row r="2" spans="1:9" s="16" customFormat="1" x14ac:dyDescent="0.25">
      <c r="A2" s="9" t="s">
        <v>103</v>
      </c>
      <c r="B2" s="7" t="s">
        <v>635</v>
      </c>
      <c r="C2" s="9" t="s">
        <v>54</v>
      </c>
      <c r="D2" s="7" t="s">
        <v>605</v>
      </c>
      <c r="E2" s="7" t="s">
        <v>606</v>
      </c>
      <c r="F2" s="15" t="s">
        <v>607</v>
      </c>
      <c r="G2" s="7" t="s">
        <v>608</v>
      </c>
      <c r="H2" s="17" t="s">
        <v>239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XFD6"/>
    </sheetView>
  </sheetViews>
  <sheetFormatPr defaultRowHeight="15" x14ac:dyDescent="0.25"/>
  <cols>
    <col min="1" max="1" width="13.5703125" bestFit="1" customWidth="1"/>
    <col min="2" max="2" width="13.85546875" bestFit="1" customWidth="1"/>
    <col min="3" max="3" width="12" bestFit="1" customWidth="1"/>
    <col min="4" max="4" width="13.140625" bestFit="1" customWidth="1"/>
    <col min="5" max="5" width="5.7109375" bestFit="1" customWidth="1"/>
    <col min="6" max="6" width="46" bestFit="1" customWidth="1"/>
    <col min="7" max="7" width="10.28515625" bestFit="1" customWidth="1"/>
    <col min="8" max="8" width="19" bestFit="1" customWidth="1"/>
    <col min="9" max="9" width="19.28515625" bestFit="1" customWidth="1"/>
  </cols>
  <sheetData>
    <row r="1" spans="1:9" s="16" customFormat="1" x14ac:dyDescent="0.25">
      <c r="A1" s="9" t="s">
        <v>122</v>
      </c>
      <c r="B1" s="9" t="s">
        <v>123</v>
      </c>
      <c r="C1" s="9" t="s">
        <v>124</v>
      </c>
      <c r="D1" s="9" t="s">
        <v>125</v>
      </c>
      <c r="E1" s="9" t="s">
        <v>6</v>
      </c>
      <c r="F1" s="9" t="s">
        <v>162</v>
      </c>
      <c r="G1" s="9" t="s">
        <v>53</v>
      </c>
      <c r="H1" s="17" t="s">
        <v>248</v>
      </c>
      <c r="I1" s="16" t="s">
        <v>155</v>
      </c>
    </row>
    <row r="2" spans="1:9" s="16" customFormat="1" x14ac:dyDescent="0.25">
      <c r="A2" s="15" t="s">
        <v>609</v>
      </c>
      <c r="B2" s="15" t="s">
        <v>610</v>
      </c>
      <c r="C2" s="25" t="s">
        <v>607</v>
      </c>
      <c r="D2" s="15" t="s">
        <v>611</v>
      </c>
      <c r="E2" s="9" t="s">
        <v>103</v>
      </c>
      <c r="F2" s="7" t="s">
        <v>630</v>
      </c>
      <c r="G2" s="9" t="s">
        <v>54</v>
      </c>
      <c r="H2" s="17" t="s">
        <v>239</v>
      </c>
    </row>
    <row r="3" spans="1:9" s="16" customFormat="1" x14ac:dyDescent="0.25">
      <c r="A3" s="15" t="s">
        <v>413</v>
      </c>
      <c r="B3" s="15" t="s">
        <v>612</v>
      </c>
      <c r="C3" s="15" t="s">
        <v>613</v>
      </c>
      <c r="D3" s="15" t="s">
        <v>614</v>
      </c>
      <c r="E3" s="9" t="s">
        <v>104</v>
      </c>
      <c r="F3" s="7" t="s">
        <v>631</v>
      </c>
      <c r="G3" s="9" t="s">
        <v>54</v>
      </c>
      <c r="H3" s="17" t="s">
        <v>239</v>
      </c>
    </row>
    <row r="4" spans="1:9" s="16" customFormat="1" x14ac:dyDescent="0.25">
      <c r="A4" s="15" t="s">
        <v>428</v>
      </c>
      <c r="B4" s="15" t="s">
        <v>615</v>
      </c>
      <c r="C4" s="15" t="s">
        <v>616</v>
      </c>
      <c r="D4" s="15" t="s">
        <v>617</v>
      </c>
      <c r="E4" s="9" t="s">
        <v>284</v>
      </c>
      <c r="F4" s="7" t="s">
        <v>632</v>
      </c>
      <c r="G4" s="9" t="s">
        <v>54</v>
      </c>
      <c r="H4" s="17" t="s">
        <v>239</v>
      </c>
    </row>
    <row r="5" spans="1:9" s="16" customFormat="1" x14ac:dyDescent="0.25">
      <c r="A5" s="15" t="s">
        <v>429</v>
      </c>
      <c r="B5" s="15" t="s">
        <v>618</v>
      </c>
      <c r="C5" s="15" t="s">
        <v>619</v>
      </c>
      <c r="D5" s="15" t="s">
        <v>620</v>
      </c>
      <c r="E5" s="9" t="s">
        <v>285</v>
      </c>
      <c r="F5" s="7" t="s">
        <v>633</v>
      </c>
      <c r="G5" s="9" t="s">
        <v>54</v>
      </c>
      <c r="H5" s="17" t="s">
        <v>239</v>
      </c>
    </row>
    <row r="6" spans="1:9" s="16" customFormat="1" x14ac:dyDescent="0.25">
      <c r="A6" s="15" t="s">
        <v>430</v>
      </c>
      <c r="B6" s="15" t="s">
        <v>621</v>
      </c>
      <c r="C6" s="15" t="s">
        <v>622</v>
      </c>
      <c r="D6" s="15" t="s">
        <v>623</v>
      </c>
      <c r="E6" s="9" t="s">
        <v>377</v>
      </c>
      <c r="F6" s="7" t="s">
        <v>634</v>
      </c>
      <c r="G6" s="9" t="s">
        <v>54</v>
      </c>
      <c r="H6" s="17" t="s">
        <v>239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XFD6"/>
    </sheetView>
  </sheetViews>
  <sheetFormatPr defaultRowHeight="15" x14ac:dyDescent="0.25"/>
  <cols>
    <col min="1" max="1" width="13.85546875" bestFit="1" customWidth="1"/>
    <col min="2" max="2" width="11.5703125" bestFit="1" customWidth="1"/>
    <col min="3" max="3" width="5.7109375" bestFit="1" customWidth="1"/>
    <col min="4" max="4" width="52.42578125" bestFit="1" customWidth="1"/>
    <col min="5" max="5" width="10.28515625" bestFit="1" customWidth="1"/>
    <col min="6" max="6" width="19" bestFit="1" customWidth="1"/>
    <col min="7" max="7" width="19.28515625" bestFit="1" customWidth="1"/>
  </cols>
  <sheetData>
    <row r="1" spans="1:7" s="16" customFormat="1" x14ac:dyDescent="0.25">
      <c r="A1" s="6" t="s">
        <v>123</v>
      </c>
      <c r="B1" s="9" t="s">
        <v>463</v>
      </c>
      <c r="C1" s="9" t="s">
        <v>6</v>
      </c>
      <c r="D1" s="9" t="s">
        <v>162</v>
      </c>
      <c r="E1" s="9" t="s">
        <v>53</v>
      </c>
      <c r="F1" s="17" t="s">
        <v>248</v>
      </c>
      <c r="G1" s="16" t="s">
        <v>155</v>
      </c>
    </row>
    <row r="2" spans="1:7" s="16" customFormat="1" x14ac:dyDescent="0.25">
      <c r="A2" s="15" t="s">
        <v>624</v>
      </c>
      <c r="B2" s="15" t="s">
        <v>11</v>
      </c>
      <c r="C2" s="9" t="s">
        <v>103</v>
      </c>
      <c r="D2" s="7" t="s">
        <v>625</v>
      </c>
      <c r="E2" s="9" t="s">
        <v>54</v>
      </c>
      <c r="F2" s="17" t="s">
        <v>239</v>
      </c>
    </row>
    <row r="3" spans="1:7" s="16" customFormat="1" x14ac:dyDescent="0.25">
      <c r="A3" s="15" t="s">
        <v>464</v>
      </c>
      <c r="B3" s="15" t="s">
        <v>11</v>
      </c>
      <c r="C3" s="9" t="s">
        <v>104</v>
      </c>
      <c r="D3" s="7" t="s">
        <v>629</v>
      </c>
      <c r="E3" s="9" t="s">
        <v>54</v>
      </c>
      <c r="F3" s="17" t="s">
        <v>239</v>
      </c>
    </row>
    <row r="4" spans="1:7" s="16" customFormat="1" x14ac:dyDescent="0.25">
      <c r="A4" s="15" t="s">
        <v>624</v>
      </c>
      <c r="B4" s="15" t="s">
        <v>11</v>
      </c>
      <c r="C4" s="9" t="s">
        <v>284</v>
      </c>
      <c r="D4" s="7" t="s">
        <v>626</v>
      </c>
      <c r="E4" s="9" t="s">
        <v>54</v>
      </c>
      <c r="F4" s="17" t="s">
        <v>239</v>
      </c>
    </row>
    <row r="5" spans="1:7" s="16" customFormat="1" x14ac:dyDescent="0.25">
      <c r="A5" s="15" t="s">
        <v>464</v>
      </c>
      <c r="B5" s="15" t="s">
        <v>11</v>
      </c>
      <c r="C5" s="9" t="s">
        <v>285</v>
      </c>
      <c r="D5" s="7" t="s">
        <v>627</v>
      </c>
      <c r="E5" s="9" t="s">
        <v>54</v>
      </c>
      <c r="F5" s="17" t="s">
        <v>239</v>
      </c>
    </row>
    <row r="6" spans="1:7" s="16" customFormat="1" x14ac:dyDescent="0.25">
      <c r="A6" s="15" t="s">
        <v>465</v>
      </c>
      <c r="B6" s="15" t="s">
        <v>11</v>
      </c>
      <c r="C6" s="9" t="s">
        <v>377</v>
      </c>
      <c r="D6" s="7" t="s">
        <v>628</v>
      </c>
      <c r="E6" s="9" t="s">
        <v>54</v>
      </c>
      <c r="F6" s="17" t="s">
        <v>239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22.140625" bestFit="1" customWidth="1"/>
    <col min="2" max="2" width="27" customWidth="1"/>
    <col min="3" max="3" width="22.7109375" bestFit="1" customWidth="1"/>
    <col min="4" max="5" width="10.42578125" bestFit="1" customWidth="1"/>
    <col min="7" max="7" width="22.85546875" style="16" bestFit="1" customWidth="1"/>
    <col min="8" max="8" width="10.28515625" bestFit="1" customWidth="1"/>
  </cols>
  <sheetData>
    <row r="1" spans="1:8" x14ac:dyDescent="0.25">
      <c r="A1" s="1" t="s">
        <v>1</v>
      </c>
      <c r="B1" s="2" t="s">
        <v>3</v>
      </c>
      <c r="C1" s="2" t="s">
        <v>4</v>
      </c>
      <c r="D1" s="2" t="s">
        <v>25</v>
      </c>
      <c r="E1" s="2" t="s">
        <v>26</v>
      </c>
      <c r="F1" s="2" t="s">
        <v>6</v>
      </c>
      <c r="G1" s="2" t="s">
        <v>162</v>
      </c>
      <c r="H1" t="s">
        <v>53</v>
      </c>
    </row>
    <row r="2" spans="1:8" x14ac:dyDescent="0.25">
      <c r="A2" s="1" t="s">
        <v>36</v>
      </c>
      <c r="B2" s="1" t="s">
        <v>117</v>
      </c>
      <c r="C2" s="9" t="s">
        <v>484</v>
      </c>
      <c r="D2" s="6" t="str">
        <f ca="1">TEXT(NOW(),"YYYY-MM-DD")</f>
        <v>2026-09-21</v>
      </c>
      <c r="E2" s="6" t="str">
        <f ca="1">TEXT(NOW(),"YYYY-MM-DD")</f>
        <v>2026-09-21</v>
      </c>
      <c r="F2" s="7" t="s">
        <v>50</v>
      </c>
      <c r="G2" s="7" t="s">
        <v>220</v>
      </c>
      <c r="H2" s="1" t="s">
        <v>54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0" sqref="E20"/>
    </sheetView>
  </sheetViews>
  <sheetFormatPr defaultRowHeight="15" x14ac:dyDescent="0.25"/>
  <cols>
    <col min="1" max="1" width="20.7109375" customWidth="1"/>
    <col min="3" max="3" width="23.42578125" customWidth="1"/>
    <col min="4" max="4" width="32.28515625" bestFit="1" customWidth="1"/>
    <col min="5" max="5" width="28" customWidth="1"/>
    <col min="6" max="6" width="12.28515625" customWidth="1"/>
  </cols>
  <sheetData>
    <row r="1" spans="1:6" x14ac:dyDescent="0.25">
      <c r="A1" s="1" t="s">
        <v>51</v>
      </c>
      <c r="B1" s="1" t="s">
        <v>6</v>
      </c>
      <c r="C1" s="2" t="s">
        <v>162</v>
      </c>
      <c r="D1" t="s">
        <v>53</v>
      </c>
      <c r="E1" s="16" t="s">
        <v>155</v>
      </c>
      <c r="F1" s="16" t="s">
        <v>156</v>
      </c>
    </row>
    <row r="2" spans="1:6" x14ac:dyDescent="0.25">
      <c r="A2" s="1" t="s">
        <v>30</v>
      </c>
      <c r="B2" s="7" t="s">
        <v>103</v>
      </c>
      <c r="C2" s="7" t="s">
        <v>220</v>
      </c>
      <c r="D2" s="1" t="s">
        <v>54</v>
      </c>
      <c r="E2" s="16" t="s">
        <v>203</v>
      </c>
      <c r="F2" s="16" t="s">
        <v>157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6" sqref="G16"/>
    </sheetView>
  </sheetViews>
  <sheetFormatPr defaultRowHeight="15" x14ac:dyDescent="0.25"/>
  <cols>
    <col min="1" max="1" width="11.85546875" bestFit="1" customWidth="1"/>
    <col min="2" max="2" width="8.42578125" customWidth="1"/>
    <col min="3" max="3" width="38.140625" bestFit="1" customWidth="1"/>
    <col min="4" max="4" width="10.28515625" bestFit="1" customWidth="1"/>
    <col min="5" max="5" width="19" bestFit="1" customWidth="1"/>
    <col min="6" max="6" width="10.5703125" bestFit="1" customWidth="1"/>
    <col min="7" max="7" width="19.28515625" bestFit="1" customWidth="1"/>
  </cols>
  <sheetData>
    <row r="1" spans="1:7" x14ac:dyDescent="0.25">
      <c r="A1" s="16" t="s">
        <v>125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156</v>
      </c>
      <c r="G1" s="2" t="s">
        <v>155</v>
      </c>
    </row>
    <row r="2" spans="1:7" x14ac:dyDescent="0.25">
      <c r="A2" t="s">
        <v>485</v>
      </c>
      <c r="B2" s="9" t="s">
        <v>50</v>
      </c>
      <c r="C2" s="7" t="s">
        <v>371</v>
      </c>
      <c r="D2" s="9" t="s">
        <v>54</v>
      </c>
      <c r="E2" s="17" t="s">
        <v>239</v>
      </c>
      <c r="F2" s="16" t="s">
        <v>157</v>
      </c>
      <c r="G2" s="16"/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20" sqref="F20"/>
    </sheetView>
  </sheetViews>
  <sheetFormatPr defaultRowHeight="15" x14ac:dyDescent="0.25"/>
  <cols>
    <col min="1" max="1" width="10.42578125" style="16" bestFit="1" customWidth="1"/>
    <col min="2" max="2" width="22" style="16" bestFit="1" customWidth="1"/>
    <col min="3" max="3" width="10.5703125" style="16" bestFit="1" customWidth="1"/>
    <col min="4" max="16384" width="9.140625" style="16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17" t="s">
        <v>161</v>
      </c>
      <c r="C2" s="16" t="s">
        <v>157</v>
      </c>
    </row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2" max="2" width="22" bestFit="1" customWidth="1"/>
    <col min="3" max="3" width="10.5703125" bestFit="1" customWidth="1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18" t="s">
        <v>147</v>
      </c>
      <c r="B2" s="17" t="s">
        <v>161</v>
      </c>
      <c r="C2" s="16" t="s">
        <v>157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80</v>
      </c>
      <c r="B1" t="s">
        <v>53</v>
      </c>
    </row>
    <row r="2" spans="1:2" x14ac:dyDescent="0.25">
      <c r="A2" t="s">
        <v>102</v>
      </c>
      <c r="B2" s="1" t="s">
        <v>54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cols>
    <col min="1" max="1" width="26.5703125" bestFit="1" customWidth="1"/>
  </cols>
  <sheetData>
    <row r="1" spans="1:1" x14ac:dyDescent="0.25">
      <c r="A1" t="s">
        <v>92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I2" sqref="I2"/>
    </sheetView>
  </sheetViews>
  <sheetFormatPr defaultRowHeight="15" x14ac:dyDescent="0.25"/>
  <cols>
    <col min="1" max="1" width="21" bestFit="1" customWidth="1"/>
    <col min="2" max="2" width="18" bestFit="1" customWidth="1"/>
    <col min="3" max="3" width="19" bestFit="1" customWidth="1"/>
    <col min="4" max="4" width="31.140625" bestFit="1" customWidth="1"/>
    <col min="5" max="5" width="41.140625" bestFit="1" customWidth="1"/>
    <col min="6" max="6" width="16" bestFit="1" customWidth="1"/>
    <col min="7" max="7" width="15" bestFit="1" customWidth="1"/>
    <col min="8" max="8" width="13.140625" bestFit="1" customWidth="1"/>
  </cols>
  <sheetData>
    <row r="1" spans="1:11" x14ac:dyDescent="0.25">
      <c r="A1" s="1" t="s">
        <v>12</v>
      </c>
      <c r="B1" s="1" t="s">
        <v>13</v>
      </c>
      <c r="C1" s="1" t="s">
        <v>2</v>
      </c>
      <c r="D1" s="1" t="s">
        <v>14</v>
      </c>
      <c r="E1" s="1" t="s">
        <v>3</v>
      </c>
      <c r="F1" s="1" t="s">
        <v>15</v>
      </c>
      <c r="G1" s="1" t="s">
        <v>16</v>
      </c>
      <c r="H1" s="1" t="s">
        <v>17</v>
      </c>
      <c r="I1" s="1" t="s">
        <v>6</v>
      </c>
      <c r="J1" s="1" t="s">
        <v>81</v>
      </c>
      <c r="K1" t="s">
        <v>53</v>
      </c>
    </row>
    <row r="2" spans="1:11" x14ac:dyDescent="0.25">
      <c r="A2" s="1" t="s">
        <v>27</v>
      </c>
      <c r="B2" s="1" t="s">
        <v>19</v>
      </c>
      <c r="C2" s="1" t="s">
        <v>137</v>
      </c>
      <c r="D2" s="1" t="s">
        <v>135</v>
      </c>
      <c r="E2" s="1" t="s">
        <v>121</v>
      </c>
      <c r="F2" s="1" t="s">
        <v>20</v>
      </c>
      <c r="G2" s="1" t="s">
        <v>18</v>
      </c>
      <c r="H2" s="6" t="str">
        <f ca="1">TEXT(NOW(),"YYYY-MM-DD")</f>
        <v>2026-09-21</v>
      </c>
      <c r="I2" s="7" t="s">
        <v>50</v>
      </c>
      <c r="J2" t="s">
        <v>82</v>
      </c>
      <c r="K2" s="1" t="s">
        <v>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1" max="16384" width="9.140625" style="16"/>
  </cols>
  <sheetData>
    <row r="1" spans="1:3" x14ac:dyDescent="0.25">
      <c r="A1" s="17" t="s">
        <v>6</v>
      </c>
      <c r="B1" s="16" t="s">
        <v>223</v>
      </c>
      <c r="C1" s="16" t="s">
        <v>53</v>
      </c>
    </row>
    <row r="2" spans="1:3" x14ac:dyDescent="0.25">
      <c r="A2" s="18" t="s">
        <v>50</v>
      </c>
      <c r="B2" s="16" t="s">
        <v>82</v>
      </c>
      <c r="C2" s="16" t="s">
        <v>54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F17" sqref="F17"/>
    </sheetView>
  </sheetViews>
  <sheetFormatPr defaultRowHeight="15" x14ac:dyDescent="0.25"/>
  <cols>
    <col min="2" max="2" width="10.140625" bestFit="1" customWidth="1"/>
    <col min="3" max="3" width="11.5703125" style="16" bestFit="1" customWidth="1"/>
    <col min="4" max="4" width="12.5703125" bestFit="1" customWidth="1"/>
    <col min="5" max="5" width="14.140625" style="16" bestFit="1" customWidth="1"/>
    <col min="6" max="6" width="11.42578125" style="16" bestFit="1" customWidth="1"/>
    <col min="8" max="8" width="10.28515625" bestFit="1" customWidth="1"/>
    <col min="9" max="9" width="19" style="16" bestFit="1" customWidth="1"/>
    <col min="10" max="10" width="19.28515625" bestFit="1" customWidth="1"/>
    <col min="11" max="11" width="10.5703125" bestFit="1" customWidth="1"/>
  </cols>
  <sheetData>
    <row r="1" spans="1:11" x14ac:dyDescent="0.25">
      <c r="A1" s="17" t="s">
        <v>21</v>
      </c>
      <c r="B1" s="17" t="s">
        <v>291</v>
      </c>
      <c r="C1" s="16" t="s">
        <v>289</v>
      </c>
      <c r="D1" s="17" t="s">
        <v>292</v>
      </c>
      <c r="E1" s="17" t="s">
        <v>122</v>
      </c>
      <c r="F1" s="17" t="s">
        <v>417</v>
      </c>
      <c r="G1" s="17" t="s">
        <v>6</v>
      </c>
      <c r="H1" s="16" t="s">
        <v>53</v>
      </c>
      <c r="I1" s="16" t="s">
        <v>248</v>
      </c>
      <c r="J1" s="16" t="s">
        <v>155</v>
      </c>
      <c r="K1" s="17" t="s">
        <v>156</v>
      </c>
    </row>
    <row r="2" spans="1:11" x14ac:dyDescent="0.25">
      <c r="A2" s="17" t="s">
        <v>303</v>
      </c>
      <c r="B2" s="17" t="s">
        <v>304</v>
      </c>
      <c r="C2" s="17" t="s">
        <v>299</v>
      </c>
      <c r="D2" s="17" t="s">
        <v>299</v>
      </c>
      <c r="E2" s="9" t="s">
        <v>441</v>
      </c>
      <c r="F2" s="15" t="s">
        <v>442</v>
      </c>
      <c r="G2" s="7" t="s">
        <v>103</v>
      </c>
      <c r="H2" s="17" t="s">
        <v>54</v>
      </c>
      <c r="I2" s="17" t="s">
        <v>239</v>
      </c>
      <c r="J2" s="16" t="s">
        <v>300</v>
      </c>
      <c r="K2" s="16" t="s">
        <v>157</v>
      </c>
    </row>
    <row r="3" spans="1:11" x14ac:dyDescent="0.25">
      <c r="A3" s="17" t="s">
        <v>303</v>
      </c>
      <c r="B3" s="17" t="s">
        <v>304</v>
      </c>
      <c r="C3" s="17" t="s">
        <v>299</v>
      </c>
      <c r="D3" s="17" t="s">
        <v>299</v>
      </c>
      <c r="E3" s="9" t="s">
        <v>486</v>
      </c>
      <c r="F3" s="15" t="s">
        <v>487</v>
      </c>
      <c r="G3" s="7" t="s">
        <v>104</v>
      </c>
      <c r="H3" s="17" t="s">
        <v>54</v>
      </c>
      <c r="I3" s="17" t="s">
        <v>54</v>
      </c>
      <c r="J3" s="16"/>
      <c r="K3" s="16" t="s">
        <v>157</v>
      </c>
    </row>
    <row r="4" spans="1:11" x14ac:dyDescent="0.25">
      <c r="A4" s="17" t="s">
        <v>303</v>
      </c>
      <c r="B4" s="17" t="s">
        <v>304</v>
      </c>
      <c r="C4" s="17" t="s">
        <v>299</v>
      </c>
      <c r="D4" s="17" t="s">
        <v>299</v>
      </c>
      <c r="E4" s="9" t="s">
        <v>488</v>
      </c>
      <c r="F4" s="15" t="s">
        <v>489</v>
      </c>
      <c r="G4" s="7" t="s">
        <v>284</v>
      </c>
      <c r="H4" s="17" t="s">
        <v>54</v>
      </c>
      <c r="I4" s="17" t="s">
        <v>54</v>
      </c>
      <c r="J4" s="16"/>
      <c r="K4" s="16" t="s">
        <v>157</v>
      </c>
    </row>
    <row r="5" spans="1:11" x14ac:dyDescent="0.25">
      <c r="A5" s="17" t="s">
        <v>303</v>
      </c>
      <c r="B5" s="17" t="s">
        <v>304</v>
      </c>
      <c r="C5" s="17" t="s">
        <v>299</v>
      </c>
      <c r="D5" s="17" t="s">
        <v>299</v>
      </c>
      <c r="E5" s="9" t="s">
        <v>443</v>
      </c>
      <c r="F5" s="15" t="s">
        <v>444</v>
      </c>
      <c r="G5" s="7" t="s">
        <v>285</v>
      </c>
      <c r="H5" s="17" t="s">
        <v>54</v>
      </c>
      <c r="I5" s="17" t="s">
        <v>54</v>
      </c>
      <c r="J5" s="16"/>
      <c r="K5" s="16" t="s">
        <v>157</v>
      </c>
    </row>
    <row r="6" spans="1:11" x14ac:dyDescent="0.25">
      <c r="A6" s="17" t="s">
        <v>303</v>
      </c>
      <c r="B6" s="17" t="s">
        <v>304</v>
      </c>
      <c r="C6" s="17" t="s">
        <v>299</v>
      </c>
      <c r="D6" s="17" t="s">
        <v>299</v>
      </c>
      <c r="E6" s="9" t="s">
        <v>490</v>
      </c>
      <c r="F6" s="15" t="s">
        <v>491</v>
      </c>
      <c r="G6" s="7" t="s">
        <v>377</v>
      </c>
      <c r="H6" s="17" t="s">
        <v>54</v>
      </c>
      <c r="I6" s="17" t="s">
        <v>54</v>
      </c>
      <c r="J6" s="16"/>
      <c r="K6" s="16" t="s">
        <v>157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A2"/>
    </sheetView>
  </sheetViews>
  <sheetFormatPr defaultRowHeight="15" x14ac:dyDescent="0.25"/>
  <cols>
    <col min="1" max="1" width="20.28515625" style="16" bestFit="1" customWidth="1"/>
    <col min="2" max="16384" width="9.140625" style="16"/>
  </cols>
  <sheetData>
    <row r="1" spans="1:3" x14ac:dyDescent="0.25">
      <c r="A1" s="16" t="s">
        <v>80</v>
      </c>
      <c r="B1" s="16" t="s">
        <v>53</v>
      </c>
      <c r="C1" s="16" t="s">
        <v>6</v>
      </c>
    </row>
    <row r="2" spans="1:3" x14ac:dyDescent="0.25">
      <c r="A2" s="16" t="s">
        <v>102</v>
      </c>
      <c r="B2" s="17" t="s">
        <v>54</v>
      </c>
      <c r="C2" s="9" t="s">
        <v>50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9.140625" style="16"/>
    <col min="2" max="2" width="20.140625" style="16" customWidth="1"/>
    <col min="3" max="3" width="19.28515625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103</v>
      </c>
      <c r="B2" s="18" t="s">
        <v>206</v>
      </c>
      <c r="C2" s="17" t="s">
        <v>205</v>
      </c>
      <c r="D2" s="16" t="s">
        <v>157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30" sqref="F30"/>
    </sheetView>
  </sheetViews>
  <sheetFormatPr defaultRowHeight="15" x14ac:dyDescent="0.25"/>
  <cols>
    <col min="1" max="1" width="9.140625" style="16"/>
    <col min="2" max="2" width="20.140625" style="16" customWidth="1"/>
    <col min="3" max="3" width="22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207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M19" sqref="M19"/>
    </sheetView>
  </sheetViews>
  <sheetFormatPr defaultRowHeight="15" x14ac:dyDescent="0.25"/>
  <cols>
    <col min="1" max="1" width="20.28515625" style="16" bestFit="1" customWidth="1"/>
    <col min="2" max="16384" width="9.140625" style="16"/>
  </cols>
  <sheetData>
    <row r="1" spans="1:3" x14ac:dyDescent="0.25">
      <c r="A1" s="16" t="s">
        <v>80</v>
      </c>
      <c r="B1" s="16" t="s">
        <v>53</v>
      </c>
      <c r="C1" s="16" t="s">
        <v>6</v>
      </c>
    </row>
    <row r="2" spans="1:3" x14ac:dyDescent="0.25">
      <c r="A2" s="16" t="s">
        <v>102</v>
      </c>
      <c r="B2" s="17" t="s">
        <v>54</v>
      </c>
      <c r="C2" s="9" t="s">
        <v>50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3" sqref="C13"/>
    </sheetView>
  </sheetViews>
  <sheetFormatPr defaultRowHeight="15" x14ac:dyDescent="0.25"/>
  <cols>
    <col min="1" max="1" width="3.28515625" style="16" bestFit="1" customWidth="1"/>
    <col min="2" max="2" width="20.5703125" style="16" bestFit="1" customWidth="1"/>
    <col min="3" max="3" width="22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234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8" sqref="D18"/>
    </sheetView>
  </sheetViews>
  <sheetFormatPr defaultRowHeight="15" x14ac:dyDescent="0.25"/>
  <cols>
    <col min="1" max="1" width="9.140625" style="16"/>
    <col min="2" max="2" width="20.140625" style="16" customWidth="1"/>
    <col min="3" max="3" width="22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234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workbookViewId="0">
      <selection activeCell="E11" sqref="E11"/>
    </sheetView>
  </sheetViews>
  <sheetFormatPr defaultRowHeight="15" x14ac:dyDescent="0.25"/>
  <cols>
    <col min="1" max="1" width="21" bestFit="1" customWidth="1"/>
    <col min="2" max="3" width="10.42578125" bestFit="1" customWidth="1"/>
    <col min="4" max="4" width="32.7109375" bestFit="1" customWidth="1"/>
    <col min="5" max="5" width="32.7109375" customWidth="1"/>
    <col min="8" max="8" width="25.140625" bestFit="1" customWidth="1"/>
    <col min="9" max="9" width="10.5703125" bestFit="1" customWidth="1"/>
    <col min="10" max="10" width="16.5703125" bestFit="1" customWidth="1"/>
  </cols>
  <sheetData>
    <row r="1" spans="1:10" x14ac:dyDescent="0.25">
      <c r="A1" s="1" t="s">
        <v>23</v>
      </c>
      <c r="B1" s="1" t="s">
        <v>25</v>
      </c>
      <c r="C1" s="1" t="s">
        <v>26</v>
      </c>
      <c r="D1" t="s">
        <v>4</v>
      </c>
      <c r="E1" t="s">
        <v>118</v>
      </c>
      <c r="F1" s="1" t="s">
        <v>6</v>
      </c>
      <c r="G1" t="s">
        <v>53</v>
      </c>
      <c r="H1" s="16" t="s">
        <v>155</v>
      </c>
      <c r="I1" s="17" t="s">
        <v>156</v>
      </c>
      <c r="J1" s="17" t="s">
        <v>240</v>
      </c>
    </row>
    <row r="2" spans="1:10" x14ac:dyDescent="0.25">
      <c r="A2" s="1" t="s">
        <v>27</v>
      </c>
      <c r="B2" s="6" t="str">
        <f ca="1">TEXT(NOW(),"YYYY-MM-DD")</f>
        <v>2026-09-21</v>
      </c>
      <c r="C2" s="6" t="str">
        <f ca="1">TEXT(NOW(),"YYYY-MM-DD")</f>
        <v>2026-09-21</v>
      </c>
      <c r="D2" s="1" t="s">
        <v>492</v>
      </c>
      <c r="E2" s="1" t="s">
        <v>221</v>
      </c>
      <c r="F2" s="7" t="s">
        <v>146</v>
      </c>
      <c r="G2" s="1" t="s">
        <v>54</v>
      </c>
      <c r="H2" s="17" t="s">
        <v>208</v>
      </c>
      <c r="I2" s="17" t="s">
        <v>157</v>
      </c>
      <c r="J2" s="17" t="s">
        <v>239</v>
      </c>
    </row>
    <row r="3" spans="1:10" x14ac:dyDescent="0.25">
      <c r="B3" s="6"/>
      <c r="C3" s="6"/>
    </row>
    <row r="4" spans="1:10" x14ac:dyDescent="0.25">
      <c r="B4" s="6"/>
      <c r="C4" s="6"/>
    </row>
    <row r="5" spans="1:10" x14ac:dyDescent="0.25">
      <c r="B5" s="6"/>
      <c r="C5" s="6"/>
    </row>
    <row r="6" spans="1:10" x14ac:dyDescent="0.25">
      <c r="B6" s="6"/>
      <c r="C6" s="6"/>
    </row>
    <row r="7" spans="1:10" x14ac:dyDescent="0.25">
      <c r="B7" s="6"/>
      <c r="C7" s="6"/>
    </row>
    <row r="8" spans="1:10" x14ac:dyDescent="0.25">
      <c r="B8" s="6"/>
      <c r="C8" s="6"/>
    </row>
    <row r="9" spans="1:10" x14ac:dyDescent="0.25">
      <c r="B9" s="6"/>
      <c r="C9" s="6"/>
    </row>
    <row r="10" spans="1:10" x14ac:dyDescent="0.25">
      <c r="B10" s="6"/>
      <c r="C10" s="6"/>
    </row>
    <row r="11" spans="1:10" x14ac:dyDescent="0.25">
      <c r="B11" s="6"/>
      <c r="C11" s="6"/>
    </row>
    <row r="12" spans="1:10" x14ac:dyDescent="0.25">
      <c r="B12" s="6"/>
      <c r="C12" s="6"/>
    </row>
    <row r="13" spans="1:10" x14ac:dyDescent="0.25">
      <c r="B13" s="6"/>
      <c r="C13" s="6"/>
    </row>
    <row r="14" spans="1:10" x14ac:dyDescent="0.25">
      <c r="B14" s="6"/>
      <c r="C14" s="6"/>
    </row>
    <row r="15" spans="1:10" x14ac:dyDescent="0.25">
      <c r="B15" s="6"/>
      <c r="C15" s="6"/>
    </row>
    <row r="16" spans="1:10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B29" s="6"/>
      <c r="C29" s="6"/>
    </row>
    <row r="30" spans="2:3" x14ac:dyDescent="0.25">
      <c r="B30" s="6"/>
      <c r="C30" s="6"/>
    </row>
    <row r="31" spans="2:3" x14ac:dyDescent="0.25">
      <c r="B31" s="6"/>
      <c r="C31" s="6"/>
    </row>
    <row r="32" spans="2:3" x14ac:dyDescent="0.25">
      <c r="B32" s="6"/>
      <c r="C32" s="6"/>
    </row>
    <row r="33" spans="2:3" x14ac:dyDescent="0.25">
      <c r="B33" s="6"/>
      <c r="C33" s="6"/>
    </row>
    <row r="34" spans="2:3" x14ac:dyDescent="0.25">
      <c r="B34" s="6"/>
      <c r="C34" s="6"/>
    </row>
    <row r="35" spans="2:3" x14ac:dyDescent="0.25">
      <c r="B35" s="6"/>
      <c r="C35" s="6"/>
    </row>
    <row r="36" spans="2:3" x14ac:dyDescent="0.25">
      <c r="B36" s="6"/>
      <c r="C36" s="6"/>
    </row>
    <row r="37" spans="2:3" x14ac:dyDescent="0.25">
      <c r="B37" s="6"/>
      <c r="C37" s="6"/>
    </row>
    <row r="38" spans="2:3" x14ac:dyDescent="0.25">
      <c r="B38" s="6"/>
      <c r="C38" s="6"/>
    </row>
    <row r="39" spans="2:3" x14ac:dyDescent="0.25">
      <c r="B39" s="6"/>
      <c r="C39" s="6"/>
    </row>
    <row r="40" spans="2:3" x14ac:dyDescent="0.25">
      <c r="B40" s="6"/>
      <c r="C40" s="6"/>
    </row>
    <row r="41" spans="2:3" x14ac:dyDescent="0.25">
      <c r="B41" s="6"/>
      <c r="C41" s="6"/>
    </row>
    <row r="42" spans="2:3" x14ac:dyDescent="0.25">
      <c r="B42" s="6"/>
      <c r="C42" s="6"/>
    </row>
    <row r="43" spans="2:3" x14ac:dyDescent="0.25">
      <c r="B43" s="6"/>
      <c r="C43" s="6"/>
    </row>
    <row r="44" spans="2:3" x14ac:dyDescent="0.25">
      <c r="B44" s="6"/>
      <c r="C44" s="6"/>
    </row>
    <row r="45" spans="2:3" x14ac:dyDescent="0.25">
      <c r="B45" s="6"/>
      <c r="C45" s="6"/>
    </row>
    <row r="46" spans="2:3" x14ac:dyDescent="0.25">
      <c r="B46" s="6"/>
      <c r="C46" s="6"/>
    </row>
    <row r="47" spans="2:3" x14ac:dyDescent="0.25">
      <c r="B47" s="6"/>
      <c r="C47" s="6"/>
    </row>
    <row r="48" spans="2:3" x14ac:dyDescent="0.25">
      <c r="B48" s="6"/>
      <c r="C48" s="6"/>
    </row>
    <row r="49" spans="2:3" x14ac:dyDescent="0.25">
      <c r="B49" s="6"/>
      <c r="C49" s="6"/>
    </row>
    <row r="50" spans="2:3" x14ac:dyDescent="0.25">
      <c r="B50" s="6"/>
      <c r="C50" s="6"/>
    </row>
    <row r="51" spans="2:3" x14ac:dyDescent="0.25">
      <c r="B51" s="6"/>
      <c r="C51" s="6"/>
    </row>
    <row r="52" spans="2:3" x14ac:dyDescent="0.25">
      <c r="B52" s="6"/>
      <c r="C52" s="6"/>
    </row>
    <row r="53" spans="2:3" x14ac:dyDescent="0.25">
      <c r="B53" s="6"/>
      <c r="C53" s="6"/>
    </row>
    <row r="54" spans="2:3" x14ac:dyDescent="0.25">
      <c r="B54" s="6"/>
      <c r="C54" s="6"/>
    </row>
    <row r="55" spans="2:3" x14ac:dyDescent="0.25">
      <c r="B55" s="6"/>
      <c r="C55" s="6"/>
    </row>
    <row r="56" spans="2:3" x14ac:dyDescent="0.25">
      <c r="B56" s="6"/>
      <c r="C56" s="6"/>
    </row>
    <row r="57" spans="2:3" x14ac:dyDescent="0.25">
      <c r="B57" s="6"/>
      <c r="C57" s="6"/>
    </row>
    <row r="58" spans="2:3" x14ac:dyDescent="0.25">
      <c r="B58" s="6"/>
      <c r="C58" s="6"/>
    </row>
    <row r="59" spans="2:3" x14ac:dyDescent="0.25">
      <c r="B59" s="6"/>
      <c r="C59" s="6"/>
    </row>
    <row r="60" spans="2:3" x14ac:dyDescent="0.25">
      <c r="B60" s="6"/>
      <c r="C60" s="6"/>
    </row>
    <row r="61" spans="2:3" x14ac:dyDescent="0.25">
      <c r="B61" s="6"/>
      <c r="C61" s="6"/>
    </row>
    <row r="62" spans="2:3" x14ac:dyDescent="0.25">
      <c r="B62" s="6"/>
      <c r="C62" s="6"/>
    </row>
    <row r="63" spans="2:3" x14ac:dyDescent="0.25">
      <c r="B63" s="6"/>
      <c r="C63" s="6"/>
    </row>
    <row r="64" spans="2:3" x14ac:dyDescent="0.25">
      <c r="B64" s="6"/>
      <c r="C64" s="6"/>
    </row>
    <row r="65" spans="2:3" x14ac:dyDescent="0.25">
      <c r="B65" s="6"/>
      <c r="C65" s="6"/>
    </row>
    <row r="66" spans="2:3" x14ac:dyDescent="0.25">
      <c r="B66" s="6"/>
      <c r="C66" s="6"/>
    </row>
    <row r="67" spans="2:3" x14ac:dyDescent="0.25">
      <c r="B67" s="6"/>
      <c r="C67" s="6"/>
    </row>
    <row r="68" spans="2:3" x14ac:dyDescent="0.25">
      <c r="B68" s="6"/>
      <c r="C68" s="6"/>
    </row>
    <row r="69" spans="2:3" x14ac:dyDescent="0.25">
      <c r="B69" s="6"/>
      <c r="C69" s="6"/>
    </row>
    <row r="70" spans="2:3" x14ac:dyDescent="0.25">
      <c r="B70" s="6"/>
      <c r="C70" s="6"/>
    </row>
    <row r="71" spans="2:3" x14ac:dyDescent="0.25">
      <c r="B71" s="6"/>
      <c r="C71" s="6"/>
    </row>
    <row r="72" spans="2:3" x14ac:dyDescent="0.25">
      <c r="B72" s="6"/>
      <c r="C72" s="6"/>
    </row>
    <row r="73" spans="2:3" x14ac:dyDescent="0.25">
      <c r="B73" s="6"/>
      <c r="C73" s="6"/>
    </row>
    <row r="74" spans="2:3" x14ac:dyDescent="0.25">
      <c r="B74" s="6"/>
      <c r="C74" s="6"/>
    </row>
    <row r="75" spans="2:3" x14ac:dyDescent="0.25">
      <c r="B75" s="6"/>
      <c r="C75" s="6"/>
    </row>
    <row r="76" spans="2:3" x14ac:dyDescent="0.25">
      <c r="B76" s="6"/>
      <c r="C76" s="6"/>
    </row>
    <row r="77" spans="2:3" x14ac:dyDescent="0.25">
      <c r="B77" s="6"/>
      <c r="C77" s="6"/>
    </row>
    <row r="78" spans="2:3" x14ac:dyDescent="0.25">
      <c r="B78" s="6"/>
      <c r="C78" s="6"/>
    </row>
    <row r="79" spans="2:3" x14ac:dyDescent="0.25">
      <c r="B79" s="6"/>
      <c r="C79" s="6"/>
    </row>
    <row r="80" spans="2:3" x14ac:dyDescent="0.25">
      <c r="B80" s="6"/>
      <c r="C80" s="6"/>
    </row>
    <row r="81" spans="2:3" x14ac:dyDescent="0.25">
      <c r="B81" s="6"/>
      <c r="C81" s="6"/>
    </row>
    <row r="82" spans="2:3" x14ac:dyDescent="0.25">
      <c r="B82" s="6"/>
      <c r="C82" s="6"/>
    </row>
    <row r="83" spans="2:3" x14ac:dyDescent="0.25">
      <c r="B83" s="6"/>
      <c r="C83" s="6"/>
    </row>
    <row r="84" spans="2:3" x14ac:dyDescent="0.25">
      <c r="B84" s="6"/>
      <c r="C84" s="6"/>
    </row>
    <row r="85" spans="2:3" x14ac:dyDescent="0.25">
      <c r="B85" s="6"/>
      <c r="C85" s="6"/>
    </row>
    <row r="86" spans="2:3" x14ac:dyDescent="0.25">
      <c r="B86" s="6"/>
      <c r="C86" s="6"/>
    </row>
    <row r="87" spans="2:3" x14ac:dyDescent="0.25">
      <c r="B87" s="6"/>
      <c r="C87" s="6"/>
    </row>
    <row r="88" spans="2:3" x14ac:dyDescent="0.25">
      <c r="B88" s="6"/>
      <c r="C88" s="6"/>
    </row>
    <row r="89" spans="2:3" x14ac:dyDescent="0.25">
      <c r="B89" s="6"/>
      <c r="C89" s="6"/>
    </row>
    <row r="90" spans="2:3" x14ac:dyDescent="0.25">
      <c r="B90" s="6"/>
      <c r="C90" s="6"/>
    </row>
    <row r="91" spans="2:3" x14ac:dyDescent="0.25">
      <c r="B91" s="6"/>
      <c r="C91" s="6"/>
    </row>
    <row r="92" spans="2:3" x14ac:dyDescent="0.25">
      <c r="B92" s="6"/>
      <c r="C92" s="6"/>
    </row>
    <row r="93" spans="2:3" x14ac:dyDescent="0.25">
      <c r="B93" s="6"/>
      <c r="C93" s="6"/>
    </row>
    <row r="94" spans="2:3" x14ac:dyDescent="0.25">
      <c r="B94" s="6"/>
      <c r="C94" s="6"/>
    </row>
    <row r="95" spans="2:3" x14ac:dyDescent="0.25">
      <c r="B95" s="6"/>
      <c r="C95" s="6"/>
    </row>
    <row r="96" spans="2:3" x14ac:dyDescent="0.25">
      <c r="B96" s="6"/>
      <c r="C96" s="6"/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/>
    </row>
    <row r="196" spans="2:3" x14ac:dyDescent="0.25">
      <c r="B196" s="6"/>
      <c r="C196" s="6"/>
    </row>
    <row r="197" spans="2:3" x14ac:dyDescent="0.25">
      <c r="B197" s="6"/>
      <c r="C197" s="6"/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.42578125" bestFit="1" customWidth="1"/>
    <col min="3" max="3" width="15.42578125" bestFit="1" customWidth="1"/>
    <col min="4" max="4" width="15.42578125" customWidth="1"/>
    <col min="5" max="5" width="10.28515625" bestFit="1" customWidth="1"/>
    <col min="6" max="6" width="16.28515625" bestFit="1" customWidth="1"/>
    <col min="7" max="7" width="10.5703125" bestFit="1" customWidth="1"/>
  </cols>
  <sheetData>
    <row r="1" spans="1:7" x14ac:dyDescent="0.25">
      <c r="A1" s="1" t="s">
        <v>47</v>
      </c>
      <c r="B1" s="1" t="s">
        <v>29</v>
      </c>
      <c r="C1" s="17" t="s">
        <v>28</v>
      </c>
      <c r="D1" s="1" t="s">
        <v>6</v>
      </c>
      <c r="E1" s="1" t="s">
        <v>53</v>
      </c>
      <c r="F1" s="16" t="s">
        <v>155</v>
      </c>
      <c r="G1" s="17" t="s">
        <v>156</v>
      </c>
    </row>
    <row r="2" spans="1:7" x14ac:dyDescent="0.25">
      <c r="A2" s="1" t="s">
        <v>107</v>
      </c>
      <c r="B2" s="1" t="s">
        <v>11</v>
      </c>
      <c r="C2" s="17" t="s">
        <v>312</v>
      </c>
      <c r="D2" s="7" t="s">
        <v>149</v>
      </c>
      <c r="E2" s="1" t="s">
        <v>54</v>
      </c>
      <c r="G2" t="s">
        <v>157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8" sqref="G8"/>
    </sheetView>
  </sheetViews>
  <sheetFormatPr defaultRowHeight="15" x14ac:dyDescent="0.25"/>
  <cols>
    <col min="2" max="2" width="24.42578125" bestFit="1" customWidth="1"/>
    <col min="3" max="3" width="10.28515625" bestFit="1" customWidth="1"/>
    <col min="4" max="4" width="13.5703125" bestFit="1" customWidth="1"/>
    <col min="5" max="5" width="12" bestFit="1" customWidth="1"/>
    <col min="6" max="6" width="12.42578125" bestFit="1" customWidth="1"/>
    <col min="7" max="7" width="13.140625" bestFit="1" customWidth="1"/>
    <col min="8" max="8" width="19" bestFit="1" customWidth="1"/>
    <col min="10" max="10" width="19.28515625" bestFit="1" customWidth="1"/>
  </cols>
  <sheetData>
    <row r="1" spans="1:10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156</v>
      </c>
      <c r="J1" s="2" t="s">
        <v>155</v>
      </c>
    </row>
    <row r="2" spans="1:10" x14ac:dyDescent="0.25">
      <c r="A2" s="9" t="s">
        <v>149</v>
      </c>
      <c r="B2" s="7" t="s">
        <v>418</v>
      </c>
      <c r="C2" s="9" t="s">
        <v>54</v>
      </c>
      <c r="D2" s="15" t="s">
        <v>424</v>
      </c>
      <c r="E2" s="9" t="s">
        <v>446</v>
      </c>
      <c r="F2" s="9" t="s">
        <v>683</v>
      </c>
      <c r="G2" s="15" t="s">
        <v>684</v>
      </c>
      <c r="H2" s="17" t="s">
        <v>239</v>
      </c>
      <c r="I2" s="16" t="s">
        <v>157</v>
      </c>
      <c r="J2" s="16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K7" sqref="K7"/>
    </sheetView>
  </sheetViews>
  <sheetFormatPr defaultRowHeight="15" x14ac:dyDescent="0.25"/>
  <cols>
    <col min="3" max="3" width="20" bestFit="1" customWidth="1"/>
    <col min="4" max="4" width="17.5703125" bestFit="1" customWidth="1"/>
    <col min="7" max="7" width="11" bestFit="1" customWidth="1"/>
  </cols>
  <sheetData>
    <row r="1" spans="1:7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x14ac:dyDescent="0.25">
      <c r="A2" s="17" t="s">
        <v>561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506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7" sqref="A7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37.7109375" bestFit="1" customWidth="1"/>
    <col min="4" max="4" width="14.140625" bestFit="1" customWidth="1"/>
    <col min="6" max="6" width="19.28515625" bestFit="1" customWidth="1"/>
    <col min="7" max="7" width="10.28515625" bestFit="1" customWidth="1"/>
    <col min="8" max="8" width="19" bestFit="1" customWidth="1"/>
    <col min="9" max="9" width="19.28515625" bestFit="1" customWidth="1"/>
  </cols>
  <sheetData>
    <row r="1" spans="1:9" x14ac:dyDescent="0.25">
      <c r="A1" s="16" t="s">
        <v>473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  <c r="G1" s="9"/>
      <c r="H1" s="17"/>
      <c r="I1" s="16"/>
    </row>
    <row r="2" spans="1:9" x14ac:dyDescent="0.25">
      <c r="A2" s="16" t="s">
        <v>529</v>
      </c>
      <c r="B2" s="9" t="s">
        <v>103</v>
      </c>
      <c r="C2" s="7" t="s">
        <v>585</v>
      </c>
      <c r="D2" s="9" t="s">
        <v>54</v>
      </c>
      <c r="E2" s="17" t="s">
        <v>239</v>
      </c>
      <c r="F2" s="16"/>
      <c r="G2" s="9"/>
      <c r="H2" s="17"/>
      <c r="I2" s="16"/>
    </row>
    <row r="3" spans="1:9" x14ac:dyDescent="0.25">
      <c r="A3" s="9" t="s">
        <v>691</v>
      </c>
      <c r="B3" s="9" t="s">
        <v>104</v>
      </c>
      <c r="C3" s="7" t="s">
        <v>586</v>
      </c>
      <c r="D3" s="9" t="s">
        <v>54</v>
      </c>
      <c r="E3" s="17" t="s">
        <v>239</v>
      </c>
      <c r="F3" s="16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9" sqref="B9"/>
    </sheetView>
  </sheetViews>
  <sheetFormatPr defaultRowHeight="15" x14ac:dyDescent="0.25"/>
  <cols>
    <col min="1" max="1" width="13.140625" bestFit="1" customWidth="1"/>
    <col min="3" max="3" width="40.7109375" bestFit="1" customWidth="1"/>
    <col min="5" max="5" width="19" bestFit="1" customWidth="1"/>
    <col min="6" max="6" width="19.28515625" bestFit="1" customWidth="1"/>
  </cols>
  <sheetData>
    <row r="1" spans="1:6" x14ac:dyDescent="0.25">
      <c r="A1" s="16" t="s">
        <v>463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x14ac:dyDescent="0.25">
      <c r="A2" s="16" t="s">
        <v>690</v>
      </c>
      <c r="B2" s="9" t="s">
        <v>50</v>
      </c>
      <c r="C2" s="7" t="s">
        <v>587</v>
      </c>
      <c r="D2" s="9" t="s">
        <v>54</v>
      </c>
      <c r="E2" s="17" t="s">
        <v>239</v>
      </c>
      <c r="F2" s="16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18" sqref="D18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3.28515625" bestFit="1" customWidth="1"/>
    <col min="6" max="6" width="10.28515625" bestFit="1" customWidth="1"/>
    <col min="7" max="7" width="11" bestFit="1" customWidth="1"/>
  </cols>
  <sheetData>
    <row r="1" spans="1:7" s="16" customFormat="1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s="16" customFormat="1" x14ac:dyDescent="0.25">
      <c r="A2" s="17" t="s">
        <v>561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506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G8" sqref="G8"/>
    </sheetView>
  </sheetViews>
  <sheetFormatPr defaultRowHeight="15" x14ac:dyDescent="0.25"/>
  <cols>
    <col min="1" max="1" width="5.7109375" bestFit="1" customWidth="1"/>
    <col min="2" max="2" width="46.85546875" bestFit="1" customWidth="1"/>
    <col min="3" max="3" width="10.28515625" bestFit="1" customWidth="1"/>
    <col min="4" max="4" width="13.5703125" bestFit="1" customWidth="1"/>
    <col min="5" max="5" width="13.85546875" bestFit="1" customWidth="1"/>
    <col min="6" max="6" width="12" bestFit="1" customWidth="1"/>
    <col min="7" max="7" width="11.85546875" bestFit="1" customWidth="1"/>
    <col min="8" max="8" width="19" bestFit="1" customWidth="1"/>
    <col min="9" max="9" width="19.28515625" bestFit="1" customWidth="1"/>
  </cols>
  <sheetData>
    <row r="1" spans="1:9" s="16" customFormat="1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155</v>
      </c>
    </row>
    <row r="2" spans="1:9" s="16" customFormat="1" x14ac:dyDescent="0.25">
      <c r="A2" s="9" t="s">
        <v>103</v>
      </c>
      <c r="B2" s="7" t="s">
        <v>662</v>
      </c>
      <c r="C2" s="9" t="s">
        <v>54</v>
      </c>
      <c r="D2" s="7" t="s">
        <v>642</v>
      </c>
      <c r="E2" s="7" t="s">
        <v>445</v>
      </c>
      <c r="F2" s="15" t="s">
        <v>643</v>
      </c>
      <c r="G2" s="7" t="s">
        <v>692</v>
      </c>
      <c r="H2" s="17" t="s">
        <v>239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workbookViewId="0">
      <selection activeCell="F8" sqref="F8"/>
    </sheetView>
  </sheetViews>
  <sheetFormatPr defaultRowHeight="15" x14ac:dyDescent="0.25"/>
  <cols>
    <col min="1" max="1" width="13.85546875" bestFit="1" customWidth="1"/>
    <col min="2" max="3" width="12.7109375" bestFit="1" customWidth="1"/>
    <col min="4" max="4" width="13.85546875" bestFit="1" customWidth="1"/>
    <col min="5" max="5" width="5.7109375" bestFit="1" customWidth="1"/>
    <col min="6" max="6" width="45.85546875" bestFit="1" customWidth="1"/>
    <col min="7" max="7" width="10.28515625" bestFit="1" customWidth="1"/>
    <col min="8" max="8" width="19" bestFit="1" customWidth="1"/>
    <col min="9" max="9" width="19.28515625" bestFit="1" customWidth="1"/>
  </cols>
  <sheetData>
    <row r="1" spans="1:9" s="16" customFormat="1" x14ac:dyDescent="0.25">
      <c r="A1" s="9" t="s">
        <v>122</v>
      </c>
      <c r="B1" s="9" t="s">
        <v>123</v>
      </c>
      <c r="C1" s="9" t="s">
        <v>124</v>
      </c>
      <c r="D1" s="9" t="s">
        <v>125</v>
      </c>
      <c r="E1" s="9" t="s">
        <v>6</v>
      </c>
      <c r="F1" s="9" t="s">
        <v>162</v>
      </c>
      <c r="G1" s="9" t="s">
        <v>53</v>
      </c>
      <c r="H1" s="17" t="s">
        <v>248</v>
      </c>
      <c r="I1" s="16" t="s">
        <v>155</v>
      </c>
    </row>
    <row r="2" spans="1:9" s="16" customFormat="1" x14ac:dyDescent="0.25">
      <c r="A2" s="15" t="s">
        <v>642</v>
      </c>
      <c r="B2" s="15" t="s">
        <v>644</v>
      </c>
      <c r="C2" s="25" t="s">
        <v>643</v>
      </c>
      <c r="D2" s="15" t="s">
        <v>645</v>
      </c>
      <c r="E2" s="9" t="s">
        <v>103</v>
      </c>
      <c r="F2" s="7" t="s">
        <v>657</v>
      </c>
      <c r="G2" s="9" t="s">
        <v>54</v>
      </c>
      <c r="H2" s="17" t="s">
        <v>239</v>
      </c>
    </row>
    <row r="3" spans="1:9" s="16" customFormat="1" x14ac:dyDescent="0.25">
      <c r="A3" s="15" t="s">
        <v>11</v>
      </c>
      <c r="B3" s="15" t="s">
        <v>646</v>
      </c>
      <c r="C3" s="15" t="s">
        <v>693</v>
      </c>
      <c r="D3" s="15" t="s">
        <v>694</v>
      </c>
      <c r="E3" s="9" t="s">
        <v>104</v>
      </c>
      <c r="F3" s="7" t="s">
        <v>658</v>
      </c>
      <c r="G3" s="9" t="s">
        <v>54</v>
      </c>
      <c r="H3" s="17" t="s">
        <v>239</v>
      </c>
    </row>
    <row r="4" spans="1:9" s="16" customFormat="1" x14ac:dyDescent="0.25">
      <c r="A4" s="15" t="s">
        <v>11</v>
      </c>
      <c r="B4" s="15" t="s">
        <v>647</v>
      </c>
      <c r="C4" s="15" t="s">
        <v>11</v>
      </c>
      <c r="D4" s="15" t="s">
        <v>647</v>
      </c>
      <c r="E4" s="9" t="s">
        <v>284</v>
      </c>
      <c r="F4" s="7" t="s">
        <v>659</v>
      </c>
      <c r="G4" s="9" t="s">
        <v>54</v>
      </c>
      <c r="H4" s="17" t="s">
        <v>239</v>
      </c>
    </row>
    <row r="5" spans="1:9" s="16" customFormat="1" x14ac:dyDescent="0.25">
      <c r="A5" s="15" t="s">
        <v>11</v>
      </c>
      <c r="B5" s="15" t="s">
        <v>648</v>
      </c>
      <c r="C5" s="15" t="s">
        <v>695</v>
      </c>
      <c r="D5" s="15" t="s">
        <v>696</v>
      </c>
      <c r="E5" s="9" t="s">
        <v>285</v>
      </c>
      <c r="F5" s="7" t="s">
        <v>661</v>
      </c>
      <c r="G5" s="9" t="s">
        <v>54</v>
      </c>
      <c r="H5" s="17" t="s">
        <v>239</v>
      </c>
    </row>
    <row r="6" spans="1:9" s="16" customFormat="1" x14ac:dyDescent="0.25">
      <c r="A6" s="15" t="s">
        <v>11</v>
      </c>
      <c r="B6" s="15" t="s">
        <v>649</v>
      </c>
      <c r="C6" s="15" t="s">
        <v>697</v>
      </c>
      <c r="D6" s="15" t="s">
        <v>698</v>
      </c>
      <c r="E6" s="9" t="s">
        <v>377</v>
      </c>
      <c r="F6" s="7" t="s">
        <v>660</v>
      </c>
      <c r="G6" s="9" t="s">
        <v>54</v>
      </c>
      <c r="H6" s="17" t="s">
        <v>239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16" sqref="D16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5.7109375" bestFit="1" customWidth="1"/>
    <col min="4" max="4" width="52.28515625" bestFit="1" customWidth="1"/>
    <col min="5" max="5" width="10.28515625" bestFit="1" customWidth="1"/>
    <col min="6" max="6" width="19" bestFit="1" customWidth="1"/>
    <col min="7" max="7" width="19.28515625" bestFit="1" customWidth="1"/>
  </cols>
  <sheetData>
    <row r="1" spans="1:7" s="16" customFormat="1" x14ac:dyDescent="0.25">
      <c r="A1" s="6" t="s">
        <v>123</v>
      </c>
      <c r="B1" s="9" t="s">
        <v>463</v>
      </c>
      <c r="C1" s="9" t="s">
        <v>6</v>
      </c>
      <c r="D1" s="9" t="s">
        <v>162</v>
      </c>
      <c r="E1" s="9" t="s">
        <v>53</v>
      </c>
      <c r="F1" s="17" t="s">
        <v>248</v>
      </c>
      <c r="G1" s="16" t="s">
        <v>155</v>
      </c>
    </row>
    <row r="2" spans="1:7" s="16" customFormat="1" x14ac:dyDescent="0.25">
      <c r="A2" s="15" t="s">
        <v>650</v>
      </c>
      <c r="B2" s="15" t="s">
        <v>11</v>
      </c>
      <c r="C2" s="9" t="s">
        <v>103</v>
      </c>
      <c r="D2" s="7" t="s">
        <v>652</v>
      </c>
      <c r="E2" s="9" t="s">
        <v>54</v>
      </c>
      <c r="F2" s="17" t="s">
        <v>239</v>
      </c>
    </row>
    <row r="3" spans="1:7" s="16" customFormat="1" x14ac:dyDescent="0.25">
      <c r="A3" s="15" t="s">
        <v>651</v>
      </c>
      <c r="B3" s="15" t="s">
        <v>11</v>
      </c>
      <c r="C3" s="9" t="s">
        <v>104</v>
      </c>
      <c r="D3" s="7" t="s">
        <v>653</v>
      </c>
      <c r="E3" s="9" t="s">
        <v>54</v>
      </c>
      <c r="F3" s="17" t="s">
        <v>239</v>
      </c>
    </row>
    <row r="4" spans="1:7" s="16" customFormat="1" x14ac:dyDescent="0.25">
      <c r="A4" s="15" t="s">
        <v>650</v>
      </c>
      <c r="B4" s="15" t="s">
        <v>11</v>
      </c>
      <c r="C4" s="9" t="s">
        <v>284</v>
      </c>
      <c r="D4" s="7" t="s">
        <v>654</v>
      </c>
      <c r="E4" s="9" t="s">
        <v>54</v>
      </c>
      <c r="F4" s="17" t="s">
        <v>239</v>
      </c>
    </row>
    <row r="5" spans="1:7" s="16" customFormat="1" x14ac:dyDescent="0.25">
      <c r="A5" s="15" t="s">
        <v>651</v>
      </c>
      <c r="B5" s="15" t="s">
        <v>11</v>
      </c>
      <c r="C5" s="9" t="s">
        <v>285</v>
      </c>
      <c r="D5" s="7" t="s">
        <v>655</v>
      </c>
      <c r="E5" s="9" t="s">
        <v>54</v>
      </c>
      <c r="F5" s="17" t="s">
        <v>239</v>
      </c>
    </row>
    <row r="6" spans="1:7" s="16" customFormat="1" x14ac:dyDescent="0.25">
      <c r="A6" s="15" t="s">
        <v>651</v>
      </c>
      <c r="B6" s="15" t="s">
        <v>11</v>
      </c>
      <c r="C6" s="9" t="s">
        <v>377</v>
      </c>
      <c r="D6" s="7" t="s">
        <v>656</v>
      </c>
      <c r="E6" s="9" t="s">
        <v>54</v>
      </c>
      <c r="F6" s="17" t="s">
        <v>239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0" sqref="C20"/>
    </sheetView>
  </sheetViews>
  <sheetFormatPr defaultRowHeight="15" x14ac:dyDescent="0.25"/>
  <cols>
    <col min="1" max="1" width="9.140625" style="16"/>
    <col min="2" max="2" width="20.140625" style="16" customWidth="1"/>
    <col min="3" max="3" width="22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149</v>
      </c>
      <c r="B2" s="18" t="s">
        <v>210</v>
      </c>
      <c r="C2" s="17" t="s">
        <v>202</v>
      </c>
      <c r="D2" s="16" t="s">
        <v>157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9.140625" style="16"/>
    <col min="2" max="2" width="20.140625" style="16" customWidth="1"/>
    <col min="3" max="3" width="22" style="16" bestFit="1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149</v>
      </c>
      <c r="B2" s="18" t="s">
        <v>211</v>
      </c>
      <c r="C2" s="17" t="s">
        <v>209</v>
      </c>
      <c r="D2" s="16" t="s">
        <v>157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0" sqref="C30"/>
    </sheetView>
  </sheetViews>
  <sheetFormatPr defaultRowHeight="15" x14ac:dyDescent="0.25"/>
  <cols>
    <col min="1" max="1" width="21" bestFit="1" customWidth="1"/>
    <col min="2" max="2" width="21" style="6" customWidth="1"/>
  </cols>
  <sheetData>
    <row r="1" spans="1:3" x14ac:dyDescent="0.25">
      <c r="A1" t="s">
        <v>23</v>
      </c>
      <c r="B1" t="s">
        <v>115</v>
      </c>
      <c r="C1" s="1" t="s">
        <v>6</v>
      </c>
    </row>
    <row r="2" spans="1:3" x14ac:dyDescent="0.25">
      <c r="A2" s="1" t="s">
        <v>27</v>
      </c>
      <c r="B2" s="6" t="str">
        <f ca="1">TEXT(NOW(),"YYYY-MM-DD")</f>
        <v>2026-09-21</v>
      </c>
      <c r="C2" s="1" t="s">
        <v>50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12" sqref="C12"/>
    </sheetView>
  </sheetViews>
  <sheetFormatPr defaultRowHeight="15" x14ac:dyDescent="0.25"/>
  <cols>
    <col min="3" max="3" width="24.140625" customWidth="1"/>
  </cols>
  <sheetData>
    <row r="1" spans="1:5" x14ac:dyDescent="0.25">
      <c r="A1" s="1" t="s">
        <v>47</v>
      </c>
      <c r="B1" s="1" t="s">
        <v>29</v>
      </c>
      <c r="C1" s="1" t="s">
        <v>28</v>
      </c>
      <c r="D1" s="1" t="s">
        <v>6</v>
      </c>
      <c r="E1" t="s">
        <v>53</v>
      </c>
    </row>
    <row r="2" spans="1:5" x14ac:dyDescent="0.25">
      <c r="A2" s="1" t="s">
        <v>107</v>
      </c>
      <c r="B2" s="1" t="s">
        <v>11</v>
      </c>
      <c r="C2" s="1" t="s">
        <v>30</v>
      </c>
      <c r="D2" s="1" t="s">
        <v>50</v>
      </c>
      <c r="E2" s="1" t="s">
        <v>54</v>
      </c>
    </row>
    <row r="3" spans="1:5" ht="15.75" thickBot="1" x14ac:dyDescent="0.3">
      <c r="C3" s="13"/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10" sqref="E10"/>
    </sheetView>
  </sheetViews>
  <sheetFormatPr defaultRowHeight="15" x14ac:dyDescent="0.25"/>
  <cols>
    <col min="2" max="2" width="32.7109375" bestFit="1" customWidth="1"/>
    <col min="3" max="3" width="10.28515625" bestFit="1" customWidth="1"/>
    <col min="4" max="4" width="27" bestFit="1" customWidth="1"/>
    <col min="5" max="5" width="21" bestFit="1" customWidth="1"/>
    <col min="6" max="6" width="16.140625" bestFit="1" customWidth="1"/>
    <col min="7" max="7" width="23.7109375" bestFit="1" customWidth="1"/>
    <col min="8" max="8" width="19" bestFit="1" customWidth="1"/>
    <col min="9" max="9" width="10.5703125" bestFit="1" customWidth="1"/>
    <col min="10" max="10" width="19.28515625" bestFit="1" customWidth="1"/>
  </cols>
  <sheetData>
    <row r="1" spans="1:10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156</v>
      </c>
      <c r="J1" s="2" t="s">
        <v>155</v>
      </c>
    </row>
    <row r="2" spans="1:10" x14ac:dyDescent="0.25">
      <c r="A2" s="9" t="s">
        <v>50</v>
      </c>
      <c r="B2" s="7" t="s">
        <v>420</v>
      </c>
      <c r="C2" s="9" t="s">
        <v>54</v>
      </c>
      <c r="D2" s="15" t="s">
        <v>551</v>
      </c>
      <c r="E2" s="15" t="s">
        <v>552</v>
      </c>
      <c r="F2" s="9" t="s">
        <v>687</v>
      </c>
      <c r="G2" s="15" t="s">
        <v>688</v>
      </c>
      <c r="H2" s="17" t="s">
        <v>239</v>
      </c>
      <c r="I2" s="16" t="s">
        <v>157</v>
      </c>
      <c r="J2" s="16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RowHeight="15" x14ac:dyDescent="0.25"/>
  <cols>
    <col min="1" max="1" width="9.140625" style="16"/>
    <col min="2" max="2" width="28.7109375" style="16" bestFit="1" customWidth="1"/>
    <col min="3" max="3" width="24.140625" style="16" customWidth="1"/>
    <col min="4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213</v>
      </c>
      <c r="C2" s="17" t="s">
        <v>209</v>
      </c>
      <c r="D2" s="16" t="s">
        <v>157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G10" sqref="G10"/>
    </sheetView>
  </sheetViews>
  <sheetFormatPr defaultRowHeight="15" x14ac:dyDescent="0.25"/>
  <cols>
    <col min="1" max="1" width="21" bestFit="1" customWidth="1"/>
    <col min="2" max="2" width="10.140625" bestFit="1" customWidth="1"/>
    <col min="3" max="3" width="10.42578125" bestFit="1" customWidth="1"/>
    <col min="4" max="4" width="11.7109375" bestFit="1" customWidth="1"/>
    <col min="5" max="5" width="20.28515625" bestFit="1" customWidth="1"/>
  </cols>
  <sheetData>
    <row r="1" spans="1:7" x14ac:dyDescent="0.25">
      <c r="A1" t="s">
        <v>23</v>
      </c>
      <c r="B1" t="s">
        <v>25</v>
      </c>
      <c r="C1" t="s">
        <v>26</v>
      </c>
      <c r="D1" t="s">
        <v>118</v>
      </c>
      <c r="E1" t="s">
        <v>80</v>
      </c>
      <c r="F1" s="1" t="s">
        <v>6</v>
      </c>
      <c r="G1" t="s">
        <v>53</v>
      </c>
    </row>
    <row r="2" spans="1:7" x14ac:dyDescent="0.25">
      <c r="A2" t="s">
        <v>27</v>
      </c>
      <c r="B2" s="6" t="str">
        <f ca="1">TEXT(NOW(),"YYYY-MM-DD")</f>
        <v>2026-09-21</v>
      </c>
      <c r="C2" s="6" t="str">
        <f ca="1">TEXT(NOW(),"YYYY-MM-DD")</f>
        <v>2026-09-21</v>
      </c>
      <c r="D2" s="6" t="s">
        <v>221</v>
      </c>
      <c r="E2" s="6" t="s">
        <v>102</v>
      </c>
      <c r="F2" s="7" t="s">
        <v>50</v>
      </c>
      <c r="G2" s="1" t="s">
        <v>54</v>
      </c>
    </row>
    <row r="3" spans="1:7" x14ac:dyDescent="0.25">
      <c r="B3" s="6"/>
      <c r="C3" s="6"/>
      <c r="D3" s="6"/>
      <c r="E3" s="6"/>
    </row>
    <row r="4" spans="1:7" x14ac:dyDescent="0.25">
      <c r="B4" s="6"/>
      <c r="C4" s="6"/>
      <c r="D4" s="6"/>
      <c r="E4" s="6"/>
    </row>
    <row r="5" spans="1:7" x14ac:dyDescent="0.25">
      <c r="B5" s="6"/>
      <c r="C5" s="6"/>
      <c r="D5" s="6"/>
      <c r="E5" s="6"/>
    </row>
    <row r="6" spans="1:7" x14ac:dyDescent="0.25">
      <c r="B6" s="6"/>
      <c r="C6" s="6"/>
      <c r="D6" s="6"/>
      <c r="E6" s="6"/>
    </row>
    <row r="7" spans="1:7" x14ac:dyDescent="0.25">
      <c r="B7" s="6"/>
      <c r="C7" s="6"/>
      <c r="D7" s="6"/>
      <c r="E7" s="6"/>
    </row>
    <row r="8" spans="1:7" x14ac:dyDescent="0.25">
      <c r="B8" s="6"/>
      <c r="C8" s="6"/>
      <c r="D8" s="6"/>
      <c r="E8" s="6"/>
    </row>
    <row r="9" spans="1:7" x14ac:dyDescent="0.25">
      <c r="B9" s="6"/>
      <c r="C9" s="6"/>
      <c r="D9" s="6"/>
      <c r="E9" s="6"/>
    </row>
    <row r="10" spans="1:7" x14ac:dyDescent="0.25">
      <c r="B10" s="6"/>
      <c r="C10" s="6"/>
      <c r="D10" s="6"/>
      <c r="E10" s="6"/>
    </row>
    <row r="11" spans="1:7" x14ac:dyDescent="0.25">
      <c r="B11" s="6"/>
      <c r="C11" s="6"/>
      <c r="D11" s="6"/>
      <c r="E11" s="6"/>
    </row>
    <row r="12" spans="1:7" x14ac:dyDescent="0.25">
      <c r="B12" s="6"/>
      <c r="C12" s="6"/>
      <c r="D12" s="6"/>
      <c r="E12" s="6"/>
    </row>
    <row r="13" spans="1:7" x14ac:dyDescent="0.25">
      <c r="B13" s="6"/>
      <c r="C13" s="6"/>
      <c r="D13" s="6"/>
      <c r="E13" s="6"/>
    </row>
    <row r="14" spans="1:7" x14ac:dyDescent="0.25">
      <c r="B14" s="6"/>
      <c r="C14" s="6"/>
      <c r="D14" s="6"/>
      <c r="E14" s="6"/>
    </row>
    <row r="15" spans="1:7" x14ac:dyDescent="0.25">
      <c r="B15" s="6"/>
      <c r="C15" s="6"/>
      <c r="D15" s="6"/>
      <c r="E15" s="6"/>
    </row>
    <row r="16" spans="1:7" x14ac:dyDescent="0.25">
      <c r="B16" s="6"/>
      <c r="C16" s="6"/>
      <c r="D16" s="6"/>
      <c r="E16" s="6"/>
    </row>
    <row r="17" spans="2:5" x14ac:dyDescent="0.25">
      <c r="B17" s="6"/>
      <c r="C17" s="6"/>
      <c r="D17" s="6"/>
      <c r="E17" s="6"/>
    </row>
    <row r="18" spans="2:5" x14ac:dyDescent="0.25">
      <c r="B18" s="6"/>
      <c r="C18" s="6"/>
      <c r="D18" s="6"/>
      <c r="E18" s="6"/>
    </row>
    <row r="19" spans="2:5" x14ac:dyDescent="0.25">
      <c r="B19" s="6"/>
      <c r="C19" s="6"/>
      <c r="D19" s="6"/>
      <c r="E19" s="6"/>
    </row>
    <row r="20" spans="2:5" x14ac:dyDescent="0.25">
      <c r="B20" s="6"/>
      <c r="C20" s="6"/>
      <c r="D20" s="6"/>
      <c r="E20" s="6"/>
    </row>
    <row r="21" spans="2:5" x14ac:dyDescent="0.25">
      <c r="B21" s="6"/>
      <c r="C21" s="6"/>
      <c r="D21" s="6"/>
      <c r="E21" s="6"/>
    </row>
    <row r="22" spans="2:5" x14ac:dyDescent="0.25">
      <c r="B22" s="6"/>
      <c r="C22" s="6"/>
      <c r="D22" s="6"/>
      <c r="E22" s="6"/>
    </row>
    <row r="23" spans="2:5" x14ac:dyDescent="0.25">
      <c r="B23" s="6"/>
      <c r="C23" s="6"/>
      <c r="D23" s="6"/>
      <c r="E23" s="6"/>
    </row>
    <row r="24" spans="2:5" x14ac:dyDescent="0.25">
      <c r="B24" s="6"/>
      <c r="C24" s="6"/>
      <c r="D24" s="6"/>
      <c r="E24" s="6"/>
    </row>
    <row r="25" spans="2:5" x14ac:dyDescent="0.25">
      <c r="B25" s="6"/>
      <c r="C25" s="6"/>
      <c r="D25" s="6"/>
      <c r="E25" s="6"/>
    </row>
    <row r="26" spans="2:5" x14ac:dyDescent="0.25">
      <c r="B26" s="6"/>
      <c r="C26" s="6"/>
      <c r="D26" s="6"/>
      <c r="E26" s="6"/>
    </row>
    <row r="27" spans="2:5" x14ac:dyDescent="0.25">
      <c r="B27" s="6"/>
      <c r="C27" s="6"/>
      <c r="D27" s="6"/>
      <c r="E27" s="6"/>
    </row>
    <row r="28" spans="2:5" x14ac:dyDescent="0.25">
      <c r="B28" s="6"/>
      <c r="C28" s="6"/>
      <c r="D28" s="6"/>
      <c r="E28" s="6"/>
    </row>
    <row r="29" spans="2:5" x14ac:dyDescent="0.25">
      <c r="B29" s="6"/>
      <c r="C29" s="6"/>
      <c r="D29" s="6"/>
      <c r="E29" s="6"/>
    </row>
    <row r="30" spans="2:5" x14ac:dyDescent="0.25">
      <c r="B30" s="6"/>
      <c r="C30" s="6"/>
      <c r="D30" s="6"/>
      <c r="E30" s="6"/>
    </row>
    <row r="31" spans="2:5" x14ac:dyDescent="0.25">
      <c r="B31" s="6"/>
      <c r="C31" s="6"/>
      <c r="D31" s="6"/>
      <c r="E31" s="6"/>
    </row>
    <row r="32" spans="2:5" x14ac:dyDescent="0.25">
      <c r="B32" s="6"/>
      <c r="C32" s="6"/>
      <c r="D32" s="6"/>
      <c r="E32" s="6"/>
    </row>
    <row r="33" spans="2:5" x14ac:dyDescent="0.25">
      <c r="B33" s="6"/>
      <c r="C33" s="6"/>
      <c r="D33" s="6"/>
      <c r="E33" s="6"/>
    </row>
    <row r="34" spans="2:5" x14ac:dyDescent="0.25">
      <c r="B34" s="6"/>
      <c r="C34" s="6"/>
      <c r="D34" s="6"/>
      <c r="E34" s="6"/>
    </row>
    <row r="35" spans="2:5" x14ac:dyDescent="0.25">
      <c r="B35" s="6"/>
      <c r="C35" s="6"/>
      <c r="D35" s="6"/>
      <c r="E35" s="6"/>
    </row>
    <row r="36" spans="2:5" x14ac:dyDescent="0.25">
      <c r="B36" s="6"/>
      <c r="C36" s="6"/>
      <c r="D36" s="6"/>
      <c r="E36" s="6"/>
    </row>
    <row r="37" spans="2:5" x14ac:dyDescent="0.25">
      <c r="B37" s="6"/>
      <c r="C37" s="6"/>
      <c r="D37" s="6"/>
      <c r="E37" s="6"/>
    </row>
    <row r="38" spans="2:5" x14ac:dyDescent="0.25">
      <c r="B38" s="6"/>
      <c r="C38" s="6"/>
      <c r="D38" s="6"/>
      <c r="E38" s="6"/>
    </row>
    <row r="39" spans="2:5" x14ac:dyDescent="0.25">
      <c r="B39" s="6"/>
      <c r="C39" s="6"/>
      <c r="D39" s="6"/>
      <c r="E39" s="6"/>
    </row>
    <row r="40" spans="2:5" x14ac:dyDescent="0.25">
      <c r="B40" s="6"/>
      <c r="C40" s="6"/>
      <c r="D40" s="6"/>
      <c r="E40" s="6"/>
    </row>
    <row r="41" spans="2:5" x14ac:dyDescent="0.25">
      <c r="B41" s="6"/>
      <c r="C41" s="6"/>
      <c r="D41" s="6"/>
      <c r="E41" s="6"/>
    </row>
    <row r="42" spans="2:5" x14ac:dyDescent="0.25">
      <c r="B42" s="6"/>
      <c r="C42" s="6"/>
      <c r="D42" s="6"/>
      <c r="E42" s="6"/>
    </row>
    <row r="43" spans="2:5" x14ac:dyDescent="0.25">
      <c r="B43" s="6"/>
      <c r="C43" s="6"/>
      <c r="D43" s="6"/>
      <c r="E43" s="6"/>
    </row>
    <row r="44" spans="2:5" x14ac:dyDescent="0.25">
      <c r="B44" s="6"/>
      <c r="C44" s="6"/>
      <c r="D44" s="6"/>
      <c r="E44" s="6"/>
    </row>
    <row r="45" spans="2:5" x14ac:dyDescent="0.25">
      <c r="B45" s="6"/>
      <c r="C45" s="6"/>
      <c r="D45" s="6"/>
      <c r="E45" s="6"/>
    </row>
    <row r="46" spans="2:5" x14ac:dyDescent="0.25">
      <c r="B46" s="6"/>
      <c r="C46" s="6"/>
      <c r="D46" s="6"/>
      <c r="E46" s="6"/>
    </row>
    <row r="47" spans="2:5" x14ac:dyDescent="0.25">
      <c r="B47" s="6"/>
      <c r="C47" s="6"/>
      <c r="D47" s="6"/>
      <c r="E47" s="6"/>
    </row>
    <row r="48" spans="2:5" x14ac:dyDescent="0.25">
      <c r="B48" s="6"/>
      <c r="C48" s="6"/>
      <c r="D48" s="6"/>
      <c r="E48" s="6"/>
    </row>
    <row r="49" spans="2:5" x14ac:dyDescent="0.25">
      <c r="B49" s="6"/>
      <c r="C49" s="6"/>
      <c r="D49" s="6"/>
      <c r="E49" s="6"/>
    </row>
    <row r="50" spans="2:5" x14ac:dyDescent="0.25">
      <c r="B50" s="6"/>
      <c r="C50" s="6"/>
      <c r="D50" s="6"/>
      <c r="E50" s="6"/>
    </row>
    <row r="51" spans="2:5" x14ac:dyDescent="0.25">
      <c r="B51" s="6"/>
      <c r="C51" s="6"/>
      <c r="D51" s="6"/>
      <c r="E51" s="6"/>
    </row>
    <row r="52" spans="2:5" x14ac:dyDescent="0.25">
      <c r="B52" s="6"/>
      <c r="C52" s="6"/>
      <c r="D52" s="6"/>
      <c r="E52" s="6"/>
    </row>
    <row r="53" spans="2:5" x14ac:dyDescent="0.25">
      <c r="B53" s="6"/>
      <c r="C53" s="6"/>
      <c r="D53" s="6"/>
      <c r="E53" s="6"/>
    </row>
    <row r="54" spans="2:5" x14ac:dyDescent="0.25">
      <c r="B54" s="6"/>
      <c r="C54" s="6"/>
      <c r="D54" s="6"/>
      <c r="E54" s="6"/>
    </row>
    <row r="55" spans="2:5" x14ac:dyDescent="0.25">
      <c r="B55" s="6"/>
      <c r="C55" s="6"/>
      <c r="D55" s="6"/>
      <c r="E55" s="6"/>
    </row>
    <row r="56" spans="2:5" x14ac:dyDescent="0.25">
      <c r="B56" s="6"/>
      <c r="C56" s="6"/>
      <c r="D56" s="6"/>
      <c r="E56" s="6"/>
    </row>
    <row r="57" spans="2:5" x14ac:dyDescent="0.25">
      <c r="B57" s="6"/>
      <c r="C57" s="6"/>
      <c r="D57" s="6"/>
      <c r="E57" s="6"/>
    </row>
    <row r="58" spans="2:5" x14ac:dyDescent="0.25">
      <c r="B58" s="6"/>
      <c r="C58" s="6"/>
      <c r="D58" s="6"/>
      <c r="E58" s="6"/>
    </row>
    <row r="59" spans="2:5" x14ac:dyDescent="0.25">
      <c r="B59" s="6"/>
      <c r="C59" s="6"/>
      <c r="D59" s="6"/>
      <c r="E59" s="6"/>
    </row>
    <row r="60" spans="2:5" x14ac:dyDescent="0.25">
      <c r="B60" s="6"/>
      <c r="C60" s="6"/>
      <c r="D60" s="6"/>
      <c r="E60" s="6"/>
    </row>
    <row r="61" spans="2:5" x14ac:dyDescent="0.25">
      <c r="B61" s="6"/>
      <c r="C61" s="6"/>
      <c r="D61" s="6"/>
      <c r="E61" s="6"/>
    </row>
    <row r="62" spans="2:5" x14ac:dyDescent="0.25">
      <c r="B62" s="6"/>
      <c r="C62" s="6"/>
      <c r="D62" s="6"/>
      <c r="E62" s="6"/>
    </row>
    <row r="63" spans="2:5" x14ac:dyDescent="0.25">
      <c r="B63" s="6"/>
      <c r="C63" s="6"/>
      <c r="D63" s="6"/>
      <c r="E63" s="6"/>
    </row>
    <row r="64" spans="2:5" x14ac:dyDescent="0.25">
      <c r="B64" s="6"/>
      <c r="C64" s="6"/>
      <c r="D64" s="6"/>
      <c r="E64" s="6"/>
    </row>
    <row r="65" spans="2:5" x14ac:dyDescent="0.25">
      <c r="B65" s="6"/>
      <c r="C65" s="6"/>
      <c r="D65" s="6"/>
      <c r="E65" s="6"/>
    </row>
    <row r="66" spans="2:5" x14ac:dyDescent="0.25">
      <c r="B66" s="6"/>
      <c r="C66" s="6"/>
      <c r="D66" s="6"/>
      <c r="E66" s="6"/>
    </row>
    <row r="67" spans="2:5" x14ac:dyDescent="0.25">
      <c r="B67" s="6"/>
      <c r="C67" s="6"/>
      <c r="D67" s="6"/>
      <c r="E67" s="6"/>
    </row>
    <row r="68" spans="2:5" x14ac:dyDescent="0.25">
      <c r="B68" s="6"/>
      <c r="C68" s="6"/>
      <c r="D68" s="6"/>
      <c r="E68" s="6"/>
    </row>
    <row r="69" spans="2:5" x14ac:dyDescent="0.25">
      <c r="B69" s="6"/>
      <c r="C69" s="6"/>
      <c r="D69" s="6"/>
      <c r="E69" s="6"/>
    </row>
    <row r="70" spans="2:5" x14ac:dyDescent="0.25">
      <c r="B70" s="6"/>
      <c r="C70" s="6"/>
      <c r="D70" s="6"/>
      <c r="E70" s="6"/>
    </row>
    <row r="71" spans="2:5" x14ac:dyDescent="0.25">
      <c r="B71" s="6"/>
      <c r="C71" s="6"/>
      <c r="D71" s="6"/>
      <c r="E71" s="6"/>
    </row>
    <row r="72" spans="2:5" x14ac:dyDescent="0.25">
      <c r="B72" s="6"/>
      <c r="C72" s="6"/>
      <c r="D72" s="6"/>
      <c r="E72" s="6"/>
    </row>
    <row r="73" spans="2:5" x14ac:dyDescent="0.25">
      <c r="B73" s="6"/>
      <c r="C73" s="6"/>
      <c r="D73" s="6"/>
      <c r="E73" s="6"/>
    </row>
    <row r="74" spans="2:5" x14ac:dyDescent="0.25">
      <c r="B74" s="6"/>
      <c r="C74" s="6"/>
      <c r="D74" s="6"/>
      <c r="E74" s="6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9" sqref="G9"/>
    </sheetView>
  </sheetViews>
  <sheetFormatPr defaultRowHeight="15" x14ac:dyDescent="0.25"/>
  <cols>
    <col min="2" max="2" width="30.28515625" bestFit="1" customWidth="1"/>
    <col min="3" max="3" width="10.28515625" bestFit="1" customWidth="1"/>
    <col min="4" max="4" width="13.5703125" bestFit="1" customWidth="1"/>
    <col min="5" max="6" width="12" bestFit="1" customWidth="1"/>
    <col min="7" max="7" width="11.85546875" bestFit="1" customWidth="1"/>
    <col min="8" max="8" width="19" bestFit="1" customWidth="1"/>
    <col min="10" max="10" width="19.28515625" bestFit="1" customWidth="1"/>
    <col min="11" max="11" width="20.28515625" bestFit="1" customWidth="1"/>
  </cols>
  <sheetData>
    <row r="1" spans="1:11" x14ac:dyDescent="0.25">
      <c r="A1" s="9" t="s">
        <v>6</v>
      </c>
      <c r="B1" s="9" t="s">
        <v>162</v>
      </c>
      <c r="C1" s="9" t="s">
        <v>53</v>
      </c>
      <c r="D1" s="9" t="s">
        <v>122</v>
      </c>
      <c r="E1" s="9" t="s">
        <v>123</v>
      </c>
      <c r="F1" s="9" t="s">
        <v>124</v>
      </c>
      <c r="G1" s="9" t="s">
        <v>125</v>
      </c>
      <c r="H1" s="17" t="s">
        <v>248</v>
      </c>
      <c r="I1" s="16" t="s">
        <v>156</v>
      </c>
      <c r="J1" s="2" t="s">
        <v>155</v>
      </c>
      <c r="K1" s="16" t="s">
        <v>80</v>
      </c>
    </row>
    <row r="2" spans="1:11" x14ac:dyDescent="0.25">
      <c r="A2" s="9" t="s">
        <v>103</v>
      </c>
      <c r="B2" s="7" t="s">
        <v>419</v>
      </c>
      <c r="C2" s="9" t="s">
        <v>54</v>
      </c>
      <c r="D2" s="15" t="s">
        <v>425</v>
      </c>
      <c r="E2" s="15" t="s">
        <v>445</v>
      </c>
      <c r="F2" s="9" t="s">
        <v>685</v>
      </c>
      <c r="G2" s="15" t="s">
        <v>686</v>
      </c>
      <c r="H2" s="17" t="s">
        <v>239</v>
      </c>
      <c r="I2" s="16" t="s">
        <v>157</v>
      </c>
      <c r="J2" s="16"/>
      <c r="K2" s="6" t="s">
        <v>102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4" sqref="C4"/>
    </sheetView>
  </sheetViews>
  <sheetFormatPr defaultRowHeight="15" x14ac:dyDescent="0.25"/>
  <cols>
    <col min="1" max="1" width="9.85546875" style="16" customWidth="1"/>
    <col min="2" max="2" width="21.8554687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212</v>
      </c>
      <c r="C2" s="17" t="s">
        <v>224</v>
      </c>
      <c r="D2" s="16" t="s">
        <v>157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opLeftCell="B1" workbookViewId="0">
      <selection activeCell="G9" sqref="G9"/>
    </sheetView>
  </sheetViews>
  <sheetFormatPr defaultRowHeight="15" x14ac:dyDescent="0.25"/>
  <cols>
    <col min="1" max="1" width="21" bestFit="1" customWidth="1"/>
    <col min="2" max="3" width="10.42578125" style="6" bestFit="1" customWidth="1"/>
    <col min="4" max="4" width="13.5703125" style="6" bestFit="1" customWidth="1"/>
    <col min="5" max="6" width="12" style="6" bestFit="1" customWidth="1"/>
    <col min="7" max="7" width="11.85546875" style="6" bestFit="1" customWidth="1"/>
    <col min="9" max="9" width="46.85546875" style="16" bestFit="1" customWidth="1"/>
    <col min="10" max="10" width="10.28515625" bestFit="1" customWidth="1"/>
    <col min="11" max="11" width="19" bestFit="1" customWidth="1"/>
    <col min="12" max="12" width="10.5703125" bestFit="1" customWidth="1"/>
    <col min="13" max="13" width="19.28515625" bestFit="1" customWidth="1"/>
    <col min="14" max="14" width="20.28515625" bestFit="1" customWidth="1"/>
  </cols>
  <sheetData>
    <row r="1" spans="1:14" x14ac:dyDescent="0.25">
      <c r="A1" t="s">
        <v>23</v>
      </c>
      <c r="B1" s="6" t="s">
        <v>25</v>
      </c>
      <c r="C1" s="6" t="s">
        <v>26</v>
      </c>
      <c r="D1" s="9" t="s">
        <v>122</v>
      </c>
      <c r="E1" s="9" t="s">
        <v>123</v>
      </c>
      <c r="F1" s="9" t="s">
        <v>124</v>
      </c>
      <c r="G1" s="9" t="s">
        <v>125</v>
      </c>
      <c r="H1" s="1" t="s">
        <v>6</v>
      </c>
      <c r="I1" s="17" t="s">
        <v>162</v>
      </c>
      <c r="J1" t="s">
        <v>53</v>
      </c>
      <c r="K1" s="17" t="s">
        <v>248</v>
      </c>
      <c r="L1" s="16" t="s">
        <v>156</v>
      </c>
      <c r="M1" s="2" t="s">
        <v>155</v>
      </c>
      <c r="N1" s="16" t="s">
        <v>80</v>
      </c>
    </row>
    <row r="2" spans="1:14" x14ac:dyDescent="0.25">
      <c r="A2" t="s">
        <v>27</v>
      </c>
      <c r="B2" s="6" t="str">
        <f ca="1">TEXT(NOW(),"YYYY-MM-DD")</f>
        <v>2026-09-21</v>
      </c>
      <c r="C2" s="6" t="str">
        <f ca="1">TEXT(NOW(),"YYYY-MM-DD")</f>
        <v>2026-09-21</v>
      </c>
      <c r="D2" s="15" t="s">
        <v>425</v>
      </c>
      <c r="E2" s="15" t="s">
        <v>445</v>
      </c>
      <c r="F2" s="9" t="s">
        <v>685</v>
      </c>
      <c r="G2" s="15" t="s">
        <v>686</v>
      </c>
      <c r="H2" s="7" t="s">
        <v>50</v>
      </c>
      <c r="I2" s="18" t="s">
        <v>426</v>
      </c>
      <c r="J2" s="1" t="s">
        <v>54</v>
      </c>
      <c r="K2" s="17" t="s">
        <v>239</v>
      </c>
      <c r="L2" s="16" t="s">
        <v>157</v>
      </c>
      <c r="M2" s="16"/>
      <c r="N2" s="6" t="s">
        <v>102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" sqref="B1:B2"/>
    </sheetView>
  </sheetViews>
  <sheetFormatPr defaultRowHeight="15" x14ac:dyDescent="0.25"/>
  <cols>
    <col min="1" max="1" width="9.85546875" style="16" customWidth="1"/>
    <col min="2" max="2" width="29.28515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229</v>
      </c>
      <c r="C2" s="17" t="s">
        <v>224</v>
      </c>
      <c r="D2" s="16" t="s">
        <v>157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9" sqref="C9"/>
    </sheetView>
  </sheetViews>
  <sheetFormatPr defaultRowHeight="15" x14ac:dyDescent="0.25"/>
  <cols>
    <col min="1" max="1" width="22" bestFit="1" customWidth="1"/>
    <col min="2" max="2" width="18" bestFit="1" customWidth="1"/>
    <col min="3" max="3" width="34.28515625" bestFit="1" customWidth="1"/>
    <col min="4" max="4" width="16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6</v>
      </c>
      <c r="F1" t="s">
        <v>53</v>
      </c>
    </row>
    <row r="2" spans="1:6" x14ac:dyDescent="0.25">
      <c r="A2" s="1" t="s">
        <v>27</v>
      </c>
      <c r="B2" s="1" t="s">
        <v>19</v>
      </c>
      <c r="C2" s="1" t="s">
        <v>135</v>
      </c>
      <c r="D2" s="1" t="s">
        <v>20</v>
      </c>
      <c r="E2" s="7" t="s">
        <v>50</v>
      </c>
      <c r="F2" s="1" t="s">
        <v>54</v>
      </c>
    </row>
    <row r="3" spans="1:6" x14ac:dyDescent="0.25">
      <c r="A3" s="17"/>
      <c r="B3" s="17"/>
      <c r="C3" s="17"/>
      <c r="D3" s="17"/>
      <c r="E3" s="7"/>
      <c r="F3" s="17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10" sqref="E10"/>
    </sheetView>
  </sheetViews>
  <sheetFormatPr defaultRowHeight="15" x14ac:dyDescent="0.25"/>
  <cols>
    <col min="1" max="4" width="9.140625" style="16"/>
    <col min="5" max="5" width="40.28515625" style="16" bestFit="1" customWidth="1"/>
    <col min="6" max="6" width="10.28515625" style="16" bestFit="1" customWidth="1"/>
    <col min="7" max="7" width="31" style="16" bestFit="1" customWidth="1"/>
    <col min="8" max="16384" width="9.140625" style="16"/>
  </cols>
  <sheetData>
    <row r="1" spans="1:8" x14ac:dyDescent="0.25">
      <c r="A1" s="17" t="s">
        <v>47</v>
      </c>
      <c r="B1" s="17" t="s">
        <v>29</v>
      </c>
      <c r="C1" s="17" t="s">
        <v>295</v>
      </c>
      <c r="D1" s="17" t="s">
        <v>6</v>
      </c>
      <c r="E1" s="2" t="s">
        <v>162</v>
      </c>
      <c r="F1" s="16" t="s">
        <v>53</v>
      </c>
      <c r="G1" s="16" t="s">
        <v>155</v>
      </c>
      <c r="H1" s="16" t="s">
        <v>156</v>
      </c>
    </row>
    <row r="2" spans="1:8" x14ac:dyDescent="0.25">
      <c r="A2" s="17" t="s">
        <v>79</v>
      </c>
      <c r="B2" s="17" t="s">
        <v>48</v>
      </c>
      <c r="C2" s="17"/>
      <c r="D2" s="7" t="s">
        <v>103</v>
      </c>
      <c r="E2" s="9" t="s">
        <v>293</v>
      </c>
      <c r="F2" s="17" t="s">
        <v>54</v>
      </c>
      <c r="H2" s="16" t="s">
        <v>157</v>
      </c>
    </row>
    <row r="3" spans="1:8" x14ac:dyDescent="0.25">
      <c r="A3" s="17" t="s">
        <v>108</v>
      </c>
      <c r="B3" s="17">
        <v>0</v>
      </c>
      <c r="C3" s="17" t="s">
        <v>11</v>
      </c>
      <c r="D3" s="7" t="s">
        <v>104</v>
      </c>
      <c r="E3" s="9" t="s">
        <v>294</v>
      </c>
      <c r="F3" s="17" t="s">
        <v>54</v>
      </c>
      <c r="H3" s="16" t="s">
        <v>157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12" sqref="E12"/>
    </sheetView>
  </sheetViews>
  <sheetFormatPr defaultRowHeight="15" x14ac:dyDescent="0.25"/>
  <cols>
    <col min="3" max="3" width="9.140625" style="16"/>
    <col min="5" max="5" width="40.28515625" bestFit="1" customWidth="1"/>
    <col min="6" max="6" width="10.28515625" bestFit="1" customWidth="1"/>
    <col min="7" max="7" width="31" bestFit="1" customWidth="1"/>
  </cols>
  <sheetData>
    <row r="1" spans="1:8" x14ac:dyDescent="0.25">
      <c r="A1" s="1" t="s">
        <v>47</v>
      </c>
      <c r="B1" s="1" t="s">
        <v>29</v>
      </c>
      <c r="C1" s="17" t="s">
        <v>295</v>
      </c>
      <c r="D1" s="1" t="s">
        <v>6</v>
      </c>
      <c r="E1" s="2" t="s">
        <v>162</v>
      </c>
      <c r="F1" s="16" t="s">
        <v>53</v>
      </c>
      <c r="G1" s="16" t="s">
        <v>155</v>
      </c>
      <c r="H1" s="16" t="s">
        <v>156</v>
      </c>
    </row>
    <row r="2" spans="1:8" x14ac:dyDescent="0.25">
      <c r="A2" s="1" t="s">
        <v>48</v>
      </c>
      <c r="B2" s="1" t="s">
        <v>79</v>
      </c>
      <c r="C2" s="17"/>
      <c r="D2" s="7" t="s">
        <v>103</v>
      </c>
      <c r="E2" s="9" t="s">
        <v>293</v>
      </c>
      <c r="F2" s="17" t="s">
        <v>54</v>
      </c>
      <c r="G2" s="16"/>
      <c r="H2" s="16" t="s">
        <v>157</v>
      </c>
    </row>
    <row r="3" spans="1:8" x14ac:dyDescent="0.25">
      <c r="A3" s="17" t="s">
        <v>107</v>
      </c>
      <c r="B3" s="17" t="s">
        <v>48</v>
      </c>
      <c r="C3" s="17" t="s">
        <v>11</v>
      </c>
      <c r="D3" s="7" t="s">
        <v>104</v>
      </c>
      <c r="E3" s="9" t="s">
        <v>294</v>
      </c>
      <c r="F3" s="17" t="s">
        <v>54</v>
      </c>
      <c r="H3" s="16" t="s">
        <v>157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12" sqref="G12"/>
    </sheetView>
  </sheetViews>
  <sheetFormatPr defaultRowHeight="15" x14ac:dyDescent="0.25"/>
  <cols>
    <col min="2" max="2" width="36.140625" bestFit="1" customWidth="1"/>
    <col min="3" max="3" width="10.28515625" bestFit="1" customWidth="1"/>
    <col min="4" max="4" width="11.42578125" bestFit="1" customWidth="1"/>
    <col min="5" max="5" width="19" bestFit="1" customWidth="1"/>
    <col min="7" max="7" width="19.28515625" bestFit="1" customWidth="1"/>
  </cols>
  <sheetData>
    <row r="1" spans="1:7" x14ac:dyDescent="0.25">
      <c r="A1" s="9" t="s">
        <v>6</v>
      </c>
      <c r="B1" s="9" t="s">
        <v>162</v>
      </c>
      <c r="C1" s="9" t="s">
        <v>53</v>
      </c>
      <c r="D1" s="7" t="s">
        <v>421</v>
      </c>
      <c r="E1" s="17" t="s">
        <v>248</v>
      </c>
      <c r="F1" s="16" t="s">
        <v>156</v>
      </c>
      <c r="G1" s="2" t="s">
        <v>155</v>
      </c>
    </row>
    <row r="2" spans="1:7" x14ac:dyDescent="0.25">
      <c r="A2" s="9" t="s">
        <v>103</v>
      </c>
      <c r="B2" s="7" t="s">
        <v>422</v>
      </c>
      <c r="C2" s="9" t="s">
        <v>54</v>
      </c>
      <c r="D2" s="15" t="s">
        <v>447</v>
      </c>
      <c r="E2" s="17" t="s">
        <v>239</v>
      </c>
      <c r="F2" s="16" t="s">
        <v>157</v>
      </c>
      <c r="G2" s="16"/>
    </row>
    <row r="3" spans="1:7" x14ac:dyDescent="0.25">
      <c r="A3" s="9" t="s">
        <v>104</v>
      </c>
      <c r="B3" s="7" t="s">
        <v>448</v>
      </c>
      <c r="C3" s="9" t="s">
        <v>54</v>
      </c>
      <c r="D3" s="15" t="s">
        <v>449</v>
      </c>
      <c r="E3" s="17" t="s">
        <v>54</v>
      </c>
      <c r="F3" s="16" t="s">
        <v>157</v>
      </c>
      <c r="G3" s="16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231</v>
      </c>
      <c r="C2" s="17" t="s">
        <v>222</v>
      </c>
      <c r="D2" s="16" t="s">
        <v>157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9" sqref="B9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80</v>
      </c>
      <c r="B1" t="s">
        <v>6</v>
      </c>
    </row>
    <row r="2" spans="1:2" x14ac:dyDescent="0.25">
      <c r="A2" t="s">
        <v>102</v>
      </c>
      <c r="B2" s="9" t="s">
        <v>50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I5" sqref="I5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235</v>
      </c>
      <c r="C2" s="19" t="s">
        <v>161</v>
      </c>
      <c r="D2" s="16" t="s">
        <v>157</v>
      </c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I14" sqref="I14"/>
    </sheetView>
  </sheetViews>
  <sheetFormatPr defaultRowHeight="15" x14ac:dyDescent="0.25"/>
  <cols>
    <col min="1" max="1" width="20.28515625" style="16" bestFit="1" customWidth="1"/>
    <col min="2" max="16384" width="9.140625" style="16"/>
  </cols>
  <sheetData>
    <row r="1" spans="1:3" x14ac:dyDescent="0.25">
      <c r="A1" s="16" t="s">
        <v>80</v>
      </c>
      <c r="B1" s="16" t="s">
        <v>53</v>
      </c>
      <c r="C1" s="16" t="s">
        <v>6</v>
      </c>
    </row>
    <row r="2" spans="1:3" x14ac:dyDescent="0.25">
      <c r="A2" s="16" t="s">
        <v>102</v>
      </c>
      <c r="B2" s="17" t="s">
        <v>54</v>
      </c>
      <c r="C2" s="9" t="s">
        <v>50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236</v>
      </c>
      <c r="C2" s="19" t="s">
        <v>161</v>
      </c>
      <c r="D2" s="16" t="s">
        <v>157</v>
      </c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5" sqref="F15"/>
    </sheetView>
  </sheetViews>
  <sheetFormatPr defaultRowHeight="15" x14ac:dyDescent="0.25"/>
  <cols>
    <col min="1" max="1" width="22.140625" bestFit="1" customWidth="1"/>
    <col min="2" max="2" width="12" customWidth="1"/>
    <col min="3" max="3" width="20.85546875" bestFit="1" customWidth="1"/>
    <col min="4" max="4" width="11.7109375" bestFit="1" customWidth="1"/>
    <col min="5" max="5" width="15.5703125" bestFit="1" customWidth="1"/>
    <col min="7" max="7" width="20" bestFit="1" customWidth="1"/>
    <col min="8" max="8" width="19.28515625" bestFit="1" customWidth="1"/>
    <col min="9" max="9" width="10.5703125" bestFit="1" customWidth="1"/>
  </cols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6</v>
      </c>
      <c r="G1" s="17" t="s">
        <v>162</v>
      </c>
      <c r="H1" s="16" t="s">
        <v>155</v>
      </c>
      <c r="I1" s="16" t="s">
        <v>156</v>
      </c>
      <c r="J1" s="16" t="s">
        <v>53</v>
      </c>
    </row>
    <row r="2" spans="1:10" x14ac:dyDescent="0.25">
      <c r="A2" s="1" t="s">
        <v>287</v>
      </c>
      <c r="B2" s="1" t="s">
        <v>251</v>
      </c>
      <c r="C2" s="1" t="s">
        <v>37</v>
      </c>
      <c r="D2" s="1" t="s">
        <v>38</v>
      </c>
      <c r="E2" s="1" t="s">
        <v>305</v>
      </c>
      <c r="F2" s="7" t="s">
        <v>50</v>
      </c>
      <c r="G2" s="18" t="s">
        <v>260</v>
      </c>
      <c r="H2" s="16" t="s">
        <v>160</v>
      </c>
      <c r="I2" s="16" t="s">
        <v>157</v>
      </c>
      <c r="J2" s="17" t="s">
        <v>54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G2" sqref="G2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23.85546875" bestFit="1" customWidth="1"/>
    <col min="4" max="4" width="15.5703125" bestFit="1" customWidth="1"/>
    <col min="5" max="5" width="6.85546875" customWidth="1"/>
    <col min="6" max="6" width="24.140625" style="16" bestFit="1" customWidth="1"/>
    <col min="7" max="7" width="19.28515625" style="16" bestFit="1" customWidth="1"/>
    <col min="8" max="8" width="10.28515625" bestFit="1" customWidth="1"/>
    <col min="9" max="9" width="22" bestFit="1" customWidth="1"/>
  </cols>
  <sheetData>
    <row r="1" spans="1:9" x14ac:dyDescent="0.25">
      <c r="A1" s="17" t="s">
        <v>266</v>
      </c>
      <c r="B1" s="17" t="s">
        <v>40</v>
      </c>
      <c r="C1" s="17" t="s">
        <v>33</v>
      </c>
      <c r="D1" s="17" t="s">
        <v>125</v>
      </c>
      <c r="E1" s="17" t="s">
        <v>6</v>
      </c>
      <c r="F1" s="17" t="s">
        <v>162</v>
      </c>
      <c r="G1" s="16" t="s">
        <v>155</v>
      </c>
      <c r="H1" s="17" t="s">
        <v>53</v>
      </c>
      <c r="I1" s="16" t="s">
        <v>82</v>
      </c>
    </row>
    <row r="2" spans="1:9" x14ac:dyDescent="0.25">
      <c r="A2" s="17" t="s">
        <v>283</v>
      </c>
      <c r="B2" s="21" t="str">
        <f ca="1">TEXT(NOW(), "mm/dd/yyyy")</f>
        <v>09/21/2026</v>
      </c>
      <c r="C2" s="17" t="s">
        <v>301</v>
      </c>
      <c r="D2" s="17" t="s">
        <v>306</v>
      </c>
      <c r="E2" s="17" t="s">
        <v>103</v>
      </c>
      <c r="F2" s="18" t="s">
        <v>231</v>
      </c>
      <c r="G2" s="17" t="s">
        <v>160</v>
      </c>
      <c r="H2" s="17" t="s">
        <v>54</v>
      </c>
      <c r="I2" s="16" t="s">
        <v>309</v>
      </c>
    </row>
    <row r="3" spans="1:9" x14ac:dyDescent="0.25">
      <c r="A3" s="17" t="s">
        <v>282</v>
      </c>
      <c r="B3" s="21" t="str">
        <f ca="1">TEXT(NOW(), "mm/dd/yyyy")</f>
        <v>09/21/2026</v>
      </c>
      <c r="C3" s="17" t="s">
        <v>301</v>
      </c>
      <c r="D3" s="17" t="s">
        <v>267</v>
      </c>
      <c r="E3" s="17" t="s">
        <v>104</v>
      </c>
      <c r="F3" s="17"/>
      <c r="G3" s="17"/>
      <c r="H3" s="17" t="s">
        <v>54</v>
      </c>
      <c r="I3" s="16" t="s">
        <v>309</v>
      </c>
    </row>
    <row r="4" spans="1:9" x14ac:dyDescent="0.25">
      <c r="A4" s="17" t="s">
        <v>268</v>
      </c>
      <c r="B4" s="21" t="str">
        <f ca="1">TEXT(NOW(), "mm/dd/yyyy")</f>
        <v>09/21/2026</v>
      </c>
      <c r="C4" s="17" t="s">
        <v>301</v>
      </c>
      <c r="D4" s="17" t="s">
        <v>281</v>
      </c>
      <c r="E4" s="17" t="s">
        <v>284</v>
      </c>
      <c r="F4" s="17"/>
      <c r="G4" s="17"/>
      <c r="H4" s="17" t="s">
        <v>54</v>
      </c>
      <c r="I4" s="16" t="s">
        <v>309</v>
      </c>
    </row>
    <row r="5" spans="1:9" x14ac:dyDescent="0.25">
      <c r="A5" s="17" t="s">
        <v>42</v>
      </c>
      <c r="B5" s="21" t="str">
        <f ca="1">TEXT(NOW(), "mm/dd/yyyy")</f>
        <v>09/21/2026</v>
      </c>
      <c r="C5" s="17" t="s">
        <v>301</v>
      </c>
      <c r="D5" s="17" t="s">
        <v>307</v>
      </c>
      <c r="E5" s="17" t="s">
        <v>285</v>
      </c>
      <c r="F5" s="17"/>
      <c r="G5" s="17"/>
      <c r="H5" s="17" t="s">
        <v>54</v>
      </c>
      <c r="I5" s="16" t="s">
        <v>309</v>
      </c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7" sqref="C7"/>
    </sheetView>
  </sheetViews>
  <sheetFormatPr defaultRowHeight="15" x14ac:dyDescent="0.25"/>
  <cols>
    <col min="1" max="1" width="3.28515625" bestFit="1" customWidth="1"/>
    <col min="2" max="2" width="24.140625" bestFit="1" customWidth="1"/>
    <col min="3" max="3" width="29" bestFit="1" customWidth="1"/>
    <col min="4" max="4" width="10.5703125" bestFit="1" customWidth="1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231</v>
      </c>
      <c r="C2" s="17" t="s">
        <v>592</v>
      </c>
      <c r="D2" s="16" t="s">
        <v>157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15" sqref="B15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231</v>
      </c>
      <c r="C2" s="17" t="s">
        <v>160</v>
      </c>
      <c r="D2" s="16" t="s">
        <v>157</v>
      </c>
    </row>
    <row r="3" spans="1:4" x14ac:dyDescent="0.25">
      <c r="A3" s="18" t="s">
        <v>100</v>
      </c>
      <c r="B3" s="18" t="s">
        <v>231</v>
      </c>
      <c r="C3" s="17" t="s">
        <v>160</v>
      </c>
      <c r="D3" s="16" t="s">
        <v>157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0" sqref="C10"/>
    </sheetView>
  </sheetViews>
  <sheetFormatPr defaultRowHeight="15" x14ac:dyDescent="0.25"/>
  <cols>
    <col min="1" max="1" width="22.140625" style="16" bestFit="1" customWidth="1"/>
    <col min="2" max="2" width="12" style="16" customWidth="1"/>
    <col min="3" max="3" width="15.5703125" style="16" bestFit="1" customWidth="1"/>
    <col min="4" max="4" width="9.140625" style="16"/>
    <col min="5" max="5" width="20" style="16" bestFit="1" customWidth="1"/>
    <col min="6" max="6" width="19.28515625" style="16" bestFit="1" customWidth="1"/>
    <col min="7" max="7" width="10.5703125" style="16" bestFit="1" customWidth="1"/>
    <col min="8" max="16384" width="9.140625" style="16"/>
  </cols>
  <sheetData>
    <row r="1" spans="1:8" x14ac:dyDescent="0.25">
      <c r="A1" s="17" t="s">
        <v>31</v>
      </c>
      <c r="B1" s="17" t="s">
        <v>32</v>
      </c>
      <c r="C1" s="17" t="s">
        <v>35</v>
      </c>
      <c r="D1" s="17" t="s">
        <v>6</v>
      </c>
      <c r="E1" s="17" t="s">
        <v>162</v>
      </c>
      <c r="F1" s="16" t="s">
        <v>155</v>
      </c>
      <c r="G1" s="16" t="s">
        <v>156</v>
      </c>
      <c r="H1" s="16" t="s">
        <v>53</v>
      </c>
    </row>
    <row r="2" spans="1:8" x14ac:dyDescent="0.25">
      <c r="A2" s="17" t="s">
        <v>287</v>
      </c>
      <c r="B2" s="17" t="s">
        <v>286</v>
      </c>
      <c r="C2" s="17" t="s">
        <v>305</v>
      </c>
      <c r="D2" s="7" t="s">
        <v>50</v>
      </c>
      <c r="E2" s="18" t="s">
        <v>260</v>
      </c>
      <c r="F2" s="16" t="s">
        <v>160</v>
      </c>
      <c r="G2" s="16" t="s">
        <v>157</v>
      </c>
      <c r="H2" s="17" t="s">
        <v>54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G7" sqref="G7"/>
    </sheetView>
  </sheetViews>
  <sheetFormatPr defaultRowHeight="15" x14ac:dyDescent="0.25"/>
  <cols>
    <col min="1" max="1" width="15.28515625" style="16" customWidth="1"/>
    <col min="2" max="3" width="9.140625" style="16"/>
    <col min="4" max="4" width="11" style="16" bestFit="1" customWidth="1"/>
    <col min="5" max="16384" width="9.140625" style="16"/>
  </cols>
  <sheetData>
    <row r="1" spans="1:4" x14ac:dyDescent="0.25">
      <c r="A1" s="17" t="s">
        <v>35</v>
      </c>
      <c r="B1" s="17" t="s">
        <v>6</v>
      </c>
      <c r="C1" s="16" t="s">
        <v>53</v>
      </c>
      <c r="D1" s="17" t="s">
        <v>82</v>
      </c>
    </row>
    <row r="2" spans="1:4" x14ac:dyDescent="0.25">
      <c r="A2" s="17" t="s">
        <v>305</v>
      </c>
      <c r="B2" s="17" t="s">
        <v>50</v>
      </c>
      <c r="C2" s="17" t="s">
        <v>54</v>
      </c>
      <c r="D2" s="7" t="s">
        <v>308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0" sqref="G10"/>
    </sheetView>
  </sheetViews>
  <sheetFormatPr defaultRowHeight="15" x14ac:dyDescent="0.25"/>
  <cols>
    <col min="1" max="1" width="12.42578125" bestFit="1" customWidth="1"/>
    <col min="2" max="2" width="12.42578125" style="6" bestFit="1" customWidth="1"/>
    <col min="3" max="3" width="23.85546875" bestFit="1" customWidth="1"/>
    <col min="4" max="4" width="15.28515625" customWidth="1"/>
    <col min="6" max="6" width="10.28515625" bestFit="1" customWidth="1"/>
    <col min="7" max="7" width="11" bestFit="1" customWidth="1"/>
  </cols>
  <sheetData>
    <row r="1" spans="1:7" x14ac:dyDescent="0.25">
      <c r="A1" s="1" t="s">
        <v>39</v>
      </c>
      <c r="B1" s="6" t="s">
        <v>40</v>
      </c>
      <c r="C1" s="17" t="s">
        <v>41</v>
      </c>
      <c r="D1" s="1" t="s">
        <v>35</v>
      </c>
      <c r="E1" s="1" t="s">
        <v>6</v>
      </c>
      <c r="F1" t="s">
        <v>53</v>
      </c>
      <c r="G1" s="17" t="s">
        <v>82</v>
      </c>
    </row>
    <row r="2" spans="1:7" x14ac:dyDescent="0.25">
      <c r="A2" s="1" t="s">
        <v>42</v>
      </c>
      <c r="B2" s="6" t="str">
        <f ca="1">TEXT(NOW(),"YYYY-MM-DD")</f>
        <v>2026-09-21</v>
      </c>
      <c r="C2" s="17" t="s">
        <v>301</v>
      </c>
      <c r="D2" s="1" t="s">
        <v>305</v>
      </c>
      <c r="E2" s="1" t="s">
        <v>50</v>
      </c>
      <c r="F2" s="1" t="s">
        <v>54</v>
      </c>
      <c r="G2" s="17" t="s">
        <v>308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12" sqref="F12"/>
    </sheetView>
  </sheetViews>
  <sheetFormatPr defaultRowHeight="15" x14ac:dyDescent="0.25"/>
  <cols>
    <col min="1" max="1" width="22.140625" style="16" bestFit="1" customWidth="1"/>
    <col min="2" max="2" width="12.28515625" style="16" bestFit="1" customWidth="1"/>
    <col min="3" max="3" width="12.28515625" style="16" customWidth="1"/>
    <col min="4" max="16384" width="9.140625" style="16"/>
  </cols>
  <sheetData>
    <row r="1" spans="1:8" x14ac:dyDescent="0.25">
      <c r="A1" s="17" t="s">
        <v>31</v>
      </c>
      <c r="B1" s="17" t="s">
        <v>32</v>
      </c>
      <c r="C1" s="17" t="s">
        <v>35</v>
      </c>
      <c r="D1" s="17" t="s">
        <v>6</v>
      </c>
      <c r="E1" s="17" t="s">
        <v>162</v>
      </c>
      <c r="F1" s="16" t="s">
        <v>155</v>
      </c>
      <c r="G1" s="16" t="s">
        <v>156</v>
      </c>
      <c r="H1" s="16" t="s">
        <v>53</v>
      </c>
    </row>
    <row r="2" spans="1:8" x14ac:dyDescent="0.25">
      <c r="A2" s="17" t="s">
        <v>287</v>
      </c>
      <c r="B2" s="17" t="s">
        <v>286</v>
      </c>
      <c r="C2" s="17" t="s">
        <v>536</v>
      </c>
      <c r="D2" s="7" t="s">
        <v>50</v>
      </c>
      <c r="E2" s="18" t="s">
        <v>537</v>
      </c>
      <c r="F2" s="16" t="s">
        <v>160</v>
      </c>
      <c r="G2" s="16" t="s">
        <v>157</v>
      </c>
      <c r="H2" s="17" t="s">
        <v>54</v>
      </c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13" sqref="F13"/>
    </sheetView>
  </sheetViews>
  <sheetFormatPr defaultRowHeight="15" x14ac:dyDescent="0.25"/>
  <cols>
    <col min="1" max="1" width="22.140625" style="16" bestFit="1" customWidth="1"/>
    <col min="2" max="2" width="12.28515625" style="16" bestFit="1" customWidth="1"/>
    <col min="3" max="3" width="12.28515625" style="16" customWidth="1"/>
    <col min="4" max="16384" width="9.140625" style="16"/>
  </cols>
  <sheetData>
    <row r="1" spans="1:4" x14ac:dyDescent="0.25">
      <c r="A1" s="17" t="s">
        <v>35</v>
      </c>
      <c r="B1" s="17" t="s">
        <v>6</v>
      </c>
      <c r="C1" s="16" t="s">
        <v>53</v>
      </c>
      <c r="D1" s="17" t="s">
        <v>82</v>
      </c>
    </row>
    <row r="2" spans="1:4" x14ac:dyDescent="0.25">
      <c r="A2" s="17" t="s">
        <v>538</v>
      </c>
      <c r="B2" s="17" t="s">
        <v>50</v>
      </c>
      <c r="C2" s="17" t="s">
        <v>54</v>
      </c>
      <c r="D2" s="7" t="s">
        <v>507</v>
      </c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11" sqref="C11"/>
    </sheetView>
  </sheetViews>
  <sheetFormatPr defaultRowHeight="15" x14ac:dyDescent="0.25"/>
  <sheetData>
    <row r="1" spans="1:10" s="16" customFormat="1" x14ac:dyDescent="0.25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6</v>
      </c>
      <c r="G1" s="17" t="s">
        <v>162</v>
      </c>
      <c r="H1" s="16" t="s">
        <v>155</v>
      </c>
      <c r="I1" s="16" t="s">
        <v>156</v>
      </c>
      <c r="J1" s="16" t="s">
        <v>53</v>
      </c>
    </row>
    <row r="2" spans="1:10" s="16" customFormat="1" x14ac:dyDescent="0.25">
      <c r="A2" s="17" t="s">
        <v>287</v>
      </c>
      <c r="B2" s="17" t="s">
        <v>251</v>
      </c>
      <c r="C2" s="17" t="s">
        <v>37</v>
      </c>
      <c r="D2" s="17" t="s">
        <v>38</v>
      </c>
      <c r="E2" s="17" t="s">
        <v>539</v>
      </c>
      <c r="F2" s="7" t="s">
        <v>50</v>
      </c>
      <c r="G2" s="18" t="s">
        <v>260</v>
      </c>
      <c r="H2" s="16" t="s">
        <v>160</v>
      </c>
      <c r="I2" s="16" t="s">
        <v>157</v>
      </c>
      <c r="J2" s="17" t="s">
        <v>54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14" sqref="C14"/>
    </sheetView>
  </sheetViews>
  <sheetFormatPr defaultRowHeight="15" x14ac:dyDescent="0.25"/>
  <cols>
    <col min="3" max="3" width="23.85546875" bestFit="1" customWidth="1"/>
  </cols>
  <sheetData>
    <row r="1" spans="1:7" s="16" customFormat="1" x14ac:dyDescent="0.25">
      <c r="A1" s="17" t="s">
        <v>39</v>
      </c>
      <c r="B1" s="6" t="s">
        <v>40</v>
      </c>
      <c r="C1" s="17" t="s">
        <v>41</v>
      </c>
      <c r="D1" s="17" t="s">
        <v>35</v>
      </c>
      <c r="E1" s="17" t="s">
        <v>6</v>
      </c>
      <c r="F1" s="16" t="s">
        <v>53</v>
      </c>
      <c r="G1" s="17" t="s">
        <v>82</v>
      </c>
    </row>
    <row r="2" spans="1:7" s="16" customFormat="1" x14ac:dyDescent="0.25">
      <c r="A2" s="17" t="s">
        <v>540</v>
      </c>
      <c r="B2" s="6" t="str">
        <f ca="1">TEXT(NOW(),"YYYY-MM-DD")</f>
        <v>2026-09-21</v>
      </c>
      <c r="C2" s="17" t="s">
        <v>301</v>
      </c>
      <c r="D2" s="17" t="s">
        <v>539</v>
      </c>
      <c r="E2" s="17" t="s">
        <v>50</v>
      </c>
      <c r="F2" s="17" t="s">
        <v>54</v>
      </c>
      <c r="G2" s="17" t="s">
        <v>506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3" sqref="B3"/>
    </sheetView>
  </sheetViews>
  <sheetFormatPr defaultRowHeight="15" x14ac:dyDescent="0.25"/>
  <cols>
    <col min="2" max="2" width="43.28515625" bestFit="1" customWidth="1"/>
  </cols>
  <sheetData>
    <row r="1" spans="1:6" s="16" customFormat="1" x14ac:dyDescent="0.25">
      <c r="A1" s="17" t="s">
        <v>6</v>
      </c>
      <c r="B1" s="17" t="s">
        <v>162</v>
      </c>
      <c r="C1" s="16" t="s">
        <v>155</v>
      </c>
      <c r="D1" s="16" t="s">
        <v>156</v>
      </c>
      <c r="E1" s="16" t="s">
        <v>53</v>
      </c>
      <c r="F1" s="17" t="s">
        <v>82</v>
      </c>
    </row>
    <row r="2" spans="1:6" s="16" customFormat="1" x14ac:dyDescent="0.25">
      <c r="A2" s="17" t="s">
        <v>50</v>
      </c>
      <c r="B2" s="18" t="s">
        <v>589</v>
      </c>
      <c r="D2" s="16" t="s">
        <v>157</v>
      </c>
      <c r="E2" s="17" t="s">
        <v>54</v>
      </c>
      <c r="F2" s="7" t="s">
        <v>507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1" sqref="B11"/>
    </sheetView>
  </sheetViews>
  <sheetFormatPr defaultRowHeight="15" x14ac:dyDescent="0.25"/>
  <cols>
    <col min="2" max="2" width="46" bestFit="1" customWidth="1"/>
  </cols>
  <sheetData>
    <row r="1" spans="1:5" s="16" customFormat="1" x14ac:dyDescent="0.25">
      <c r="A1" s="17" t="s">
        <v>6</v>
      </c>
      <c r="B1" s="17" t="s">
        <v>162</v>
      </c>
      <c r="C1" s="17" t="s">
        <v>204</v>
      </c>
      <c r="D1" s="16" t="s">
        <v>53</v>
      </c>
      <c r="E1" s="17" t="s">
        <v>82</v>
      </c>
    </row>
    <row r="2" spans="1:5" s="16" customFormat="1" x14ac:dyDescent="0.25">
      <c r="A2" s="17" t="s">
        <v>50</v>
      </c>
      <c r="B2" s="18" t="s">
        <v>588</v>
      </c>
      <c r="C2" s="18" t="s">
        <v>331</v>
      </c>
      <c r="D2" s="17" t="s">
        <v>54</v>
      </c>
      <c r="E2" s="17" t="s">
        <v>506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15" sqref="H15"/>
    </sheetView>
  </sheetViews>
  <sheetFormatPr defaultRowHeight="15" x14ac:dyDescent="0.25"/>
  <sheetData>
    <row r="1" spans="1:8" s="16" customFormat="1" x14ac:dyDescent="0.25">
      <c r="A1" s="17" t="s">
        <v>31</v>
      </c>
      <c r="B1" s="17" t="s">
        <v>32</v>
      </c>
      <c r="C1" s="17" t="s">
        <v>35</v>
      </c>
      <c r="D1" s="17" t="s">
        <v>6</v>
      </c>
      <c r="E1" s="17" t="s">
        <v>162</v>
      </c>
      <c r="F1" s="16" t="s">
        <v>155</v>
      </c>
      <c r="G1" s="16" t="s">
        <v>156</v>
      </c>
      <c r="H1" s="16" t="s">
        <v>53</v>
      </c>
    </row>
    <row r="2" spans="1:8" s="16" customFormat="1" x14ac:dyDescent="0.25">
      <c r="A2" s="17" t="s">
        <v>287</v>
      </c>
      <c r="B2" s="17" t="s">
        <v>286</v>
      </c>
      <c r="C2" s="17" t="s">
        <v>305</v>
      </c>
      <c r="D2" s="7" t="s">
        <v>50</v>
      </c>
      <c r="E2" s="18" t="s">
        <v>541</v>
      </c>
      <c r="F2" s="16" t="s">
        <v>160</v>
      </c>
      <c r="G2" s="16" t="s">
        <v>157</v>
      </c>
      <c r="H2" s="17" t="s">
        <v>54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7" sqref="E17"/>
    </sheetView>
  </sheetViews>
  <sheetFormatPr defaultRowHeight="15" x14ac:dyDescent="0.25"/>
  <cols>
    <col min="2" max="2" width="11" bestFit="1" customWidth="1"/>
  </cols>
  <sheetData>
    <row r="1" spans="1:7" s="16" customFormat="1" x14ac:dyDescent="0.25">
      <c r="A1" s="17" t="s">
        <v>457</v>
      </c>
      <c r="B1" s="17" t="s">
        <v>82</v>
      </c>
      <c r="C1" s="17" t="s">
        <v>6</v>
      </c>
      <c r="D1" s="17" t="s">
        <v>162</v>
      </c>
      <c r="E1" s="16" t="s">
        <v>53</v>
      </c>
      <c r="F1" s="17" t="s">
        <v>248</v>
      </c>
      <c r="G1" s="16" t="s">
        <v>155</v>
      </c>
    </row>
    <row r="2" spans="1:7" s="16" customFormat="1" x14ac:dyDescent="0.25">
      <c r="A2" s="17" t="s">
        <v>542</v>
      </c>
      <c r="B2" s="7" t="s">
        <v>308</v>
      </c>
      <c r="C2" s="17" t="s">
        <v>50</v>
      </c>
      <c r="D2" s="18" t="s">
        <v>543</v>
      </c>
      <c r="E2" s="17" t="s">
        <v>54</v>
      </c>
      <c r="F2" s="17" t="s">
        <v>239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8" sqref="A8"/>
    </sheetView>
  </sheetViews>
  <sheetFormatPr defaultRowHeight="15" x14ac:dyDescent="0.25"/>
  <cols>
    <col min="1" max="1" width="25.28515625" bestFit="1" customWidth="1"/>
    <col min="2" max="2" width="5.28515625" bestFit="1" customWidth="1"/>
    <col min="3" max="3" width="15.5703125" bestFit="1" customWidth="1"/>
    <col min="4" max="4" width="3.28515625" bestFit="1" customWidth="1"/>
    <col min="5" max="5" width="29.28515625" bestFit="1" customWidth="1"/>
    <col min="6" max="6" width="19.28515625" bestFit="1" customWidth="1"/>
    <col min="7" max="7" width="10.5703125" bestFit="1" customWidth="1"/>
    <col min="8" max="8" width="10.28515625" bestFit="1" customWidth="1"/>
  </cols>
  <sheetData>
    <row r="1" spans="1:8" s="16" customFormat="1" x14ac:dyDescent="0.25">
      <c r="A1" s="17" t="s">
        <v>31</v>
      </c>
      <c r="B1" s="17" t="s">
        <v>32</v>
      </c>
      <c r="C1" s="17" t="s">
        <v>35</v>
      </c>
      <c r="D1" s="17" t="s">
        <v>6</v>
      </c>
      <c r="E1" s="17" t="s">
        <v>162</v>
      </c>
      <c r="F1" s="16" t="s">
        <v>155</v>
      </c>
      <c r="G1" s="16" t="s">
        <v>156</v>
      </c>
      <c r="H1" s="16" t="s">
        <v>53</v>
      </c>
    </row>
    <row r="2" spans="1:8" s="16" customFormat="1" x14ac:dyDescent="0.25">
      <c r="A2" s="17" t="s">
        <v>287</v>
      </c>
      <c r="B2" s="17" t="s">
        <v>286</v>
      </c>
      <c r="C2" s="17" t="s">
        <v>305</v>
      </c>
      <c r="D2" s="7" t="s">
        <v>50</v>
      </c>
      <c r="E2" s="18" t="s">
        <v>556</v>
      </c>
      <c r="F2" s="16" t="s">
        <v>160</v>
      </c>
      <c r="G2" s="16" t="s">
        <v>157</v>
      </c>
      <c r="H2" s="17" t="s">
        <v>54</v>
      </c>
    </row>
    <row r="3" spans="1:8" s="16" customFormat="1" x14ac:dyDescent="0.25">
      <c r="A3" s="17" t="s">
        <v>287</v>
      </c>
      <c r="B3" s="17" t="s">
        <v>286</v>
      </c>
      <c r="C3" s="17" t="s">
        <v>305</v>
      </c>
      <c r="D3" s="7" t="s">
        <v>100</v>
      </c>
      <c r="E3" s="18" t="s">
        <v>260</v>
      </c>
      <c r="F3" s="16" t="s">
        <v>160</v>
      </c>
      <c r="G3" s="16" t="s">
        <v>157</v>
      </c>
      <c r="H3" s="17" t="s">
        <v>54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1" sqref="D11"/>
    </sheetView>
  </sheetViews>
  <sheetFormatPr defaultRowHeight="15" x14ac:dyDescent="0.25"/>
  <cols>
    <col min="1" max="1" width="15.5703125" bestFit="1" customWidth="1"/>
    <col min="2" max="2" width="5.7109375" bestFit="1" customWidth="1"/>
    <col min="3" max="3" width="10.28515625" bestFit="1" customWidth="1"/>
    <col min="4" max="4" width="11" bestFit="1" customWidth="1"/>
  </cols>
  <sheetData>
    <row r="1" spans="1:4" s="16" customFormat="1" x14ac:dyDescent="0.25">
      <c r="A1" s="17" t="s">
        <v>35</v>
      </c>
      <c r="B1" s="17" t="s">
        <v>6</v>
      </c>
      <c r="C1" s="16" t="s">
        <v>53</v>
      </c>
      <c r="D1" s="17" t="s">
        <v>82</v>
      </c>
    </row>
    <row r="2" spans="1:4" s="16" customFormat="1" x14ac:dyDescent="0.25">
      <c r="A2" s="7" t="s">
        <v>305</v>
      </c>
      <c r="B2" s="17" t="s">
        <v>103</v>
      </c>
      <c r="C2" s="17" t="s">
        <v>54</v>
      </c>
      <c r="D2" s="7" t="s">
        <v>498</v>
      </c>
    </row>
    <row r="3" spans="1:4" s="16" customFormat="1" x14ac:dyDescent="0.25">
      <c r="A3" s="17" t="s">
        <v>305</v>
      </c>
      <c r="B3" s="17" t="s">
        <v>129</v>
      </c>
      <c r="C3" s="17" t="s">
        <v>54</v>
      </c>
      <c r="D3" s="7" t="s">
        <v>498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J16" sqref="J16"/>
    </sheetView>
  </sheetViews>
  <sheetFormatPr defaultRowHeight="15" x14ac:dyDescent="0.25"/>
  <cols>
    <col min="2" max="2" width="39.140625" bestFit="1" customWidth="1"/>
  </cols>
  <sheetData>
    <row r="1" spans="1:7" s="16" customFormat="1" x14ac:dyDescent="0.25">
      <c r="A1" s="9" t="s">
        <v>6</v>
      </c>
      <c r="B1" s="9" t="s">
        <v>162</v>
      </c>
      <c r="C1" s="9" t="s">
        <v>53</v>
      </c>
      <c r="D1" s="7" t="s">
        <v>557</v>
      </c>
      <c r="E1" s="17" t="s">
        <v>248</v>
      </c>
      <c r="F1" s="16" t="s">
        <v>156</v>
      </c>
      <c r="G1" s="2" t="s">
        <v>155</v>
      </c>
    </row>
    <row r="2" spans="1:7" s="16" customFormat="1" x14ac:dyDescent="0.25">
      <c r="A2" s="9" t="s">
        <v>103</v>
      </c>
      <c r="B2" s="7" t="s">
        <v>590</v>
      </c>
      <c r="C2" s="9" t="s">
        <v>54</v>
      </c>
      <c r="D2" s="15" t="s">
        <v>11</v>
      </c>
      <c r="E2" s="17" t="s">
        <v>239</v>
      </c>
      <c r="F2" s="16" t="s">
        <v>157</v>
      </c>
    </row>
    <row r="3" spans="1:7" s="16" customFormat="1" x14ac:dyDescent="0.25">
      <c r="A3" s="9" t="s">
        <v>129</v>
      </c>
      <c r="B3" s="7" t="s">
        <v>591</v>
      </c>
      <c r="C3" s="9" t="s">
        <v>54</v>
      </c>
      <c r="D3" s="15" t="s">
        <v>562</v>
      </c>
      <c r="E3" s="17" t="s">
        <v>239</v>
      </c>
      <c r="F3" s="16" t="s">
        <v>157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1" sqref="J1"/>
    </sheetView>
  </sheetViews>
  <sheetFormatPr defaultRowHeight="15" x14ac:dyDescent="0.25"/>
  <cols>
    <col min="1" max="1" width="22.140625" bestFit="1" customWidth="1"/>
    <col min="2" max="2" width="12.28515625" bestFit="1" customWidth="1"/>
    <col min="3" max="3" width="12.28515625" style="16" customWidth="1"/>
  </cols>
  <sheetData>
    <row r="1" spans="1:4" x14ac:dyDescent="0.25">
      <c r="A1" s="17" t="s">
        <v>82</v>
      </c>
      <c r="B1" s="17" t="s">
        <v>265</v>
      </c>
      <c r="C1" s="17" t="s">
        <v>269</v>
      </c>
      <c r="D1" s="17" t="s">
        <v>6</v>
      </c>
    </row>
    <row r="2" spans="1:4" x14ac:dyDescent="0.25">
      <c r="A2" s="17" t="s">
        <v>36</v>
      </c>
      <c r="B2" s="17" t="str">
        <f ca="1">TEXT(NOW(),"YYYY-MM-DD")</f>
        <v>2026-09-21</v>
      </c>
      <c r="C2" s="17" t="s">
        <v>268</v>
      </c>
      <c r="D2" s="7" t="s">
        <v>50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5" sqref="F15"/>
    </sheetView>
  </sheetViews>
  <sheetFormatPr defaultRowHeight="15" x14ac:dyDescent="0.25"/>
  <cols>
    <col min="1" max="1" width="10.42578125" style="16" bestFit="1" customWidth="1"/>
    <col min="2" max="2" width="53.28515625" style="16" bestFit="1" customWidth="1"/>
    <col min="3" max="3" width="9.140625" style="16"/>
    <col min="4" max="4" width="10.28515625" style="16" bestFit="1" customWidth="1"/>
    <col min="5" max="16384" width="9.140625" style="16"/>
  </cols>
  <sheetData>
    <row r="1" spans="1:5" x14ac:dyDescent="0.25">
      <c r="A1" s="6" t="s">
        <v>49</v>
      </c>
      <c r="B1" s="17" t="s">
        <v>23</v>
      </c>
      <c r="C1" s="17" t="s">
        <v>6</v>
      </c>
      <c r="D1" s="16" t="s">
        <v>53</v>
      </c>
      <c r="E1" s="17" t="s">
        <v>82</v>
      </c>
    </row>
    <row r="2" spans="1:5" x14ac:dyDescent="0.25">
      <c r="A2" s="15" t="s">
        <v>460</v>
      </c>
      <c r="B2" s="17" t="s">
        <v>27</v>
      </c>
      <c r="C2" s="7" t="s">
        <v>50</v>
      </c>
      <c r="D2" s="17" t="s">
        <v>54</v>
      </c>
      <c r="E2" s="17" t="s">
        <v>280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L16" sqref="L16"/>
    </sheetView>
  </sheetViews>
  <sheetFormatPr defaultRowHeight="15" x14ac:dyDescent="0.25"/>
  <cols>
    <col min="1" max="1" width="10.42578125" bestFit="1" customWidth="1"/>
    <col min="2" max="2" width="53.28515625" bestFit="1" customWidth="1"/>
    <col min="4" max="4" width="10.28515625" bestFit="1" customWidth="1"/>
  </cols>
  <sheetData>
    <row r="1" spans="1:4" x14ac:dyDescent="0.25">
      <c r="A1" s="6" t="s">
        <v>49</v>
      </c>
      <c r="B1" s="1" t="s">
        <v>23</v>
      </c>
      <c r="C1" s="1" t="s">
        <v>6</v>
      </c>
      <c r="D1" t="s">
        <v>53</v>
      </c>
    </row>
    <row r="2" spans="1:4" x14ac:dyDescent="0.25">
      <c r="A2" s="15" t="str">
        <f ca="1">TEXT(NOW(),"YYYY-MM-DD")</f>
        <v>2026-09-21</v>
      </c>
      <c r="B2" s="1" t="s">
        <v>27</v>
      </c>
      <c r="C2" s="7" t="s">
        <v>50</v>
      </c>
      <c r="D2" s="1" t="s">
        <v>54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8" sqref="C8"/>
    </sheetView>
  </sheetViews>
  <sheetFormatPr defaultRowHeight="15" x14ac:dyDescent="0.25"/>
  <cols>
    <col min="1" max="1" width="13.140625" bestFit="1" customWidth="1"/>
    <col min="2" max="2" width="27.85546875" bestFit="1" customWidth="1"/>
    <col min="3" max="3" width="18.140625" bestFit="1" customWidth="1"/>
    <col min="5" max="5" width="65.140625" bestFit="1" customWidth="1"/>
    <col min="6" max="6" width="10.28515625" bestFit="1" customWidth="1"/>
    <col min="7" max="7" width="19" bestFit="1" customWidth="1"/>
    <col min="8" max="8" width="10.5703125" bestFit="1" customWidth="1"/>
    <col min="9" max="9" width="19.28515625" bestFit="1" customWidth="1"/>
  </cols>
  <sheetData>
    <row r="1" spans="1:9" x14ac:dyDescent="0.25">
      <c r="A1" s="16" t="s">
        <v>450</v>
      </c>
      <c r="B1" s="16" t="s">
        <v>451</v>
      </c>
      <c r="C1" s="16" t="s">
        <v>452</v>
      </c>
      <c r="D1" s="9" t="s">
        <v>6</v>
      </c>
      <c r="E1" s="9" t="s">
        <v>162</v>
      </c>
      <c r="F1" s="9" t="s">
        <v>53</v>
      </c>
      <c r="G1" s="17" t="s">
        <v>248</v>
      </c>
      <c r="H1" s="16" t="s">
        <v>156</v>
      </c>
      <c r="I1" s="2" t="s">
        <v>155</v>
      </c>
    </row>
    <row r="2" spans="1:9" x14ac:dyDescent="0.25">
      <c r="A2" s="9" t="s">
        <v>689</v>
      </c>
      <c r="B2" s="9" t="s">
        <v>11</v>
      </c>
      <c r="C2" s="9" t="s">
        <v>11</v>
      </c>
      <c r="D2" s="9" t="s">
        <v>103</v>
      </c>
      <c r="E2" s="9" t="s">
        <v>453</v>
      </c>
      <c r="F2" s="9" t="s">
        <v>54</v>
      </c>
      <c r="G2" s="17" t="s">
        <v>239</v>
      </c>
      <c r="H2" s="16" t="s">
        <v>157</v>
      </c>
      <c r="I2" s="16"/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H3" sqref="H3"/>
    </sheetView>
  </sheetViews>
  <sheetFormatPr defaultRowHeight="15" x14ac:dyDescent="0.25"/>
  <cols>
    <col min="1" max="1" width="13.42578125" bestFit="1" customWidth="1"/>
    <col min="2" max="3" width="11.42578125" bestFit="1" customWidth="1"/>
    <col min="4" max="4" width="16.140625" bestFit="1" customWidth="1"/>
    <col min="5" max="5" width="13.7109375" bestFit="1" customWidth="1"/>
    <col min="6" max="6" width="12.7109375" bestFit="1" customWidth="1"/>
    <col min="7" max="7" width="5.7109375" bestFit="1" customWidth="1"/>
    <col min="8" max="8" width="38.28515625" bestFit="1" customWidth="1"/>
    <col min="9" max="9" width="10.28515625" bestFit="1" customWidth="1"/>
    <col min="10" max="10" width="19" bestFit="1" customWidth="1"/>
    <col min="11" max="11" width="10.5703125" bestFit="1" customWidth="1"/>
    <col min="12" max="12" width="19.28515625" bestFit="1" customWidth="1"/>
  </cols>
  <sheetData>
    <row r="1" spans="1:12" x14ac:dyDescent="0.25">
      <c r="A1" s="16" t="s">
        <v>596</v>
      </c>
      <c r="B1" s="16" t="s">
        <v>597</v>
      </c>
      <c r="C1" s="16" t="s">
        <v>598</v>
      </c>
      <c r="D1" s="16" t="s">
        <v>599</v>
      </c>
      <c r="E1" s="16" t="s">
        <v>600</v>
      </c>
      <c r="F1" s="16" t="s">
        <v>601</v>
      </c>
      <c r="G1" s="9" t="s">
        <v>6</v>
      </c>
      <c r="H1" s="9" t="s">
        <v>162</v>
      </c>
      <c r="I1" s="9" t="s">
        <v>53</v>
      </c>
      <c r="J1" s="17" t="s">
        <v>248</v>
      </c>
      <c r="K1" s="16" t="s">
        <v>156</v>
      </c>
      <c r="L1" s="2" t="s">
        <v>155</v>
      </c>
    </row>
    <row r="2" spans="1:12" x14ac:dyDescent="0.25">
      <c r="A2" s="9" t="s">
        <v>11</v>
      </c>
      <c r="B2" s="9" t="s">
        <v>568</v>
      </c>
      <c r="C2" s="9" t="s">
        <v>568</v>
      </c>
      <c r="D2" s="9" t="s">
        <v>454</v>
      </c>
      <c r="E2" s="9" t="s">
        <v>553</v>
      </c>
      <c r="F2" s="9" t="s">
        <v>554</v>
      </c>
      <c r="G2" s="9" t="s">
        <v>103</v>
      </c>
      <c r="H2" s="9" t="s">
        <v>636</v>
      </c>
      <c r="I2" s="9" t="s">
        <v>54</v>
      </c>
      <c r="J2" s="17" t="s">
        <v>239</v>
      </c>
      <c r="K2" s="16" t="s">
        <v>157</v>
      </c>
      <c r="L2" s="16"/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29.7109375" bestFit="1" customWidth="1"/>
    <col min="4" max="4" width="30.7109375" bestFit="1" customWidth="1"/>
    <col min="5" max="5" width="5.7109375" bestFit="1" customWidth="1"/>
    <col min="6" max="6" width="47" bestFit="1" customWidth="1"/>
    <col min="7" max="7" width="10.28515625" bestFit="1" customWidth="1"/>
    <col min="8" max="8" width="19" bestFit="1" customWidth="1"/>
    <col min="9" max="9" width="10.5703125" bestFit="1" customWidth="1"/>
    <col min="10" max="10" width="19.28515625" bestFit="1" customWidth="1"/>
  </cols>
  <sheetData>
    <row r="1" spans="1:10" x14ac:dyDescent="0.25">
      <c r="A1" s="16" t="s">
        <v>456</v>
      </c>
      <c r="B1" s="16" t="s">
        <v>457</v>
      </c>
      <c r="C1" s="16" t="s">
        <v>603</v>
      </c>
      <c r="D1" s="16" t="s">
        <v>602</v>
      </c>
      <c r="E1" s="9" t="s">
        <v>6</v>
      </c>
      <c r="F1" s="9" t="s">
        <v>162</v>
      </c>
      <c r="G1" s="9" t="s">
        <v>53</v>
      </c>
      <c r="H1" s="17" t="s">
        <v>248</v>
      </c>
      <c r="I1" s="16" t="s">
        <v>156</v>
      </c>
      <c r="J1" s="2" t="s">
        <v>155</v>
      </c>
    </row>
    <row r="2" spans="1:10" x14ac:dyDescent="0.25">
      <c r="A2" s="9" t="s">
        <v>555</v>
      </c>
      <c r="B2" s="9" t="s">
        <v>555</v>
      </c>
      <c r="C2" s="9" t="s">
        <v>563</v>
      </c>
      <c r="D2" s="9" t="s">
        <v>563</v>
      </c>
      <c r="E2" s="9" t="s">
        <v>103</v>
      </c>
      <c r="F2" s="9" t="s">
        <v>637</v>
      </c>
      <c r="G2" s="9" t="s">
        <v>54</v>
      </c>
      <c r="H2" s="6" t="s">
        <v>239</v>
      </c>
      <c r="I2" s="16" t="s">
        <v>157</v>
      </c>
      <c r="J2" s="16"/>
    </row>
    <row r="3" spans="1:10" x14ac:dyDescent="0.25">
      <c r="A3" s="9" t="s">
        <v>454</v>
      </c>
      <c r="B3" s="9" t="s">
        <v>639</v>
      </c>
      <c r="C3" s="9" t="s">
        <v>563</v>
      </c>
      <c r="D3" s="9" t="s">
        <v>563</v>
      </c>
      <c r="E3" s="9" t="s">
        <v>104</v>
      </c>
      <c r="F3" s="9" t="s">
        <v>641</v>
      </c>
      <c r="G3" s="9" t="s">
        <v>54</v>
      </c>
      <c r="H3" s="6" t="s">
        <v>54</v>
      </c>
      <c r="I3" s="16" t="s">
        <v>157</v>
      </c>
      <c r="J3" s="16"/>
    </row>
    <row r="4" spans="1:10" x14ac:dyDescent="0.25">
      <c r="A4" s="9" t="s">
        <v>454</v>
      </c>
      <c r="B4" s="9" t="s">
        <v>640</v>
      </c>
      <c r="C4" s="9" t="s">
        <v>563</v>
      </c>
      <c r="D4" s="9" t="s">
        <v>563</v>
      </c>
      <c r="E4" s="9" t="s">
        <v>284</v>
      </c>
      <c r="F4" s="9" t="s">
        <v>641</v>
      </c>
      <c r="G4" s="9" t="s">
        <v>54</v>
      </c>
      <c r="H4" s="6" t="s">
        <v>54</v>
      </c>
      <c r="I4" s="16" t="s">
        <v>157</v>
      </c>
      <c r="J4" s="16"/>
    </row>
    <row r="5" spans="1:10" x14ac:dyDescent="0.25">
      <c r="A5" t="s">
        <v>550</v>
      </c>
      <c r="B5" t="s">
        <v>550</v>
      </c>
      <c r="C5" s="9" t="s">
        <v>563</v>
      </c>
      <c r="D5" s="9" t="s">
        <v>563</v>
      </c>
      <c r="E5" s="9" t="s">
        <v>285</v>
      </c>
      <c r="F5" s="9" t="s">
        <v>638</v>
      </c>
      <c r="G5" s="9" t="s">
        <v>54</v>
      </c>
      <c r="H5" s="6" t="s">
        <v>239</v>
      </c>
      <c r="I5" s="16" t="s">
        <v>157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17" sqref="G17"/>
    </sheetView>
  </sheetViews>
  <sheetFormatPr defaultRowHeight="15" x14ac:dyDescent="0.25"/>
  <cols>
    <col min="1" max="1" width="18" bestFit="1" customWidth="1"/>
    <col min="2" max="2" width="13.5703125" bestFit="1" customWidth="1"/>
    <col min="3" max="3" width="13.5703125" style="16" customWidth="1"/>
    <col min="4" max="4" width="20.7109375" style="16" bestFit="1" customWidth="1"/>
    <col min="5" max="5" width="22" style="16" bestFit="1" customWidth="1"/>
    <col min="7" max="7" width="59.28515625" bestFit="1" customWidth="1"/>
    <col min="8" max="8" width="10.28515625" bestFit="1" customWidth="1"/>
    <col min="9" max="9" width="19" bestFit="1" customWidth="1"/>
    <col min="10" max="10" width="10.5703125" bestFit="1" customWidth="1"/>
    <col min="11" max="11" width="19.28515625" bestFit="1" customWidth="1"/>
  </cols>
  <sheetData>
    <row r="1" spans="1:12" x14ac:dyDescent="0.25">
      <c r="A1" s="16" t="s">
        <v>458</v>
      </c>
      <c r="B1" s="16" t="s">
        <v>459</v>
      </c>
      <c r="D1" s="16" t="s">
        <v>593</v>
      </c>
      <c r="E1" s="16" t="s">
        <v>594</v>
      </c>
      <c r="F1" s="9" t="s">
        <v>6</v>
      </c>
      <c r="G1" s="9" t="s">
        <v>162</v>
      </c>
      <c r="H1" s="9" t="s">
        <v>53</v>
      </c>
      <c r="I1" s="17" t="s">
        <v>248</v>
      </c>
      <c r="J1" s="16" t="s">
        <v>156</v>
      </c>
      <c r="K1" s="2" t="s">
        <v>155</v>
      </c>
      <c r="L1" s="17" t="s">
        <v>82</v>
      </c>
    </row>
    <row r="2" spans="1:12" x14ac:dyDescent="0.25">
      <c r="A2" s="9" t="s">
        <v>305</v>
      </c>
      <c r="B2" s="9" t="s">
        <v>11</v>
      </c>
      <c r="C2" s="9"/>
      <c r="D2" s="9" t="s">
        <v>595</v>
      </c>
      <c r="E2" s="9" t="s">
        <v>595</v>
      </c>
      <c r="F2" s="9" t="s">
        <v>103</v>
      </c>
      <c r="G2" s="9" t="s">
        <v>663</v>
      </c>
      <c r="H2" s="9" t="s">
        <v>54</v>
      </c>
      <c r="I2" s="17" t="s">
        <v>239</v>
      </c>
      <c r="J2" s="16" t="s">
        <v>157</v>
      </c>
      <c r="K2" s="16"/>
      <c r="L2" s="17" t="s">
        <v>280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L9" sqref="L9"/>
    </sheetView>
  </sheetViews>
  <sheetFormatPr defaultRowHeight="15" x14ac:dyDescent="0.25"/>
  <cols>
    <col min="1" max="1" width="15" bestFit="1" customWidth="1"/>
    <col min="6" max="6" width="10.28515625" bestFit="1" customWidth="1"/>
  </cols>
  <sheetData>
    <row r="1" spans="1:7" s="16" customFormat="1" x14ac:dyDescent="0.25">
      <c r="A1" s="17" t="s">
        <v>83</v>
      </c>
      <c r="B1" s="17" t="s">
        <v>84</v>
      </c>
      <c r="C1" s="17" t="s">
        <v>85</v>
      </c>
      <c r="D1" s="17" t="s">
        <v>86</v>
      </c>
      <c r="E1" s="17" t="s">
        <v>6</v>
      </c>
      <c r="F1" s="16" t="s">
        <v>53</v>
      </c>
      <c r="G1" s="17" t="s">
        <v>82</v>
      </c>
    </row>
    <row r="2" spans="1:7" s="16" customFormat="1" x14ac:dyDescent="0.25">
      <c r="A2" s="17" t="s">
        <v>461</v>
      </c>
      <c r="B2" s="17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7" t="s">
        <v>54</v>
      </c>
      <c r="G2" s="17" t="s">
        <v>308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I13" sqref="I13"/>
    </sheetView>
  </sheetViews>
  <sheetFormatPr defaultRowHeight="15" x14ac:dyDescent="0.25"/>
  <cols>
    <col min="1" max="1" width="14.28515625" bestFit="1" customWidth="1"/>
    <col min="3" max="3" width="36.28515625" bestFit="1" customWidth="1"/>
  </cols>
  <sheetData>
    <row r="1" spans="1:6" s="16" customFormat="1" x14ac:dyDescent="0.25">
      <c r="A1" s="16" t="s">
        <v>544</v>
      </c>
      <c r="B1" s="9" t="s">
        <v>6</v>
      </c>
      <c r="C1" s="9" t="s">
        <v>162</v>
      </c>
      <c r="D1" s="9" t="s">
        <v>53</v>
      </c>
      <c r="E1" s="17" t="s">
        <v>248</v>
      </c>
      <c r="F1" s="16" t="s">
        <v>155</v>
      </c>
    </row>
    <row r="2" spans="1:6" s="16" customFormat="1" x14ac:dyDescent="0.25">
      <c r="A2" s="9" t="s">
        <v>455</v>
      </c>
      <c r="B2" s="9" t="s">
        <v>50</v>
      </c>
      <c r="C2" s="7" t="s">
        <v>530</v>
      </c>
      <c r="D2" s="9" t="s">
        <v>54</v>
      </c>
      <c r="E2" s="17" t="s">
        <v>239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I11" sqref="I11"/>
    </sheetView>
  </sheetViews>
  <sheetFormatPr defaultRowHeight="15" x14ac:dyDescent="0.25"/>
  <cols>
    <col min="2" max="2" width="10.5703125" bestFit="1" customWidth="1"/>
    <col min="4" max="4" width="10.28515625" bestFit="1" customWidth="1"/>
    <col min="5" max="5" width="24.42578125" bestFit="1" customWidth="1"/>
    <col min="6" max="6" width="10.5703125" bestFit="1" customWidth="1"/>
  </cols>
  <sheetData>
    <row r="1" spans="1:6" x14ac:dyDescent="0.25">
      <c r="A1" s="1" t="s">
        <v>43</v>
      </c>
      <c r="B1" s="1" t="s">
        <v>5</v>
      </c>
      <c r="C1" s="1" t="s">
        <v>6</v>
      </c>
      <c r="D1" t="s">
        <v>53</v>
      </c>
      <c r="E1" s="16" t="s">
        <v>155</v>
      </c>
      <c r="F1" s="17" t="s">
        <v>156</v>
      </c>
    </row>
    <row r="2" spans="1:6" x14ac:dyDescent="0.25">
      <c r="A2" s="1" t="s">
        <v>281</v>
      </c>
      <c r="B2" s="1" t="s">
        <v>44</v>
      </c>
      <c r="C2" s="7" t="s">
        <v>50</v>
      </c>
      <c r="D2" s="1" t="s">
        <v>54</v>
      </c>
      <c r="E2" s="16"/>
      <c r="F2" s="17" t="s">
        <v>157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4" sqref="D14"/>
    </sheetView>
  </sheetViews>
  <sheetFormatPr defaultRowHeight="15" x14ac:dyDescent="0.25"/>
  <cols>
    <col min="1" max="1" width="20.42578125" customWidth="1"/>
    <col min="2" max="2" width="11.42578125" bestFit="1" customWidth="1"/>
  </cols>
  <sheetData>
    <row r="1" spans="1:2" x14ac:dyDescent="0.25">
      <c r="A1" s="12" t="s">
        <v>111</v>
      </c>
      <c r="B1" t="s">
        <v>112</v>
      </c>
    </row>
    <row r="2" spans="1:2" x14ac:dyDescent="0.25">
      <c r="A2" t="s">
        <v>114</v>
      </c>
      <c r="B2" s="9" t="s">
        <v>113</v>
      </c>
    </row>
    <row r="3" spans="1:2" x14ac:dyDescent="0.25">
      <c r="A3" t="s">
        <v>126</v>
      </c>
      <c r="B3" t="s">
        <v>127</v>
      </c>
    </row>
    <row r="4" spans="1:2" x14ac:dyDescent="0.25">
      <c r="A4" t="s">
        <v>241</v>
      </c>
      <c r="B4" s="9" t="s">
        <v>242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36.85546875" style="16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230</v>
      </c>
      <c r="C2" s="17" t="s">
        <v>237</v>
      </c>
      <c r="D2" s="16" t="s">
        <v>157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1" max="1" width="24" style="16" bestFit="1" customWidth="1"/>
    <col min="2" max="2" width="10.5703125" bestFit="1" customWidth="1"/>
  </cols>
  <sheetData>
    <row r="1" spans="1:3" x14ac:dyDescent="0.25">
      <c r="A1" s="17" t="s">
        <v>323</v>
      </c>
      <c r="B1" s="17" t="s">
        <v>311</v>
      </c>
      <c r="C1" t="s">
        <v>6</v>
      </c>
    </row>
    <row r="2" spans="1:3" x14ac:dyDescent="0.25">
      <c r="A2" s="17" t="s">
        <v>324</v>
      </c>
      <c r="B2" s="17" t="s">
        <v>242</v>
      </c>
      <c r="C2" s="9" t="s">
        <v>50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M22" sqref="M22"/>
    </sheetView>
  </sheetViews>
  <sheetFormatPr defaultRowHeight="15" x14ac:dyDescent="0.25"/>
  <cols>
    <col min="1" max="1" width="20.28515625" bestFit="1" customWidth="1"/>
    <col min="2" max="2" width="11.28515625" bestFit="1" customWidth="1"/>
  </cols>
  <sheetData>
    <row r="1" spans="1:3" x14ac:dyDescent="0.25">
      <c r="A1" s="1" t="s">
        <v>80</v>
      </c>
      <c r="B1" s="1" t="s">
        <v>119</v>
      </c>
      <c r="C1" s="1" t="s">
        <v>6</v>
      </c>
    </row>
    <row r="2" spans="1:3" x14ac:dyDescent="0.25">
      <c r="A2" s="1" t="s">
        <v>102</v>
      </c>
      <c r="B2" s="1" t="s">
        <v>120</v>
      </c>
      <c r="C2" s="7" t="s">
        <v>50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0" sqref="H10"/>
    </sheetView>
  </sheetViews>
  <sheetFormatPr defaultRowHeight="15" x14ac:dyDescent="0.25"/>
  <cols>
    <col min="1" max="1" width="20.28515625" style="16" bestFit="1" customWidth="1"/>
    <col min="2" max="2" width="11.28515625" style="16" bestFit="1" customWidth="1"/>
    <col min="3" max="16384" width="9.140625" style="16"/>
  </cols>
  <sheetData>
    <row r="1" spans="1:3" x14ac:dyDescent="0.25">
      <c r="A1" s="17" t="s">
        <v>80</v>
      </c>
      <c r="B1" s="17" t="s">
        <v>119</v>
      </c>
      <c r="C1" s="17" t="s">
        <v>6</v>
      </c>
    </row>
    <row r="2" spans="1:3" x14ac:dyDescent="0.25">
      <c r="A2" s="17" t="s">
        <v>102</v>
      </c>
      <c r="B2" s="17" t="s">
        <v>120</v>
      </c>
      <c r="C2" s="7" t="s">
        <v>50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B2"/>
    </sheetView>
  </sheetViews>
  <sheetFormatPr defaultRowHeight="15" x14ac:dyDescent="0.25"/>
  <cols>
    <col min="1" max="1" width="9.85546875" style="16" customWidth="1"/>
    <col min="2" max="2" width="30.14062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232</v>
      </c>
      <c r="C2" s="17" t="s">
        <v>161</v>
      </c>
      <c r="D2" s="16" t="s">
        <v>157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T17" sqref="T17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82</v>
      </c>
      <c r="B1" t="s">
        <v>6</v>
      </c>
    </row>
    <row r="2" spans="1:2" x14ac:dyDescent="0.25">
      <c r="A2" t="s">
        <v>252</v>
      </c>
      <c r="B2" s="9" t="s">
        <v>50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2" max="2" width="29.42578125" bestFit="1" customWidth="1"/>
    <col min="3" max="3" width="29.28515625" bestFit="1" customWidth="1"/>
    <col min="4" max="4" width="10.5703125" bestFit="1" customWidth="1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264</v>
      </c>
      <c r="C2" s="16" t="s">
        <v>227</v>
      </c>
      <c r="D2" s="16" t="s">
        <v>157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F2" sqref="F2"/>
    </sheetView>
  </sheetViews>
  <sheetFormatPr defaultRowHeight="15" x14ac:dyDescent="0.25"/>
  <cols>
    <col min="1" max="1" width="22.85546875" customWidth="1"/>
    <col min="2" max="3" width="22.85546875" style="16" customWidth="1"/>
    <col min="4" max="4" width="14.140625" bestFit="1" customWidth="1"/>
    <col min="5" max="5" width="6.85546875" style="16" customWidth="1"/>
    <col min="6" max="6" width="36.140625" style="16" bestFit="1" customWidth="1"/>
    <col min="7" max="7" width="10.28515625" style="16" bestFit="1" customWidth="1"/>
    <col min="8" max="8" width="19" bestFit="1" customWidth="1"/>
    <col min="10" max="10" width="19.28515625" bestFit="1" customWidth="1"/>
  </cols>
  <sheetData>
    <row r="1" spans="1:10" x14ac:dyDescent="0.25">
      <c r="A1" s="2" t="s">
        <v>23</v>
      </c>
      <c r="B1" s="9" t="s">
        <v>122</v>
      </c>
      <c r="C1" s="9" t="s">
        <v>124</v>
      </c>
      <c r="D1" s="9" t="s">
        <v>125</v>
      </c>
      <c r="E1" s="9" t="s">
        <v>6</v>
      </c>
      <c r="F1" s="9" t="s">
        <v>162</v>
      </c>
      <c r="G1" s="16" t="s">
        <v>53</v>
      </c>
      <c r="H1" s="17" t="s">
        <v>248</v>
      </c>
      <c r="I1" s="16" t="s">
        <v>156</v>
      </c>
      <c r="J1" s="2" t="s">
        <v>155</v>
      </c>
    </row>
    <row r="2" spans="1:10" x14ac:dyDescent="0.25">
      <c r="A2" s="1" t="s">
        <v>27</v>
      </c>
      <c r="B2" s="15" t="s">
        <v>471</v>
      </c>
      <c r="C2" s="9" t="s">
        <v>472</v>
      </c>
      <c r="D2" s="15" t="s">
        <v>528</v>
      </c>
      <c r="E2" s="9" t="s">
        <v>50</v>
      </c>
      <c r="F2" s="7" t="s">
        <v>423</v>
      </c>
      <c r="G2" s="17" t="s">
        <v>54</v>
      </c>
      <c r="H2" s="17" t="s">
        <v>239</v>
      </c>
      <c r="I2" s="16" t="s">
        <v>157</v>
      </c>
      <c r="J2" s="16"/>
    </row>
    <row r="3" spans="1:10" x14ac:dyDescent="0.25">
      <c r="D3" s="1"/>
      <c r="E3" s="17"/>
      <c r="F3" s="17"/>
      <c r="G3" s="17"/>
    </row>
    <row r="4" spans="1:10" x14ac:dyDescent="0.25">
      <c r="D4" s="1"/>
      <c r="E4" s="17"/>
      <c r="F4" s="17"/>
      <c r="G4" s="17"/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cols>
    <col min="1" max="1" width="9.85546875" style="16" customWidth="1"/>
    <col min="2" max="2" width="21.85546875" style="16" bestFit="1" customWidth="1"/>
    <col min="3" max="3" width="1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226</v>
      </c>
      <c r="C2" s="17" t="s">
        <v>225</v>
      </c>
      <c r="D2" s="16" t="s">
        <v>157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4" sqref="C14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27.140625" bestFit="1" customWidth="1"/>
    <col min="4" max="4" width="27.140625" style="16" customWidth="1"/>
  </cols>
  <sheetData>
    <row r="1" spans="1:6" x14ac:dyDescent="0.25">
      <c r="A1" t="s">
        <v>22</v>
      </c>
      <c r="B1" t="s">
        <v>23</v>
      </c>
      <c r="C1" t="s">
        <v>3</v>
      </c>
      <c r="D1" s="16" t="s">
        <v>215</v>
      </c>
      <c r="E1" t="s">
        <v>6</v>
      </c>
      <c r="F1" t="s">
        <v>53</v>
      </c>
    </row>
    <row r="2" spans="1:6" x14ac:dyDescent="0.25">
      <c r="A2" s="6" t="str">
        <f ca="1">TEXT(NOW(),"YYYY-MM-DD")</f>
        <v>2026-09-21</v>
      </c>
      <c r="B2" t="s">
        <v>24</v>
      </c>
      <c r="C2" s="1" t="s">
        <v>117</v>
      </c>
      <c r="D2" s="17" t="s">
        <v>215</v>
      </c>
      <c r="E2" s="9" t="s">
        <v>50</v>
      </c>
      <c r="F2" s="1" t="s">
        <v>54</v>
      </c>
    </row>
  </sheetData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5" sqref="C15"/>
    </sheetView>
  </sheetViews>
  <sheetFormatPr defaultRowHeight="15" x14ac:dyDescent="0.25"/>
  <cols>
    <col min="1" max="1" width="9.85546875" style="16" customWidth="1"/>
    <col min="2" max="2" width="23.42578125" style="16" bestFit="1" customWidth="1"/>
    <col min="3" max="3" width="2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228</v>
      </c>
      <c r="C2" s="19" t="s">
        <v>227</v>
      </c>
      <c r="D2" s="16" t="s">
        <v>157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C1" workbookViewId="0">
      <selection activeCell="C2" sqref="C2"/>
    </sheetView>
  </sheetViews>
  <sheetFormatPr defaultRowHeight="15" x14ac:dyDescent="0.25"/>
  <cols>
    <col min="1" max="1" width="10.7109375" style="16" bestFit="1" customWidth="1"/>
    <col min="2" max="2" width="21.5703125" style="16" bestFit="1" customWidth="1"/>
    <col min="3" max="3" width="27.140625" style="16" bestFit="1" customWidth="1"/>
    <col min="4" max="4" width="27.140625" style="16" customWidth="1"/>
    <col min="5" max="16384" width="9.140625" style="16"/>
  </cols>
  <sheetData>
    <row r="1" spans="1:6" x14ac:dyDescent="0.25">
      <c r="A1" s="16" t="s">
        <v>22</v>
      </c>
      <c r="B1" s="16" t="s">
        <v>23</v>
      </c>
      <c r="C1" s="16" t="s">
        <v>3</v>
      </c>
      <c r="D1" s="16" t="s">
        <v>215</v>
      </c>
      <c r="E1" s="16" t="s">
        <v>6</v>
      </c>
      <c r="F1" s="16" t="s">
        <v>53</v>
      </c>
    </row>
    <row r="2" spans="1:6" x14ac:dyDescent="0.25">
      <c r="A2" s="6" t="str">
        <f ca="1">TEXT(NOW(),"YYYY-MM-DD")</f>
        <v>2026-09-21</v>
      </c>
      <c r="B2" s="16" t="s">
        <v>24</v>
      </c>
      <c r="C2" s="17" t="s">
        <v>117</v>
      </c>
      <c r="D2" s="17" t="s">
        <v>215</v>
      </c>
      <c r="E2" s="9" t="s">
        <v>50</v>
      </c>
      <c r="F2" s="17" t="s">
        <v>54</v>
      </c>
    </row>
  </sheetData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9.85546875" style="16" customWidth="1"/>
    <col min="2" max="2" width="23.42578125" style="16" bestFit="1" customWidth="1"/>
    <col min="3" max="3" width="29.28515625" style="16" bestFit="1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228</v>
      </c>
      <c r="C2" s="19" t="s">
        <v>227</v>
      </c>
      <c r="D2" s="16" t="s">
        <v>157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:F2"/>
    </sheetView>
  </sheetViews>
  <sheetFormatPr defaultRowHeight="15" x14ac:dyDescent="0.25"/>
  <cols>
    <col min="2" max="2" width="15.7109375" customWidth="1"/>
    <col min="3" max="3" width="20" bestFit="1" customWidth="1"/>
    <col min="4" max="4" width="17.5703125" bestFit="1" customWidth="1"/>
  </cols>
  <sheetData>
    <row r="1" spans="1:6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6</v>
      </c>
      <c r="F1" t="s">
        <v>53</v>
      </c>
    </row>
    <row r="2" spans="1:6" x14ac:dyDescent="0.25">
      <c r="A2" s="1" t="s">
        <v>87</v>
      </c>
      <c r="B2" s="1" t="s">
        <v>88</v>
      </c>
      <c r="C2" s="6" t="str">
        <f ca="1">TEXT(NOW(),"YYYY-MM-DD")</f>
        <v>2026-09-21</v>
      </c>
      <c r="D2" s="6" t="str">
        <f ca="1">TEXT(NOW(),"YYYY-MM-DD")</f>
        <v>2026-09-21</v>
      </c>
      <c r="E2" s="7" t="s">
        <v>50</v>
      </c>
      <c r="F2" s="1" t="s">
        <v>54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6" sqref="E16"/>
    </sheetView>
  </sheetViews>
  <sheetFormatPr defaultRowHeight="15" x14ac:dyDescent="0.25"/>
  <cols>
    <col min="1" max="1" width="10.7109375" style="6" bestFit="1" customWidth="1"/>
    <col min="2" max="2" width="13.140625" style="6" bestFit="1" customWidth="1"/>
    <col min="3" max="3" width="21.5703125" bestFit="1" customWidth="1"/>
  </cols>
  <sheetData>
    <row r="1" spans="1:5" x14ac:dyDescent="0.25">
      <c r="A1" s="6" t="s">
        <v>22</v>
      </c>
      <c r="B1" s="6" t="s">
        <v>17</v>
      </c>
      <c r="C1" t="s">
        <v>23</v>
      </c>
      <c r="D1" s="1" t="s">
        <v>6</v>
      </c>
      <c r="E1" t="s">
        <v>53</v>
      </c>
    </row>
    <row r="2" spans="1:5" x14ac:dyDescent="0.25">
      <c r="A2" s="6" t="str">
        <f ca="1">TEXT(NOW(),"YYYY-MM-DD")</f>
        <v>2026-09-21</v>
      </c>
      <c r="B2" s="6" t="str">
        <f ca="1">TEXT(NOW(),"YYYY-MM-DD")</f>
        <v>2026-09-21</v>
      </c>
      <c r="C2" t="s">
        <v>24</v>
      </c>
      <c r="D2" s="7" t="s">
        <v>50</v>
      </c>
      <c r="E2" s="1" t="s">
        <v>54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9" sqref="C19"/>
    </sheetView>
  </sheetViews>
  <sheetFormatPr defaultRowHeight="15" x14ac:dyDescent="0.25"/>
  <cols>
    <col min="1" max="1" width="9.85546875" style="16" customWidth="1"/>
    <col min="2" max="2" width="28.140625" style="16" bestFit="1" customWidth="1"/>
    <col min="3" max="3" width="70" style="16" customWidth="1"/>
    <col min="4" max="4" width="10.5703125" style="16" bestFit="1" customWidth="1"/>
    <col min="5" max="16384" width="9.140625" style="16"/>
  </cols>
  <sheetData>
    <row r="1" spans="1:4" x14ac:dyDescent="0.25">
      <c r="A1" s="17" t="s">
        <v>6</v>
      </c>
      <c r="B1" s="17" t="s">
        <v>162</v>
      </c>
      <c r="C1" s="16" t="s">
        <v>155</v>
      </c>
      <c r="D1" s="17" t="s">
        <v>156</v>
      </c>
    </row>
    <row r="2" spans="1:4" x14ac:dyDescent="0.25">
      <c r="A2" s="18" t="s">
        <v>50</v>
      </c>
      <c r="B2" s="18" t="s">
        <v>233</v>
      </c>
      <c r="C2" s="19" t="s">
        <v>238</v>
      </c>
      <c r="D2" s="16" t="s">
        <v>157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" sqref="F1"/>
    </sheetView>
  </sheetViews>
  <sheetFormatPr defaultRowHeight="15" x14ac:dyDescent="0.25"/>
  <cols>
    <col min="4" max="4" width="12.42578125" style="6" bestFit="1" customWidth="1"/>
  </cols>
  <sheetData>
    <row r="1" spans="1:5" x14ac:dyDescent="0.25">
      <c r="A1" t="s">
        <v>89</v>
      </c>
      <c r="B1" t="s">
        <v>90</v>
      </c>
      <c r="C1" s="1" t="s">
        <v>89</v>
      </c>
      <c r="D1" s="6" t="s">
        <v>90</v>
      </c>
      <c r="E1" s="1" t="s">
        <v>6</v>
      </c>
    </row>
    <row r="2" spans="1:5" x14ac:dyDescent="0.25">
      <c r="A2" s="1" t="s">
        <v>91</v>
      </c>
      <c r="B2" s="1" t="s">
        <v>88</v>
      </c>
      <c r="C2" s="1" t="s">
        <v>91</v>
      </c>
      <c r="D2" s="6" t="str">
        <f ca="1">TEXT(NOW(),"YYYY-MM-DD")</f>
        <v>2026-09-21</v>
      </c>
      <c r="E2" s="7" t="s">
        <v>50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1" max="1" width="9.140625" style="16"/>
    <col min="2" max="2" width="22.140625" style="16" bestFit="1" customWidth="1"/>
    <col min="3" max="16384" width="9.140625" style="16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7" t="s">
        <v>50</v>
      </c>
      <c r="B2" s="16" t="s">
        <v>222</v>
      </c>
      <c r="C2" s="16" t="s">
        <v>157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E22" sqref="E22"/>
    </sheetView>
  </sheetViews>
  <sheetFormatPr defaultRowHeight="15" x14ac:dyDescent="0.25"/>
  <cols>
    <col min="1" max="2" width="10.42578125" style="6" bestFit="1" customWidth="1"/>
    <col min="3" max="3" width="13.140625" style="6" bestFit="1" customWidth="1"/>
    <col min="4" max="4" width="13.140625" style="6" customWidth="1"/>
    <col min="5" max="5" width="39.42578125" style="6" bestFit="1" customWidth="1"/>
    <col min="6" max="6" width="10.28515625" style="6" bestFit="1" customWidth="1"/>
    <col min="7" max="7" width="19" bestFit="1" customWidth="1"/>
    <col min="8" max="8" width="10.5703125" style="16" bestFit="1" customWidth="1"/>
    <col min="9" max="9" width="19.28515625" bestFit="1" customWidth="1"/>
  </cols>
  <sheetData>
    <row r="1" spans="1:9" x14ac:dyDescent="0.25">
      <c r="A1" s="6" t="s">
        <v>45</v>
      </c>
      <c r="B1" s="6" t="s">
        <v>46</v>
      </c>
      <c r="C1" s="6" t="s">
        <v>43</v>
      </c>
      <c r="D1" s="17" t="s">
        <v>6</v>
      </c>
      <c r="E1" s="9" t="s">
        <v>162</v>
      </c>
      <c r="F1" s="9" t="s">
        <v>53</v>
      </c>
      <c r="G1" s="17" t="s">
        <v>248</v>
      </c>
      <c r="H1" s="16" t="s">
        <v>156</v>
      </c>
      <c r="I1" s="2" t="s">
        <v>155</v>
      </c>
    </row>
    <row r="2" spans="1:9" x14ac:dyDescent="0.25">
      <c r="A2" s="6" t="str">
        <f ca="1">TEXT(NOW(),"YYYY-MM-DD")</f>
        <v>2026-09-21</v>
      </c>
      <c r="B2" s="6" t="str">
        <f ca="1">TEXT(NOW(),"YYYY-MM-DD")</f>
        <v>2026-09-21</v>
      </c>
      <c r="C2" s="6" t="s">
        <v>563</v>
      </c>
      <c r="D2" s="7" t="s">
        <v>50</v>
      </c>
      <c r="E2" s="9" t="s">
        <v>560</v>
      </c>
      <c r="F2" s="9" t="s">
        <v>54</v>
      </c>
      <c r="G2" s="17" t="s">
        <v>239</v>
      </c>
      <c r="H2" s="16" t="s">
        <v>157</v>
      </c>
      <c r="I2" s="16"/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0" sqref="F30"/>
    </sheetView>
  </sheetViews>
  <sheetFormatPr defaultRowHeight="15" x14ac:dyDescent="0.25"/>
  <cols>
    <col min="1" max="1" width="13.140625" bestFit="1" customWidth="1"/>
    <col min="3" max="3" width="14.85546875" bestFit="1" customWidth="1"/>
    <col min="4" max="4" width="14" bestFit="1" customWidth="1"/>
    <col min="6" max="6" width="14.85546875" bestFit="1" customWidth="1"/>
  </cols>
  <sheetData>
    <row r="1" spans="1:6" x14ac:dyDescent="0.25">
      <c r="A1" s="16" t="s">
        <v>244</v>
      </c>
      <c r="B1" s="17" t="s">
        <v>6</v>
      </c>
      <c r="C1" s="16" t="s">
        <v>53</v>
      </c>
      <c r="D1" s="16"/>
      <c r="E1" s="17"/>
      <c r="F1" s="16"/>
    </row>
    <row r="2" spans="1:6" x14ac:dyDescent="0.25">
      <c r="A2" s="21" t="str">
        <f ca="1">TEXT(NOW(),"YYYY-MM-DD")</f>
        <v>2026-09-21</v>
      </c>
      <c r="B2" s="7" t="s">
        <v>50</v>
      </c>
      <c r="C2" s="17" t="s">
        <v>54</v>
      </c>
      <c r="D2" s="16"/>
      <c r="E2" s="16"/>
      <c r="F2" s="22"/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cols>
    <col min="1" max="1" width="11.7109375" style="16" bestFit="1" customWidth="1"/>
    <col min="2" max="2" width="9.140625" style="16"/>
    <col min="3" max="3" width="15.140625" bestFit="1" customWidth="1"/>
    <col min="4" max="4" width="15" bestFit="1" customWidth="1"/>
    <col min="5" max="5" width="21.7109375" bestFit="1" customWidth="1"/>
    <col min="6" max="6" width="6.85546875" customWidth="1"/>
    <col min="7" max="7" width="10.28515625" bestFit="1" customWidth="1"/>
  </cols>
  <sheetData>
    <row r="1" spans="1:8" x14ac:dyDescent="0.25">
      <c r="A1" s="17" t="s">
        <v>23</v>
      </c>
      <c r="B1" s="16" t="s">
        <v>247</v>
      </c>
      <c r="C1" s="16" t="s">
        <v>262</v>
      </c>
      <c r="D1" s="17" t="s">
        <v>245</v>
      </c>
      <c r="E1" s="16" t="s">
        <v>46</v>
      </c>
      <c r="F1" s="17" t="s">
        <v>6</v>
      </c>
      <c r="G1" s="16" t="s">
        <v>53</v>
      </c>
      <c r="H1" s="17" t="s">
        <v>82</v>
      </c>
    </row>
    <row r="2" spans="1:8" x14ac:dyDescent="0.25">
      <c r="A2" s="17" t="s">
        <v>250</v>
      </c>
      <c r="B2" s="16" t="s">
        <v>261</v>
      </c>
      <c r="C2" t="s">
        <v>246</v>
      </c>
      <c r="D2" t="s">
        <v>249</v>
      </c>
      <c r="E2" s="23" t="str">
        <f ca="1">TEXT(NOW(),"yyyy-mm-dd hh:mm:ss AM/PM")</f>
        <v>2026-09-21 05:06:09 PM</v>
      </c>
      <c r="F2" s="7" t="s">
        <v>50</v>
      </c>
      <c r="G2" s="17" t="s">
        <v>54</v>
      </c>
      <c r="H2" s="17">
        <v>2112</v>
      </c>
    </row>
  </sheetData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cols>
    <col min="2" max="2" width="26.85546875" bestFit="1" customWidth="1"/>
    <col min="3" max="3" width="10.5703125" bestFit="1" customWidth="1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7" t="s">
        <v>50</v>
      </c>
      <c r="B2" s="16" t="s">
        <v>263</v>
      </c>
      <c r="C2" s="16" t="s">
        <v>157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G11" sqref="G11"/>
    </sheetView>
  </sheetViews>
  <sheetFormatPr defaultRowHeight="15" x14ac:dyDescent="0.25"/>
  <cols>
    <col min="2" max="2" width="26.85546875" bestFit="1" customWidth="1"/>
  </cols>
  <sheetData>
    <row r="1" spans="1:3" x14ac:dyDescent="0.25">
      <c r="A1" s="17" t="s">
        <v>6</v>
      </c>
      <c r="B1" s="16" t="s">
        <v>155</v>
      </c>
      <c r="C1" s="16" t="s">
        <v>156</v>
      </c>
    </row>
    <row r="2" spans="1:3" x14ac:dyDescent="0.25">
      <c r="A2" s="7" t="s">
        <v>50</v>
      </c>
      <c r="B2" s="16" t="s">
        <v>263</v>
      </c>
      <c r="C2" s="16" t="s">
        <v>157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8" sqref="E18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21.42578125" bestFit="1" customWidth="1"/>
    <col min="5" max="5" width="10.28515625" bestFit="1" customWidth="1"/>
    <col min="6" max="6" width="32.7109375" bestFit="1" customWidth="1"/>
    <col min="7" max="7" width="11.85546875" bestFit="1" customWidth="1"/>
  </cols>
  <sheetData>
    <row r="1" spans="1:7" x14ac:dyDescent="0.25">
      <c r="A1" s="16" t="s">
        <v>22</v>
      </c>
      <c r="B1" s="16" t="s">
        <v>17</v>
      </c>
      <c r="C1" s="16" t="s">
        <v>23</v>
      </c>
      <c r="D1" s="17" t="s">
        <v>6</v>
      </c>
      <c r="E1" s="16" t="s">
        <v>53</v>
      </c>
      <c r="F1" s="17" t="s">
        <v>82</v>
      </c>
      <c r="G1" s="17" t="s">
        <v>265</v>
      </c>
    </row>
    <row r="2" spans="1:7" x14ac:dyDescent="0.25">
      <c r="A2" s="6" t="str">
        <f ca="1">TEXT(NOW(),"YYYY-MM-DD")</f>
        <v>2026-09-21</v>
      </c>
      <c r="B2" s="6" t="str">
        <f ca="1">TEXT(NOW() + 1, "YYYY-MM-DD")</f>
        <v>2026-09-22</v>
      </c>
      <c r="C2" s="16" t="s">
        <v>270</v>
      </c>
      <c r="D2" s="7" t="s">
        <v>50</v>
      </c>
      <c r="E2" s="17" t="s">
        <v>54</v>
      </c>
      <c r="F2" s="17" t="s">
        <v>302</v>
      </c>
      <c r="G2" s="17" t="s">
        <v>30</v>
      </c>
    </row>
  </sheetData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1" sqref="C11"/>
    </sheetView>
  </sheetViews>
  <sheetFormatPr defaultRowHeight="15" x14ac:dyDescent="0.25"/>
  <sheetData>
    <row r="1" spans="1:8" s="16" customFormat="1" x14ac:dyDescent="0.25">
      <c r="A1" s="16" t="s">
        <v>558</v>
      </c>
      <c r="B1" s="9" t="s">
        <v>6</v>
      </c>
      <c r="C1" s="9" t="s">
        <v>162</v>
      </c>
      <c r="D1" s="9" t="s">
        <v>53</v>
      </c>
      <c r="E1" s="16" t="s">
        <v>156</v>
      </c>
      <c r="F1" s="17" t="s">
        <v>248</v>
      </c>
      <c r="G1" s="17" t="s">
        <v>82</v>
      </c>
      <c r="H1" s="17" t="s">
        <v>265</v>
      </c>
    </row>
    <row r="2" spans="1:8" s="16" customFormat="1" x14ac:dyDescent="0.25">
      <c r="A2" s="9" t="s">
        <v>559</v>
      </c>
      <c r="B2" s="9" t="s">
        <v>50</v>
      </c>
      <c r="C2" s="9" t="s">
        <v>564</v>
      </c>
      <c r="D2" s="9" t="s">
        <v>54</v>
      </c>
      <c r="E2" s="16" t="s">
        <v>157</v>
      </c>
      <c r="F2" s="17" t="s">
        <v>239</v>
      </c>
      <c r="G2" s="17" t="s">
        <v>302</v>
      </c>
      <c r="H2" s="17" t="s">
        <v>30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M21" sqref="M21"/>
    </sheetView>
  </sheetViews>
  <sheetFormatPr defaultRowHeight="15" x14ac:dyDescent="0.25"/>
  <cols>
    <col min="4" max="4" width="10.28515625" bestFit="1" customWidth="1"/>
    <col min="7" max="7" width="29.28515625" bestFit="1" customWidth="1"/>
  </cols>
  <sheetData>
    <row r="1" spans="1:5" s="16" customFormat="1" x14ac:dyDescent="0.25">
      <c r="A1" s="9" t="s">
        <v>6</v>
      </c>
      <c r="B1" s="9" t="s">
        <v>162</v>
      </c>
      <c r="C1" s="9" t="s">
        <v>53</v>
      </c>
      <c r="D1" s="16" t="s">
        <v>156</v>
      </c>
      <c r="E1" s="2" t="s">
        <v>155</v>
      </c>
    </row>
    <row r="2" spans="1:5" s="16" customFormat="1" x14ac:dyDescent="0.25">
      <c r="A2" s="9" t="s">
        <v>50</v>
      </c>
      <c r="B2" s="9" t="s">
        <v>565</v>
      </c>
      <c r="C2" s="9" t="s">
        <v>54</v>
      </c>
      <c r="D2" s="16" t="s">
        <v>157</v>
      </c>
      <c r="E2" s="16" t="s">
        <v>566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8" sqref="L8"/>
    </sheetView>
  </sheetViews>
  <sheetFormatPr defaultRowHeight="15" x14ac:dyDescent="0.25"/>
  <cols>
    <col min="2" max="2" width="29.28515625" bestFit="1" customWidth="1"/>
  </cols>
  <sheetData>
    <row r="1" spans="1:3" s="16" customFormat="1" x14ac:dyDescent="0.25">
      <c r="A1" s="17" t="s">
        <v>6</v>
      </c>
      <c r="B1" s="16" t="s">
        <v>155</v>
      </c>
      <c r="C1" s="16" t="s">
        <v>156</v>
      </c>
    </row>
    <row r="2" spans="1:3" s="16" customFormat="1" x14ac:dyDescent="0.25">
      <c r="A2" s="7" t="s">
        <v>50</v>
      </c>
      <c r="B2" s="16" t="s">
        <v>227</v>
      </c>
      <c r="C2" s="1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183</vt:i4>
      </vt:variant>
    </vt:vector>
  </HeadingPairs>
  <TitlesOfParts>
    <vt:vector size="183" baseType="lpstr">
      <vt:lpstr>Dispatch Advice</vt:lpstr>
      <vt:lpstr>Dispatch Advice_ASSR</vt:lpstr>
      <vt:lpstr>Dispatch Advice Detail (2)</vt:lpstr>
      <vt:lpstr>Dispatch Advice Detail</vt:lpstr>
      <vt:lpstr>Dispatch Advice Detail2 (2)</vt:lpstr>
      <vt:lpstr>Dispatch Advice Detail2</vt:lpstr>
      <vt:lpstr>Dispatch Advice Loss</vt:lpstr>
      <vt:lpstr>Dispatch Advice Grid</vt:lpstr>
      <vt:lpstr>Dispatch Advice Delete</vt:lpstr>
      <vt:lpstr>Stock_Val_After_DA_PAK</vt:lpstr>
      <vt:lpstr>Stock_Val_After_DA_PAK2</vt:lpstr>
      <vt:lpstr>Stock_Val_After_DA_PAK3</vt:lpstr>
      <vt:lpstr>Stock_val_after_GIN_PAK1</vt:lpstr>
      <vt:lpstr>Stock_Val_after_GIN_PAK2</vt:lpstr>
      <vt:lpstr>Stock_Val_after_GIN_PAK3</vt:lpstr>
      <vt:lpstr>Stock_Val_after_GRN_PAK1</vt:lpstr>
      <vt:lpstr>Stock_Val_after_GRN_PAK2</vt:lpstr>
      <vt:lpstr>Stock_Val_after_GRN_PAK3</vt:lpstr>
      <vt:lpstr>Open_Close_Stock_Val</vt:lpstr>
      <vt:lpstr>Open_Close_Stock_Val2</vt:lpstr>
      <vt:lpstr>Open_Close_Stock_Val3</vt:lpstr>
      <vt:lpstr>screenshot_ASSR</vt:lpstr>
      <vt:lpstr>SAN Admin</vt:lpstr>
      <vt:lpstr>SAN Admin Detail</vt:lpstr>
      <vt:lpstr>SAN Admin Forward</vt:lpstr>
      <vt:lpstr>SAN Warehouse2Warehouse</vt:lpstr>
      <vt:lpstr>SAN W2W Detail</vt:lpstr>
      <vt:lpstr>SAN W2W Forward</vt:lpstr>
      <vt:lpstr>SAN Entry</vt:lpstr>
      <vt:lpstr>SAN Entry Detail</vt:lpstr>
      <vt:lpstr>SAN Entry Forward</vt:lpstr>
      <vt:lpstr>SAN_FWD_ASSR</vt:lpstr>
      <vt:lpstr>Stock Adjustment SAN APP</vt:lpstr>
      <vt:lpstr>SAN Approval PAK</vt:lpstr>
      <vt:lpstr>SAN_APP_ASSR</vt:lpstr>
      <vt:lpstr>Stock_Val_after_SAN_admin</vt:lpstr>
      <vt:lpstr>Stock_Val_after_SAN_admin2</vt:lpstr>
      <vt:lpstr>Stock_Val_after_SAN_admin3</vt:lpstr>
      <vt:lpstr>Stock_Val_after_SAN_W2W</vt:lpstr>
      <vt:lpstr>Stock_Val_after_SAN_W2W2</vt:lpstr>
      <vt:lpstr>Stock_Val_after_SAN_W2W3</vt:lpstr>
      <vt:lpstr>Stock_Val_after_SAN_entry</vt:lpstr>
      <vt:lpstr>Stock_Val_after_SAN_entry2</vt:lpstr>
      <vt:lpstr>Stock_Val_after_SAN_entry3</vt:lpstr>
      <vt:lpstr>OTC Stock Out R1</vt:lpstr>
      <vt:lpstr>OTC Stock Out Det R1</vt:lpstr>
      <vt:lpstr>OTC Stock Out Fwd R1</vt:lpstr>
      <vt:lpstr>Dispatch_Advice_Delete_ASSR</vt:lpstr>
      <vt:lpstr>DA_FORWARD_ASSR</vt:lpstr>
      <vt:lpstr>Dispatch Advice Approval</vt:lpstr>
      <vt:lpstr>Dispatch Advice Loss Approval</vt:lpstr>
      <vt:lpstr>DA_APPROVALFRWD_ASSR</vt:lpstr>
      <vt:lpstr>Order Booking</vt:lpstr>
      <vt:lpstr>Order Booking Detail (2)</vt:lpstr>
      <vt:lpstr>Order Booking Detail</vt:lpstr>
      <vt:lpstr>Order Booking Detail2</vt:lpstr>
      <vt:lpstr>ORD_BOOK_SAVE_ASSR</vt:lpstr>
      <vt:lpstr>T Inquiry val after OB</vt:lpstr>
      <vt:lpstr>T Inquiry Detail Amt Val</vt:lpstr>
      <vt:lpstr>T Inquiry Header Amt Val</vt:lpstr>
      <vt:lpstr>Total Offering Amt Val</vt:lpstr>
      <vt:lpstr>T Inquiry Charges Amt Val</vt:lpstr>
      <vt:lpstr>T Inquiry Select Outlets</vt:lpstr>
      <vt:lpstr>T Inquiry Total Tax Amt Val</vt:lpstr>
      <vt:lpstr>T Inquiry Header Tax Amt Val</vt:lpstr>
      <vt:lpstr>Transecti After OB Charges Tax2</vt:lpstr>
      <vt:lpstr>Transecti After OB Charges Tax3</vt:lpstr>
      <vt:lpstr>Order Editing</vt:lpstr>
      <vt:lpstr>Order Editing Detail</vt:lpstr>
      <vt:lpstr>Order Editing Detail2 (2)</vt:lpstr>
      <vt:lpstr>Order Editing Detail2</vt:lpstr>
      <vt:lpstr>Order Editing Detail3</vt:lpstr>
      <vt:lpstr>Order Editing After Charges</vt:lpstr>
      <vt:lpstr>T Inquiry Total Tax Amt Val2</vt:lpstr>
      <vt:lpstr>T Inquiry Header Tax Amt Val2</vt:lpstr>
      <vt:lpstr>ORD_EDIT_VALD_ASSR</vt:lpstr>
      <vt:lpstr>ORD_EDIT_SAVE_ASSR</vt:lpstr>
      <vt:lpstr>T Inquiry val after OE</vt:lpstr>
      <vt:lpstr>T Inquiry Header Amt Val OE</vt:lpstr>
      <vt:lpstr>T Inquiry Detail Amt Val OE</vt:lpstr>
      <vt:lpstr>Total Offering Amt Val OE</vt:lpstr>
      <vt:lpstr>Order Cancellation</vt:lpstr>
      <vt:lpstr>Order Cancellation Detail</vt:lpstr>
      <vt:lpstr>Order Cancellation Detail_Val</vt:lpstr>
      <vt:lpstr>DA_LOSS_APPROVALFRWD_ASSR</vt:lpstr>
      <vt:lpstr>Dispatch_Advice_Detail2_ASSR</vt:lpstr>
      <vt:lpstr>DA Loss Approval Request</vt:lpstr>
      <vt:lpstr>Approval Screen</vt:lpstr>
      <vt:lpstr>Goods Issue Note</vt:lpstr>
      <vt:lpstr>Goods Issue Note CM Selection</vt:lpstr>
      <vt:lpstr>Goods Issue Note Detail</vt:lpstr>
      <vt:lpstr>Goods Issue Note Forward</vt:lpstr>
      <vt:lpstr>GIN_DTL_SAVE_ASSR</vt:lpstr>
      <vt:lpstr>GIN_FORWARD_ASSR</vt:lpstr>
      <vt:lpstr>Goods Issue Note Approval</vt:lpstr>
      <vt:lpstr>GIN_APPROVAL_SAVE_ASSR</vt:lpstr>
      <vt:lpstr>GIN_ APPROVAL_ASSR</vt:lpstr>
      <vt:lpstr>Sales Return</vt:lpstr>
      <vt:lpstr>Sales Return Detail</vt:lpstr>
      <vt:lpstr>Sales Return Validation</vt:lpstr>
      <vt:lpstr>Sales Return Charges</vt:lpstr>
      <vt:lpstr>Sales Return Total Tax</vt:lpstr>
      <vt:lpstr>Sales Return Header Tax</vt:lpstr>
      <vt:lpstr>T Inquiry val after SR</vt:lpstr>
      <vt:lpstr>T Inquiry Header Amt Val SR</vt:lpstr>
      <vt:lpstr>T Inquiry Detail Amt Val SR</vt:lpstr>
      <vt:lpstr>Total Offering Amt Val SR</vt:lpstr>
      <vt:lpstr>SaleRetDTL_Valid_ASSR</vt:lpstr>
      <vt:lpstr>SaleRetDTL_SAVE_ASSR</vt:lpstr>
      <vt:lpstr>Sales Return Status Change</vt:lpstr>
      <vt:lpstr>Sales Return Status Change Det</vt:lpstr>
      <vt:lpstr>Sales R Status Change_Valida</vt:lpstr>
      <vt:lpstr>SR_StatsChang_DTL_SAVE_ASSR</vt:lpstr>
      <vt:lpstr>Sales Return View</vt:lpstr>
      <vt:lpstr>Sales Return View,Detail_Val</vt:lpstr>
      <vt:lpstr>SaleRetrunView_ASSR</vt:lpstr>
      <vt:lpstr>Sales Return View Approval</vt:lpstr>
      <vt:lpstr>SaleRetrunViewApprval_ASSR</vt:lpstr>
      <vt:lpstr>Goods Return Note</vt:lpstr>
      <vt:lpstr>Good Return Note Detail (2)</vt:lpstr>
      <vt:lpstr>Good Return Note Detail</vt:lpstr>
      <vt:lpstr>Good Return Note Detail_Valida</vt:lpstr>
      <vt:lpstr>GRN_DTL_SAVE_ASSR</vt:lpstr>
      <vt:lpstr>Goods Return Note Forward</vt:lpstr>
      <vt:lpstr>GRN_FORWARD_ASSR</vt:lpstr>
      <vt:lpstr>Good Return Note Approval</vt:lpstr>
      <vt:lpstr>GRN_APPROVAL_ASSR</vt:lpstr>
      <vt:lpstr>Deposit Slip</vt:lpstr>
      <vt:lpstr>Deposit Slip,Outlet</vt:lpstr>
      <vt:lpstr>Deposit_Slip_Outlet_ASSR</vt:lpstr>
      <vt:lpstr>DEPOSIT_SAVE_ASSR</vt:lpstr>
      <vt:lpstr>Deposit Slip,Cash</vt:lpstr>
      <vt:lpstr>Deposit Slip,Cash memos,Cash</vt:lpstr>
      <vt:lpstr>Deposit Slip,Cash memos</vt:lpstr>
      <vt:lpstr>Deposit Slip Full Cash</vt:lpstr>
      <vt:lpstr>Deposit Slip,Cmemos Full Cash</vt:lpstr>
      <vt:lpstr>Deposit Slip FullAmount Cheque</vt:lpstr>
      <vt:lpstr>Depo Slip,Cash m F Amount Che</vt:lpstr>
      <vt:lpstr>Dslip cash after order removal</vt:lpstr>
      <vt:lpstr>Dslip chequ after order removal</vt:lpstr>
      <vt:lpstr>Deposit S After R Settlemen (2</vt:lpstr>
      <vt:lpstr>D Slip,Cash m After R Settle</vt:lpstr>
      <vt:lpstr>Deposit Slip Unposted</vt:lpstr>
      <vt:lpstr>Deposit Slip,Cash memos unPost</vt:lpstr>
      <vt:lpstr>Deposit slip Val Unposted</vt:lpstr>
      <vt:lpstr>Cheque Status</vt:lpstr>
      <vt:lpstr>Route Settlement (2)</vt:lpstr>
      <vt:lpstr>Route Settlement</vt:lpstr>
      <vt:lpstr>Route Settlement Validation</vt:lpstr>
      <vt:lpstr>Route Settlement Validation1</vt:lpstr>
      <vt:lpstr>Route Settlement Validation2</vt:lpstr>
      <vt:lpstr>Route Settlement Validation3</vt:lpstr>
      <vt:lpstr>T Inquiry Search outlet</vt:lpstr>
      <vt:lpstr>Validate Offset amount</vt:lpstr>
      <vt:lpstr>DSR Adjustment Amount</vt:lpstr>
      <vt:lpstr>GLOBAL-REPO</vt:lpstr>
      <vt:lpstr>DEPOSIT_DTL_SAVE_ASSR</vt:lpstr>
      <vt:lpstr>Distributor selection</vt:lpstr>
      <vt:lpstr>Deposit Slip,Forward</vt:lpstr>
      <vt:lpstr>Deposit Slip,Approval</vt:lpstr>
      <vt:lpstr>DEPOSITSLIP_FWD_ASSR</vt:lpstr>
      <vt:lpstr>Deposit Slip Update</vt:lpstr>
      <vt:lpstr>Cheque_Status_ASSR</vt:lpstr>
      <vt:lpstr>Cashmemo Status</vt:lpstr>
      <vt:lpstr>ORD_STATUS_SAVE_ASSR</vt:lpstr>
      <vt:lpstr>Stock Allocation</vt:lpstr>
      <vt:lpstr>Stock_Allocation_ASSR</vt:lpstr>
      <vt:lpstr>Stock Unallocation</vt:lpstr>
      <vt:lpstr>Unallocated_ASSR</vt:lpstr>
      <vt:lpstr>Transaction Inquiry</vt:lpstr>
      <vt:lpstr>Delivery Date Change</vt:lpstr>
      <vt:lpstr>DELIVERYDATE_CHNG_ASSR</vt:lpstr>
      <vt:lpstr>Stock Inquiry</vt:lpstr>
      <vt:lpstr>DSR_ADJ_AMOUNT_ASSR</vt:lpstr>
      <vt:lpstr>DSR Adjustment Amount,Detail</vt:lpstr>
      <vt:lpstr>PJP Daily</vt:lpstr>
      <vt:lpstr>PJP Daily2</vt:lpstr>
      <vt:lpstr>PJP_Daily2_ASSR</vt:lpstr>
      <vt:lpstr>PJP_Inquiry_ASSR</vt:lpstr>
      <vt:lpstr>Cashmemo Reschedule</vt:lpstr>
      <vt:lpstr>Cashmemo Reschedule Det</vt:lpstr>
      <vt:lpstr>Cashmemo Reschedule Val</vt:lpstr>
      <vt:lpstr>Reschedule_ASSR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Hadi Imran</cp:lastModifiedBy>
  <dcterms:created xsi:type="dcterms:W3CDTF">2006-09-16T00:00:00Z</dcterms:created>
  <dcterms:modified xsi:type="dcterms:W3CDTF">2026-09-21T12:31:46Z</dcterms:modified>
</cp:coreProperties>
</file>