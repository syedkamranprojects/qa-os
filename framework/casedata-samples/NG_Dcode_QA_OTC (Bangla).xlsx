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lenium\Automation\BD_QA\casedata\"/>
    </mc:Choice>
  </mc:AlternateContent>
  <bookViews>
    <workbookView xWindow="0" yWindow="0" windowWidth="23925" windowHeight="2700" tabRatio="923" firstSheet="120" activeTab="125"/>
  </bookViews>
  <sheets>
    <sheet name="Dispatch Advice II" sheetId="31" r:id="rId1"/>
    <sheet name="Dispatch Advice II Detail2" sheetId="32" r:id="rId2"/>
    <sheet name="Dispatch Advice II Detail" sheetId="85" r:id="rId3"/>
    <sheet name="Dispatch Advice II Loss" sheetId="33" r:id="rId4"/>
    <sheet name="Dispatch_Advice_Detail2_ASSR" sheetId="80" r:id="rId5"/>
    <sheet name="Dispatch Advice II Grid" sheetId="84" r:id="rId6"/>
    <sheet name="Dispatch Advice II Approval" sheetId="82" r:id="rId7"/>
    <sheet name="Dispatch Advice Approval" sheetId="40" r:id="rId8"/>
    <sheet name="Order Booking_BD (2)" sheetId="100" r:id="rId9"/>
    <sheet name="Order Booking_BD" sheetId="7" r:id="rId10"/>
    <sheet name="Order Booking Detail_BD" sheetId="143" r:id="rId11"/>
    <sheet name="Order Booking Detail_BD(3)" sheetId="8" r:id="rId12"/>
    <sheet name="Transaction InquiryVal AfterOB" sheetId="145" r:id="rId13"/>
    <sheet name="Trans InquiryVal AfterOB Detail" sheetId="146" r:id="rId14"/>
    <sheet name="Trans_InquiryVal_AfterOB_Det2" sheetId="151" r:id="rId15"/>
    <sheet name="Trans_InquiryVal_AfterOB_Header" sheetId="152" r:id="rId16"/>
    <sheet name="Order Booking Detail2_BD" sheetId="144" r:id="rId17"/>
    <sheet name="Order Booking Detail2_BD(3)" sheetId="45" r:id="rId18"/>
    <sheet name="Order Editing Detail2_BD (2)" sheetId="139" r:id="rId19"/>
    <sheet name="Order_Booking_Detail_BD_ASSR" sheetId="49" r:id="rId20"/>
    <sheet name="Stock Allocation_BD" sheetId="36" r:id="rId21"/>
    <sheet name="Stock Unallocation_BD" sheetId="86" r:id="rId22"/>
    <sheet name="Order Editing_BD" sheetId="29" r:id="rId23"/>
    <sheet name="Order Editing Detail_BD" sheetId="30" r:id="rId24"/>
    <sheet name="Order Editing Detail2_BD" sheetId="47" r:id="rId25"/>
    <sheet name="Order Booking Detail2 (2)" sheetId="138" r:id="rId26"/>
    <sheet name="ORD_EDIT_VALD_ASSR" sheetId="51" r:id="rId27"/>
    <sheet name="Order_Editing_Detail_BD_ASSR" sheetId="52" r:id="rId28"/>
    <sheet name="Order Cancellation_BD" sheetId="27" r:id="rId29"/>
    <sheet name="Order Cancellation Detail_BD" sheetId="28" r:id="rId30"/>
    <sheet name="Delivery Date Change_BD" sheetId="11" r:id="rId31"/>
    <sheet name="DELIVERYDATE_CHNG_ASSR" sheetId="70" r:id="rId32"/>
    <sheet name="DA_FORWARD_ASSR" sheetId="50" r:id="rId33"/>
    <sheet name="DA_APPROVALFRWD_ASSR" sheetId="65" r:id="rId34"/>
    <sheet name="DA Loss Approval Request" sheetId="34" r:id="rId35"/>
    <sheet name="Approval Screen" sheetId="39" r:id="rId36"/>
    <sheet name="Dispatch Advice Loss Approval" sheetId="35" r:id="rId37"/>
    <sheet name="DA_LOSS_APPROVALFRWD_ASSR" sheetId="66" r:id="rId38"/>
    <sheet name="Goods Issue Note" sheetId="9" r:id="rId39"/>
    <sheet name="Goods Issue Note CM Selection" sheetId="61" r:id="rId40"/>
    <sheet name="Goods Issue Note Detail" sheetId="10" r:id="rId41"/>
    <sheet name="Goods Issue Note Forward" sheetId="60" r:id="rId42"/>
    <sheet name="GIN_DTL_SAVE_ASSR" sheetId="53" r:id="rId43"/>
    <sheet name="GIN_FORWARD_ASSR" sheetId="54" r:id="rId44"/>
    <sheet name="Goods Issue Note Approval" sheetId="75" r:id="rId45"/>
    <sheet name="GIN_APPROVAL_SAVE_ASSR" sheetId="71" r:id="rId46"/>
    <sheet name="Cashmemo Reschedule" sheetId="87" r:id="rId47"/>
    <sheet name="FRESH_SALES_RETURN" sheetId="88" r:id="rId48"/>
    <sheet name="FRESH_SALES_RETURN_ASSR" sheetId="89" r:id="rId49"/>
    <sheet name="FRESH_SALES_RETURN DTL Partial" sheetId="90" r:id="rId50"/>
    <sheet name="FRESH_SALES_RETURN Val Partial" sheetId="135" r:id="rId51"/>
    <sheet name="FRESH_SALES_RETURN_Full" sheetId="91" r:id="rId52"/>
    <sheet name="FRESH_SALES_RETURN_Full_ASSR" sheetId="92" r:id="rId53"/>
    <sheet name="FRESH_SALES_RETURN DTL_Full" sheetId="93" r:id="rId54"/>
    <sheet name="FRESH_SALES_RETURN Val_Full" sheetId="137" r:id="rId55"/>
    <sheet name="Sales Return" sheetId="13" r:id="rId56"/>
    <sheet name="Sales Return2" sheetId="94" r:id="rId57"/>
    <sheet name="Sales Return Detail" sheetId="14" r:id="rId58"/>
    <sheet name="Sales Return Validation" sheetId="133" r:id="rId59"/>
    <sheet name="Sales_Retur" sheetId="134" r:id="rId60"/>
    <sheet name="Sales Return Detail3" sheetId="95" r:id="rId61"/>
    <sheet name="SaleRetDTL_Valid_ASSR" sheetId="56" r:id="rId62"/>
    <sheet name="SaleRetDTL_SAVE_ASSR" sheetId="55" r:id="rId63"/>
    <sheet name="Sales Return Status Change" sheetId="17" r:id="rId64"/>
    <sheet name="Sales Return Status Change Det" sheetId="18" r:id="rId65"/>
    <sheet name="Sales R Status Change_Valida" sheetId="149" r:id="rId66"/>
    <sheet name="SR_StatsChang_DTL_SAVE_ASSR" sheetId="58" r:id="rId67"/>
    <sheet name="Sales Return View" sheetId="15" r:id="rId68"/>
    <sheet name="Sales Return View,Detail_Val" sheetId="147" r:id="rId69"/>
    <sheet name="SaleRetrunView_ASSR" sheetId="57" r:id="rId70"/>
    <sheet name="Sales Return View Approval" sheetId="16" r:id="rId71"/>
    <sheet name="SaleRetrunViewApprval_ASSR" sheetId="64" r:id="rId72"/>
    <sheet name="Goods Return Note" sheetId="23" r:id="rId73"/>
    <sheet name="Good Return Note Detail" sheetId="24" r:id="rId74"/>
    <sheet name="Good Return Note Detail_Valida" sheetId="150" r:id="rId75"/>
    <sheet name="GRN_DTL_SAVE_ASSR" sheetId="72" r:id="rId76"/>
    <sheet name="Goods Return Note Forward" sheetId="46" r:id="rId77"/>
    <sheet name="GRN_FORWARD_ASSR" sheetId="73" r:id="rId78"/>
    <sheet name="Good Return Note Approval" sheetId="76" r:id="rId79"/>
    <sheet name="GRN_APPROVAL_ASSR" sheetId="74" r:id="rId80"/>
    <sheet name="Distributor selection" sheetId="117" r:id="rId81"/>
    <sheet name="Deposit Slip" sheetId="19" r:id="rId82"/>
    <sheet name="Deposit Slip,Outlet" sheetId="98" r:id="rId83"/>
    <sheet name="DEPOSIT_SAVE_ASSR" sheetId="68" r:id="rId84"/>
    <sheet name="Deposit Slip,Cash" sheetId="96" r:id="rId85"/>
    <sheet name="Deposit Slip,Cash memos,Cash" sheetId="97" r:id="rId86"/>
    <sheet name="Deposit Slip,Cash memos" sheetId="20" r:id="rId87"/>
    <sheet name="GLOBAL-REPO" sheetId="42" r:id="rId88"/>
    <sheet name="DEPOSIT_DTL_SAVE_ASSR" sheetId="67" r:id="rId89"/>
    <sheet name="Deposit Slip,Forward" sheetId="43" r:id="rId90"/>
    <sheet name="DEPOSITSLIP_FWD_ASSR" sheetId="69" r:id="rId91"/>
    <sheet name="Deposit Slip Update" sheetId="81" r:id="rId92"/>
    <sheet name="Cheque Status" sheetId="99" r:id="rId93"/>
    <sheet name="Cheque_Status_ASSR" sheetId="115" r:id="rId94"/>
    <sheet name="Cashmemo Status" sheetId="12" r:id="rId95"/>
    <sheet name="ORD_STATUS_SAVE_ASSR" sheetId="62" r:id="rId96"/>
    <sheet name="Unallocated_ASSR" sheetId="63" r:id="rId97"/>
    <sheet name="Stock_Allocation_ASSR" sheetId="156" r:id="rId98"/>
    <sheet name="Transaction Inquiry" sheetId="37" r:id="rId99"/>
    <sheet name="Stock Inquiry" sheetId="38" r:id="rId100"/>
    <sheet name="DSR Adjustment Amount" sheetId="21" r:id="rId101"/>
    <sheet name="DSR_ADJ_AMOUNT_ASSR" sheetId="59" r:id="rId102"/>
    <sheet name="DSR Adjustment Amount,Detail" sheetId="22" r:id="rId103"/>
    <sheet name="Route Settlement" sheetId="41" r:id="rId104"/>
    <sheet name="Route Settlement Validation" sheetId="154" r:id="rId105"/>
    <sheet name="Route Settlement Validation1" sheetId="153" r:id="rId106"/>
    <sheet name="Route Settlement Validation2" sheetId="155" r:id="rId107"/>
    <sheet name="Route Settlement Validation3" sheetId="157" r:id="rId108"/>
    <sheet name="PJP Daily" sheetId="77" r:id="rId109"/>
    <sheet name="Sheet1" sheetId="101" r:id="rId110"/>
    <sheet name="PJP Daily2" sheetId="78" r:id="rId111"/>
    <sheet name="PJP_Inquiry_ASSR" sheetId="116" r:id="rId112"/>
    <sheet name="SAN Admin" sheetId="118" r:id="rId113"/>
    <sheet name="SAN Admin Detail" sheetId="119" r:id="rId114"/>
    <sheet name="SAN Admin Forward" sheetId="120" r:id="rId115"/>
    <sheet name="SAN Warehouse2Warehouse" sheetId="121" r:id="rId116"/>
    <sheet name="SAN W2W Detail" sheetId="122" r:id="rId117"/>
    <sheet name="SAN W2W Forward" sheetId="123" r:id="rId118"/>
    <sheet name="SAN Entry" sheetId="159" r:id="rId119"/>
    <sheet name="SAN Entry Detail" sheetId="160" r:id="rId120"/>
    <sheet name="SAN Entry Forward" sheetId="161" r:id="rId121"/>
    <sheet name="SAN_FWD_ASSR" sheetId="124" r:id="rId122"/>
    <sheet name="SAN APP BD" sheetId="125" r:id="rId123"/>
    <sheet name="Stock Adjustment SAN APP" sheetId="158" r:id="rId124"/>
    <sheet name="SAN_APP_ASSR" sheetId="126" r:id="rId125"/>
    <sheet name="Stock_Val_after_SAN_admin" sheetId="127" r:id="rId126"/>
    <sheet name="Stock_Val_after_SAN_admin2" sheetId="128" r:id="rId127"/>
    <sheet name="Stock_Val_after_SAN_admin3" sheetId="129" r:id="rId128"/>
    <sheet name="Stock_Val_after_SAN_W2W" sheetId="130" r:id="rId129"/>
    <sheet name="Stock_Val_after_SAN_W2W2" sheetId="131" r:id="rId130"/>
    <sheet name="Stock_Val_after_SAN_W2W3" sheetId="132" r:id="rId131"/>
    <sheet name="Stock_Val_after_SAN_entry" sheetId="162" r:id="rId132"/>
    <sheet name="Stock_Val_after_SAN_entry2" sheetId="163" r:id="rId133"/>
    <sheet name="Stock_Val_after_SAN_entry3" sheetId="164" r:id="rId134"/>
    <sheet name="Stock_Val_after_DA" sheetId="102" r:id="rId135"/>
    <sheet name="Stock_Val_after_DA2" sheetId="103" r:id="rId136"/>
    <sheet name="Stock_Val_after_DA3" sheetId="104" r:id="rId137"/>
    <sheet name="Stock_Val_after_GIN" sheetId="105" r:id="rId138"/>
    <sheet name="Stock_Val_after_GIN2" sheetId="106" r:id="rId139"/>
    <sheet name="Stock_Val_after_GIN3" sheetId="107" r:id="rId140"/>
    <sheet name="Stock_Val_after_GRN" sheetId="108" r:id="rId141"/>
    <sheet name="Stock_Val_after_GRN2" sheetId="109" r:id="rId142"/>
    <sheet name="Stock_Val_after_GRN3" sheetId="110" r:id="rId143"/>
    <sheet name="Open_Close_Stock_Val" sheetId="112" r:id="rId144"/>
    <sheet name="Open_Close_Stock_Val2" sheetId="113" r:id="rId145"/>
    <sheet name="Open_Close_Stock_Val3" sheetId="114" r:id="rId146"/>
    <sheet name="screenshot_ASSR" sheetId="111" r:id="rId147"/>
    <sheet name="OTC Stock Out R1" sheetId="140" r:id="rId148"/>
    <sheet name="OTC Stock Out Det R1" sheetId="141" r:id="rId149"/>
    <sheet name="OTC Stock Out Fwd R1" sheetId="142" r:id="rId150"/>
  </sheets>
  <calcPr calcId="162913"/>
</workbook>
</file>

<file path=xl/calcChain.xml><?xml version="1.0" encoding="utf-8"?>
<calcChain xmlns="http://schemas.openxmlformats.org/spreadsheetml/2006/main">
  <c r="F2" i="162" l="1"/>
  <c r="C2" i="16" l="1"/>
  <c r="B2" i="16"/>
  <c r="A2" i="41" l="1"/>
  <c r="D2" i="145" l="1"/>
  <c r="C2" i="145"/>
  <c r="F2" i="130" l="1"/>
  <c r="F2" i="127"/>
  <c r="F2" i="112" l="1"/>
  <c r="F2" i="102" l="1"/>
  <c r="F2" i="108"/>
  <c r="F2" i="105"/>
  <c r="B2" i="99" l="1"/>
  <c r="B2" i="31" l="1"/>
  <c r="D2" i="78" l="1"/>
  <c r="B2" i="12"/>
  <c r="B5" i="98"/>
  <c r="B4" i="98"/>
  <c r="B3" i="98"/>
  <c r="B2" i="98"/>
  <c r="B2" i="20"/>
  <c r="C5" i="94"/>
  <c r="B5" i="94"/>
  <c r="C4" i="94"/>
  <c r="B4" i="94"/>
  <c r="C3" i="94"/>
  <c r="B3" i="94"/>
  <c r="C2" i="94"/>
  <c r="B2" i="94"/>
  <c r="C2" i="91" l="1"/>
  <c r="B2" i="91"/>
  <c r="C2" i="88"/>
  <c r="B2" i="88"/>
  <c r="B2" i="87" l="1"/>
  <c r="A2" i="87"/>
  <c r="A2" i="86" l="1"/>
  <c r="A2" i="77" l="1"/>
  <c r="B2" i="22" l="1"/>
  <c r="A2" i="22"/>
  <c r="D2" i="38"/>
  <c r="B2" i="11"/>
  <c r="A2" i="11"/>
  <c r="D2" i="37"/>
  <c r="C2" i="37"/>
  <c r="A2" i="36"/>
  <c r="C2" i="15"/>
  <c r="B2" i="15"/>
  <c r="C2" i="13"/>
  <c r="B2" i="13"/>
  <c r="H2" i="9"/>
  <c r="A2" i="40"/>
  <c r="E2" i="27"/>
  <c r="D2" i="27"/>
  <c r="F2" i="29"/>
  <c r="E2" i="29"/>
</calcChain>
</file>

<file path=xl/sharedStrings.xml><?xml version="1.0" encoding="utf-8"?>
<sst xmlns="http://schemas.openxmlformats.org/spreadsheetml/2006/main" count="2403" uniqueCount="466">
  <si>
    <t>Order Booker/Spot Seller</t>
  </si>
  <si>
    <t>PJP</t>
  </si>
  <si>
    <t>Selling Category</t>
  </si>
  <si>
    <t>Section</t>
  </si>
  <si>
    <t>Outlet Name</t>
  </si>
  <si>
    <t>Comments</t>
  </si>
  <si>
    <t>PK</t>
  </si>
  <si>
    <t>Order Booker</t>
  </si>
  <si>
    <t>OrderCS</t>
  </si>
  <si>
    <t>OrderPC</t>
  </si>
  <si>
    <t>0</t>
  </si>
  <si>
    <t>Delivery Man PJP</t>
  </si>
  <si>
    <t>Delivery Man DSR</t>
  </si>
  <si>
    <t>Warehouse</t>
  </si>
  <si>
    <t>Vehicle</t>
  </si>
  <si>
    <t>Suggested Type</t>
  </si>
  <si>
    <t>Delivery Date</t>
  </si>
  <si>
    <t>Cashmemo List</t>
  </si>
  <si>
    <t>AutomationQADSR</t>
  </si>
  <si>
    <t>74 - Sect to Locus</t>
  </si>
  <si>
    <t>Actual CS</t>
  </si>
  <si>
    <t>Order Date</t>
  </si>
  <si>
    <t>PJP Number</t>
  </si>
  <si>
    <t>Date From</t>
  </si>
  <si>
    <t>Date To</t>
  </si>
  <si>
    <t>Reason Type</t>
  </si>
  <si>
    <t>PC</t>
  </si>
  <si>
    <t>Shop Closed</t>
  </si>
  <si>
    <t>PJP-DSR</t>
  </si>
  <si>
    <t>Type</t>
  </si>
  <si>
    <t>Bank</t>
  </si>
  <si>
    <t>Bank Branch</t>
  </si>
  <si>
    <t>Deposit Amount</t>
  </si>
  <si>
    <t>Cheque No</t>
  </si>
  <si>
    <t>Cheque Date</t>
  </si>
  <si>
    <t>Bank_Name</t>
  </si>
  <si>
    <t>1234567</t>
  </si>
  <si>
    <t>Amount</t>
  </si>
  <si>
    <t>AUTO</t>
  </si>
  <si>
    <t>Start Date</t>
  </si>
  <si>
    <t>End Date</t>
  </si>
  <si>
    <t>CS</t>
  </si>
  <si>
    <t>1</t>
  </si>
  <si>
    <t>Date</t>
  </si>
  <si>
    <t>01</t>
  </si>
  <si>
    <t>Cancellation Reason</t>
  </si>
  <si>
    <t>Reference Number</t>
  </si>
  <si>
    <t>STPONERR</t>
  </si>
  <si>
    <t>N</t>
  </si>
  <si>
    <t>OrderDZ</t>
  </si>
  <si>
    <t>Selling category</t>
  </si>
  <si>
    <t>Product</t>
  </si>
  <si>
    <t>Stock Type</t>
  </si>
  <si>
    <t>Batch</t>
  </si>
  <si>
    <t>CS2</t>
  </si>
  <si>
    <t>Sound</t>
  </si>
  <si>
    <t>1-1</t>
  </si>
  <si>
    <t>50</t>
  </si>
  <si>
    <t>12</t>
  </si>
  <si>
    <t>45</t>
  </si>
  <si>
    <t>11</t>
  </si>
  <si>
    <t>Stock</t>
  </si>
  <si>
    <t>5</t>
  </si>
  <si>
    <t>comments</t>
  </si>
  <si>
    <t>Search record name</t>
  </si>
  <si>
    <t>Auto</t>
  </si>
  <si>
    <t>Document Type</t>
  </si>
  <si>
    <t>Document Status</t>
  </si>
  <si>
    <t>Document Date From</t>
  </si>
  <si>
    <t>Document Date To</t>
  </si>
  <si>
    <t>Sales</t>
  </si>
  <si>
    <t>All</t>
  </si>
  <si>
    <t>Period Type</t>
  </si>
  <si>
    <t>Balance Date</t>
  </si>
  <si>
    <t>DAILY</t>
  </si>
  <si>
    <t>distributors</t>
  </si>
  <si>
    <t>SO Number</t>
  </si>
  <si>
    <t>ProductDesc</t>
  </si>
  <si>
    <t>02</t>
  </si>
  <si>
    <t>03</t>
  </si>
  <si>
    <t>Automation Approval</t>
  </si>
  <si>
    <t>01-01</t>
  </si>
  <si>
    <t>01-02</t>
  </si>
  <si>
    <t>60</t>
  </si>
  <si>
    <t>2</t>
  </si>
  <si>
    <t>4</t>
  </si>
  <si>
    <t>04</t>
  </si>
  <si>
    <t>REPOID</t>
  </si>
  <si>
    <t>REPOVALUE</t>
  </si>
  <si>
    <t>REPO_ORGA</t>
  </si>
  <si>
    <t>Price Difference</t>
  </si>
  <si>
    <t>Automation_Testing_Section</t>
  </si>
  <si>
    <t>Outlet Code</t>
  </si>
  <si>
    <t>comments1</t>
  </si>
  <si>
    <t>Approval</t>
  </si>
  <si>
    <t>REPO_REF_ORDER_NO</t>
  </si>
  <si>
    <t>101020304050 - Automation_Testing_Section</t>
  </si>
  <si>
    <t>Stock Out</t>
  </si>
  <si>
    <t>Gross Amount</t>
  </si>
  <si>
    <t>Discount</t>
  </si>
  <si>
    <t>Tax</t>
  </si>
  <si>
    <t>Net Amount</t>
  </si>
  <si>
    <t>REPO_CMDOCTYPE</t>
  </si>
  <si>
    <t>CM-01</t>
  </si>
  <si>
    <t>Trade Price</t>
  </si>
  <si>
    <t>02-01</t>
  </si>
  <si>
    <t>02-02</t>
  </si>
  <si>
    <t>03-01</t>
  </si>
  <si>
    <t>03-02</t>
  </si>
  <si>
    <t>04-01</t>
  </si>
  <si>
    <t>04-02</t>
  </si>
  <si>
    <t>C0000000055 - Auto Main Warehouse</t>
  </si>
  <si>
    <t>Selling Category 001</t>
  </si>
  <si>
    <t>REPO_REF_ORDER_EDITNO</t>
  </si>
  <si>
    <t>Automation Positive 01</t>
  </si>
  <si>
    <t>Automation Positive 04</t>
  </si>
  <si>
    <t>Automation Positive 03</t>
  </si>
  <si>
    <t>Automation Positive 02</t>
  </si>
  <si>
    <t>Automation Positive 05</t>
  </si>
  <si>
    <t>Automation Positive 06</t>
  </si>
  <si>
    <t>05</t>
  </si>
  <si>
    <t>06</t>
  </si>
  <si>
    <t>07</t>
  </si>
  <si>
    <t>05-01</t>
  </si>
  <si>
    <t>05-02</t>
  </si>
  <si>
    <t>06-01</t>
  </si>
  <si>
    <t>06-02</t>
  </si>
  <si>
    <t>07-01</t>
  </si>
  <si>
    <t>07-02</t>
  </si>
  <si>
    <t>EXPECTED_MESSAGE</t>
  </si>
  <si>
    <t>CASE_TYPE</t>
  </si>
  <si>
    <t>TN</t>
  </si>
  <si>
    <t>Order Save successfully</t>
  </si>
  <si>
    <t>Saved successfully</t>
  </si>
  <si>
    <t>Forwarded successfully</t>
  </si>
  <si>
    <t>PK_DESC</t>
  </si>
  <si>
    <t>DA Positive Case 01</t>
  </si>
  <si>
    <t>OB Positive 01</t>
  </si>
  <si>
    <t>OB Positive 03</t>
  </si>
  <si>
    <t>OB Positive 05</t>
  </si>
  <si>
    <t>OB Positive 06</t>
  </si>
  <si>
    <t>OB Positive 02</t>
  </si>
  <si>
    <t>OB Positive 01-01</t>
  </si>
  <si>
    <t>OB Positive 02-01</t>
  </si>
  <si>
    <t>OB Positive 02-02</t>
  </si>
  <si>
    <t>OB Positive 03-01</t>
  </si>
  <si>
    <t>OB Positive 03-02</t>
  </si>
  <si>
    <t>OB Positive 04-01</t>
  </si>
  <si>
    <t>OB Positive 04-02</t>
  </si>
  <si>
    <t>OB Positive 05-01</t>
  </si>
  <si>
    <t>OB Positive 05-02</t>
  </si>
  <si>
    <t>OB Positive 06-01</t>
  </si>
  <si>
    <t>OB Positive 06-02</t>
  </si>
  <si>
    <t>OB Positive 07-01</t>
  </si>
  <si>
    <t>OB Positive 07-02</t>
  </si>
  <si>
    <t>OB Positive 01-02</t>
  </si>
  <si>
    <t>OB Positive Validation 01</t>
  </si>
  <si>
    <t>OB Positive Validation 02</t>
  </si>
  <si>
    <t>OB Positive Validation 03</t>
  </si>
  <si>
    <t>OB Positive Validation 04</t>
  </si>
  <si>
    <t>OB Positive Validation 05</t>
  </si>
  <si>
    <t>OB Positive Validation 06</t>
  </si>
  <si>
    <t>OB Positive Validation 07</t>
  </si>
  <si>
    <t>OB Positive Assertion 01</t>
  </si>
  <si>
    <t>OB Positive Assertion 02</t>
  </si>
  <si>
    <t>OB Positive Assertion 03</t>
  </si>
  <si>
    <t>OB Positive Assertion 04</t>
  </si>
  <si>
    <t>OB Positive Assertion 05</t>
  </si>
  <si>
    <t>OB Positive Assertion 06</t>
  </si>
  <si>
    <t>OB Positive Assertion 07</t>
  </si>
  <si>
    <t>Order Editing Positive 01</t>
  </si>
  <si>
    <t>OB Positive 04 For Edition Bf GIN</t>
  </si>
  <si>
    <t>Order Editing Assertion Validation 01</t>
  </si>
  <si>
    <t>Order Editing Assertion Save 01</t>
  </si>
  <si>
    <t>Validation successfully</t>
  </si>
  <si>
    <t>Order Cancelled Successfully</t>
  </si>
  <si>
    <t>EXPECTED_INPUT</t>
  </si>
  <si>
    <t>Saved Succesfully.</t>
  </si>
  <si>
    <t>GIN Save Positive</t>
  </si>
  <si>
    <t>GIN Forward Positive</t>
  </si>
  <si>
    <t>Record Saved Successfully!</t>
  </si>
  <si>
    <t>Save successfully</t>
  </si>
  <si>
    <t>SR Detail Validation Positive</t>
  </si>
  <si>
    <t>SR  Detail Save Positive</t>
  </si>
  <si>
    <t>SR View Save Positive</t>
  </si>
  <si>
    <t>SR Status Change Save Positive</t>
  </si>
  <si>
    <t>Aautomation_Outlet_05</t>
  </si>
  <si>
    <t>1000000004-Aautomation_Outlet_04</t>
  </si>
  <si>
    <t>Aautomation</t>
  </si>
  <si>
    <t>1000000005-Aautomation_Outlet_05</t>
  </si>
  <si>
    <t>1000000001-Aautomation_Outlet_01</t>
  </si>
  <si>
    <t>1000000002-Aautomation_Outlet_02</t>
  </si>
  <si>
    <t>1000000003-Aautomation_Outlet_03</t>
  </si>
  <si>
    <t>Order Cancel Positive 01</t>
  </si>
  <si>
    <t>Aauto</t>
  </si>
  <si>
    <t>Record Saved Successfully</t>
  </si>
  <si>
    <t>DSR Name</t>
  </si>
  <si>
    <t>Success</t>
  </si>
  <si>
    <t>Updated successfully</t>
  </si>
  <si>
    <t>Cashmemo Status Save Positive</t>
  </si>
  <si>
    <t>Process completed successfully</t>
  </si>
  <si>
    <t>Stock unallocate Positive</t>
  </si>
  <si>
    <t>SR View Approval Save Positive</t>
  </si>
  <si>
    <t>Deposit Slip Detail Save Positive</t>
  </si>
  <si>
    <t>Deposit Slip Save Positive</t>
  </si>
  <si>
    <t>Deposit Slip Forward Positive</t>
  </si>
  <si>
    <t>Delivery Date Change Positive</t>
  </si>
  <si>
    <t>GIN Approval Positive</t>
  </si>
  <si>
    <t>GRN Forward Positive</t>
  </si>
  <si>
    <t>GRN Approval Positive</t>
  </si>
  <si>
    <t>Record saved successfully!</t>
  </si>
  <si>
    <t>Delivery Date has been changed successfully, processed orders: #</t>
  </si>
  <si>
    <t>-79.21</t>
  </si>
  <si>
    <t>18169.25</t>
  </si>
  <si>
    <t>3256.21</t>
  </si>
  <si>
    <t>21346.00</t>
  </si>
  <si>
    <t>Y</t>
  </si>
  <si>
    <t>Check_Validation</t>
  </si>
  <si>
    <t>REPO_DISTRIBUTOR</t>
  </si>
  <si>
    <t>PCOL25010842</t>
  </si>
  <si>
    <t>PCOL25010845</t>
  </si>
  <si>
    <t>Working Date</t>
  </si>
  <si>
    <t>DSR Files Status</t>
  </si>
  <si>
    <t>End Of Day</t>
  </si>
  <si>
    <t>DSR</t>
  </si>
  <si>
    <t>CHECK_VALIDATION</t>
  </si>
  <si>
    <t>Complete</t>
  </si>
  <si>
    <t>Cheque</t>
  </si>
  <si>
    <t>Citi Bank N.A</t>
  </si>
  <si>
    <t>Truck No</t>
  </si>
  <si>
    <t>VAT Challan Number</t>
  </si>
  <si>
    <t>Invoice Number</t>
  </si>
  <si>
    <t>222</t>
  </si>
  <si>
    <t>68186021</t>
  </si>
  <si>
    <t>010105</t>
  </si>
  <si>
    <t>Reason Type cannot be empty</t>
  </si>
  <si>
    <t>TP</t>
  </si>
  <si>
    <t>9999</t>
  </si>
  <si>
    <t>Return quantity should not greater than ordered quantity.</t>
  </si>
  <si>
    <t>-1</t>
  </si>
  <si>
    <t>Quantity cannot be negative</t>
  </si>
  <si>
    <t>Please fill out the quantity</t>
  </si>
  <si>
    <t>Auto1</t>
  </si>
  <si>
    <t>Stock Arrival</t>
  </si>
  <si>
    <t>40</t>
  </si>
  <si>
    <t>30</t>
  </si>
  <si>
    <t>55</t>
  </si>
  <si>
    <t>06-03</t>
  </si>
  <si>
    <t>06-02-02</t>
  </si>
  <si>
    <t>06-02-03</t>
  </si>
  <si>
    <t>05111-Auto_BanglaOB1</t>
  </si>
  <si>
    <t>05111~Auto_BanglaOB1</t>
  </si>
  <si>
    <t>68186025</t>
  </si>
  <si>
    <t>1000000006-Aautomation_Outlet_06</t>
  </si>
  <si>
    <t>Automation Positive 08</t>
  </si>
  <si>
    <t>08</t>
  </si>
  <si>
    <t>OB Positive 08</t>
  </si>
  <si>
    <t>08-01</t>
  </si>
  <si>
    <t>OB Positive 08-01</t>
  </si>
  <si>
    <t>OB Positive Validation 08</t>
  </si>
  <si>
    <t>05111 - Auto_BanglaOB1</t>
  </si>
  <si>
    <t>06-03-03</t>
  </si>
  <si>
    <t>05108843</t>
  </si>
  <si>
    <t>05108843-Auto Bangla</t>
  </si>
  <si>
    <t>05111~Auto_BanglaOB</t>
  </si>
  <si>
    <t>Loss Reason</t>
  </si>
  <si>
    <t>Damaged</t>
  </si>
  <si>
    <t>05112-Auto_BanglaDSR</t>
  </si>
  <si>
    <t>Automation_Outlet_08</t>
  </si>
  <si>
    <t>05112~Auto_BanglaDSR</t>
  </si>
  <si>
    <t>05112 - Auto_BanglaDSR</t>
  </si>
  <si>
    <t>5112</t>
  </si>
  <si>
    <t>DEPOSIT Slip Positive</t>
  </si>
  <si>
    <t>1000000006</t>
  </si>
  <si>
    <t>Cash</t>
  </si>
  <si>
    <t>1200</t>
  </si>
  <si>
    <t>Cheque. No</t>
  </si>
  <si>
    <t>12444</t>
  </si>
  <si>
    <t>800</t>
  </si>
  <si>
    <t>22337</t>
  </si>
  <si>
    <t>12222</t>
  </si>
  <si>
    <t>400</t>
  </si>
  <si>
    <t>01-03</t>
  </si>
  <si>
    <t>01-04</t>
  </si>
  <si>
    <t>Auto2</t>
  </si>
  <si>
    <t>Mark Status</t>
  </si>
  <si>
    <t>BD0189</t>
  </si>
  <si>
    <t>DT Bank s</t>
  </si>
  <si>
    <t>DT Bank Branch</t>
  </si>
  <si>
    <t>02111 - AutomationOB1</t>
  </si>
  <si>
    <t>122</t>
  </si>
  <si>
    <t>Loss Reason2</t>
  </si>
  <si>
    <t>1000000008-Automation_Outlet_08</t>
  </si>
  <si>
    <t>No Cash</t>
  </si>
  <si>
    <t>Actual CS2</t>
  </si>
  <si>
    <t>Auto_BanglaDSR</t>
  </si>
  <si>
    <t>Bank test 9123</t>
  </si>
  <si>
    <t>Bank Test</t>
  </si>
  <si>
    <t>26</t>
  </si>
  <si>
    <t>24</t>
  </si>
  <si>
    <t>Good Return Note Detail Positive 01</t>
  </si>
  <si>
    <t>Good Return Note Detail Positive 02</t>
  </si>
  <si>
    <t>1000000004</t>
  </si>
  <si>
    <t>100</t>
  </si>
  <si>
    <t>Pack Shortage</t>
  </si>
  <si>
    <t>REPO_PJP Number</t>
  </si>
  <si>
    <t>05111</t>
  </si>
  <si>
    <t>Aautomation_Outlet_01</t>
  </si>
  <si>
    <t>-1000</t>
  </si>
  <si>
    <t>Category</t>
  </si>
  <si>
    <t>Brand</t>
  </si>
  <si>
    <t>Stock Validation After DA</t>
  </si>
  <si>
    <t>In CS</t>
  </si>
  <si>
    <t>Out CS</t>
  </si>
  <si>
    <t>In PC</t>
  </si>
  <si>
    <t>Out PC</t>
  </si>
  <si>
    <t>80</t>
  </si>
  <si>
    <t>84</t>
  </si>
  <si>
    <t>Auto bangla Sound</t>
  </si>
  <si>
    <t>01 - Sound</t>
  </si>
  <si>
    <t>Opening CS</t>
  </si>
  <si>
    <t>Closing CS</t>
  </si>
  <si>
    <t>Opening PC</t>
  </si>
  <si>
    <t>Closing PC</t>
  </si>
  <si>
    <t>Cheque Status Positive</t>
  </si>
  <si>
    <t>Record Updated Successfully</t>
  </si>
  <si>
    <t>Company</t>
  </si>
  <si>
    <t>Unilever Bangladesh Limited -Bangla</t>
  </si>
  <si>
    <t>Distributor</t>
  </si>
  <si>
    <t>SAN Type</t>
  </si>
  <si>
    <t>From Warehouse</t>
  </si>
  <si>
    <t>SAN_TYPE</t>
  </si>
  <si>
    <t>Stock Adjustment Admin</t>
  </si>
  <si>
    <t>C0000000151-SAN Warehouse B</t>
  </si>
  <si>
    <t>Automation</t>
  </si>
  <si>
    <t/>
  </si>
  <si>
    <t>01-Sound</t>
  </si>
  <si>
    <t>20</t>
  </si>
  <si>
    <t>To Warehouse</t>
  </si>
  <si>
    <t>Warehouse To Warehouse Transfer</t>
  </si>
  <si>
    <t>C0000000150-SAN Warehouse A</t>
  </si>
  <si>
    <t>Warehouse To Warehouse</t>
  </si>
  <si>
    <t>Stock Adjustment SAN ASSR</t>
  </si>
  <si>
    <t>Automation approval</t>
  </si>
  <si>
    <t>SAN Approval Case '01</t>
  </si>
  <si>
    <t>Stock Adjustment SAN Approval ASSR</t>
  </si>
  <si>
    <t>SAN Warehouse B</t>
  </si>
  <si>
    <t>SAN Warehouse</t>
  </si>
  <si>
    <t>In CS2</t>
  </si>
  <si>
    <t>Out CS2</t>
  </si>
  <si>
    <t>In PC2</t>
  </si>
  <si>
    <t>Out PC2</t>
  </si>
  <si>
    <t>Stock Validation After SAN Admin</t>
  </si>
  <si>
    <t>Stock Validation After SAN Warehouse to Warehouse</t>
  </si>
  <si>
    <t>Stock Validation After GIN</t>
  </si>
  <si>
    <t>Stock Validation After GRN</t>
  </si>
  <si>
    <t>Opening and Closing Stock Validation</t>
  </si>
  <si>
    <t>Stock Adjustment SAN (Warehouse to Warehouse)</t>
  </si>
  <si>
    <t>Stock Adjustment SAN (Admin)</t>
  </si>
  <si>
    <t>71.40</t>
  </si>
  <si>
    <t>Sales Return Validation 01</t>
  </si>
  <si>
    <t>FRESH_SALES_RETURN Val Partial' Validation 01</t>
  </si>
  <si>
    <t>FRESH_SALES_RETURN Val_Full' Validation 01</t>
  </si>
  <si>
    <t>C0000000087-Auto bangla Sound</t>
  </si>
  <si>
    <t>OTC Stock Out</t>
  </si>
  <si>
    <t>-53</t>
  </si>
  <si>
    <t>-21</t>
  </si>
  <si>
    <t>3,808.00</t>
  </si>
  <si>
    <t>496.70</t>
  </si>
  <si>
    <t>19,639.33</t>
  </si>
  <si>
    <t>2,561.65</t>
  </si>
  <si>
    <t>79.33</t>
  </si>
  <si>
    <t>10.35</t>
  </si>
  <si>
    <t>Weight (Kg)</t>
  </si>
  <si>
    <t>17475.40</t>
  </si>
  <si>
    <t>-1945.60</t>
  </si>
  <si>
    <t>420.80</t>
  </si>
  <si>
    <t>3,387.20</t>
  </si>
  <si>
    <t>17,475.40</t>
  </si>
  <si>
    <t>BDT 46,013.314</t>
  </si>
  <si>
    <t>Saved successfully.</t>
  </si>
  <si>
    <t>BDT 9,599.3293</t>
  </si>
  <si>
    <t>BDT -1,057.689113</t>
  </si>
  <si>
    <t>BDT 1,252.086</t>
  </si>
  <si>
    <t>BDT 9,793.726187</t>
  </si>
  <si>
    <t>Sales Return View_Validation 01</t>
  </si>
  <si>
    <t>BDT 79.3333</t>
  </si>
  <si>
    <t>Sales R Status Change Validation 01</t>
  </si>
  <si>
    <t>7.93</t>
  </si>
  <si>
    <t>Good Return Note Detail_Validation 01</t>
  </si>
  <si>
    <t>Rate</t>
  </si>
  <si>
    <t>BDT 75.2879</t>
  </si>
  <si>
    <t>BDT 10,040</t>
  </si>
  <si>
    <t>BDT -1,106.243818</t>
  </si>
  <si>
    <t>BDT 1,309.5645</t>
  </si>
  <si>
    <t>BDT 10,243.320683</t>
  </si>
  <si>
    <t>Trans_InquiryVal_AfterOB_Header 04</t>
  </si>
  <si>
    <t>Trans_InquiryVal_AfterOB_Det2 03</t>
  </si>
  <si>
    <t>BDT 19,639.3293</t>
  </si>
  <si>
    <t>BDT -2,163.93293</t>
  </si>
  <si>
    <t>BDT 2,561.6505</t>
  </si>
  <si>
    <t>BDT 17,475.3964</t>
  </si>
  <si>
    <t>Gross Amount: BDT 79.3333</t>
  </si>
  <si>
    <t>Sa</t>
  </si>
  <si>
    <t>Trans InquiryVal AfterOB Detail Positive 02</t>
  </si>
  <si>
    <t>2,163.93</t>
  </si>
  <si>
    <t>BDT 7.93333</t>
  </si>
  <si>
    <t>BDT 10.347</t>
  </si>
  <si>
    <t>BDT 71.3999</t>
  </si>
  <si>
    <t>Discount: BDT 7.93333</t>
  </si>
  <si>
    <t>Tax: BDT 10.347</t>
  </si>
  <si>
    <t>Net Amount: BDT 71.3999</t>
  </si>
  <si>
    <t>Previous</t>
  </si>
  <si>
    <t>Today</t>
  </si>
  <si>
    <t>BDT 1,200</t>
  </si>
  <si>
    <t>Total</t>
  </si>
  <si>
    <t>Previous1</t>
  </si>
  <si>
    <t>BDT 400</t>
  </si>
  <si>
    <t>Today1</t>
  </si>
  <si>
    <t>BDT 800</t>
  </si>
  <si>
    <t>Total1</t>
  </si>
  <si>
    <t>Sale Value</t>
  </si>
  <si>
    <t>BDT 85,611.98</t>
  </si>
  <si>
    <t>Adjusted Credit Note Amount</t>
  </si>
  <si>
    <t>BDT 20,862.59</t>
  </si>
  <si>
    <t>Fresh Return Value</t>
  </si>
  <si>
    <t>Sale value_Adjusted Credit Amount_Fresh Return Validtion Positive 02</t>
  </si>
  <si>
    <t>Total Cash Collected_And_Total Cheque Collect Positive 03</t>
  </si>
  <si>
    <t>Payable Amount</t>
  </si>
  <si>
    <t>Received Amount</t>
  </si>
  <si>
    <t>Payable Amount1</t>
  </si>
  <si>
    <t>Received Amount1</t>
  </si>
  <si>
    <t>Cash Shortage</t>
  </si>
  <si>
    <t>6</t>
  </si>
  <si>
    <t>Sound CAT</t>
  </si>
  <si>
    <t>PKR 1,000</t>
  </si>
  <si>
    <t>Route Settlement Validation3 t Positive 05</t>
  </si>
  <si>
    <t>BDT 7,720</t>
  </si>
  <si>
    <t>Payable Amount And Received Amount Positive 01</t>
  </si>
  <si>
    <t>Payable Amount And Received Amount Positive 02</t>
  </si>
  <si>
    <t>Payable Amount And Received Amount Positive 03</t>
  </si>
  <si>
    <t>PKR 30,845.86</t>
  </si>
  <si>
    <t>PKR 6,169.17</t>
  </si>
  <si>
    <t>PKR 4,428.55</t>
  </si>
  <si>
    <t>PKR 29,105</t>
  </si>
  <si>
    <t>02112-AutomationDSR</t>
  </si>
  <si>
    <t>Sales Return View Approval_Valdation_Positive 01</t>
  </si>
  <si>
    <t>Expired</t>
  </si>
  <si>
    <t>Stock Adjustment Entry</t>
  </si>
  <si>
    <t>Stock Adjustment SAN (Entry)</t>
  </si>
  <si>
    <t>SAN Warehouse A</t>
  </si>
  <si>
    <t>SAN Entry for Damaged</t>
  </si>
  <si>
    <t>10</t>
  </si>
  <si>
    <t>Mice BItten</t>
  </si>
  <si>
    <t>SAN Entry for Sound</t>
  </si>
  <si>
    <t>-5</t>
  </si>
  <si>
    <t>-10</t>
  </si>
  <si>
    <t>Stock Validation After SAN Entry</t>
  </si>
  <si>
    <t>Out PC - Damaged</t>
  </si>
  <si>
    <t>In PC - Damaged</t>
  </si>
  <si>
    <t>Out CS - Damaged</t>
  </si>
  <si>
    <t>In CS - Damaged</t>
  </si>
  <si>
    <t>Out PC - Sound</t>
  </si>
  <si>
    <t>In PC - Sound</t>
  </si>
  <si>
    <t>Out CS - Sound</t>
  </si>
  <si>
    <t>In CS - Sound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</si>
</sst>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/d/yy\ h:mm\ AM/PM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rgb="FF484848"/>
      <name val="Arial"/>
      <family val="2"/>
    </font>
    <font>
      <sz val="11"/>
      <color rgb="FF313131"/>
      <name val="Arial"/>
      <family val="2"/>
    </font>
    <font>
      <sz val="11"/>
      <color rgb="FF000000"/>
      <name val="Calibri"/>
      <family val="2"/>
      <scheme val="minor"/>
    </font>
    <font>
      <sz val="10"/>
      <color rgb="FF31313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9E9E9"/>
      </left>
      <right style="medium">
        <color rgb="FFE9E9E9"/>
      </right>
      <top/>
      <bottom style="medium">
        <color rgb="FFE9E9E9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horizontal="left"/>
    </xf>
    <xf numFmtId="0" fontId="0" fillId="0" borderId="0" xfId="0" applyNumberFormat="1"/>
    <xf numFmtId="49" fontId="0" fillId="0" borderId="0" xfId="0" quotePrefix="1" applyNumberFormat="1"/>
    <xf numFmtId="0" fontId="0" fillId="0" borderId="0" xfId="0" applyAlignment="1">
      <alignment vertical="center"/>
    </xf>
    <xf numFmtId="0" fontId="0" fillId="0" borderId="0" xfId="0" quotePrefix="1"/>
    <xf numFmtId="49" fontId="0" fillId="0" borderId="0" xfId="0" quotePrefix="1" applyNumberFormat="1" applyAlignment="1">
      <alignment horizontal="left"/>
    </xf>
    <xf numFmtId="16" fontId="0" fillId="0" borderId="0" xfId="0" quotePrefix="1" applyNumberFormat="1"/>
    <xf numFmtId="0" fontId="0" fillId="0" borderId="0" xfId="0" applyFont="1"/>
    <xf numFmtId="0" fontId="3" fillId="2" borderId="1" xfId="0" applyFont="1" applyFill="1" applyBorder="1" applyAlignment="1">
      <alignment horizontal="right" vertical="top"/>
    </xf>
    <xf numFmtId="2" fontId="0" fillId="0" borderId="0" xfId="0" quotePrefix="1" applyNumberFormat="1"/>
    <xf numFmtId="0" fontId="0" fillId="0" borderId="0" xfId="0" quotePrefix="1" applyNumberFormat="1"/>
    <xf numFmtId="0" fontId="0" fillId="0" borderId="0" xfId="0"/>
    <xf numFmtId="49" fontId="0" fillId="0" borderId="0" xfId="0" applyNumberFormat="1"/>
    <xf numFmtId="49" fontId="0" fillId="0" borderId="0" xfId="0" quotePrefix="1" applyNumberFormat="1" applyAlignment="1">
      <alignment horizontal="left"/>
    </xf>
    <xf numFmtId="0" fontId="4" fillId="0" borderId="0" xfId="0" applyFont="1"/>
    <xf numFmtId="1" fontId="0" fillId="0" borderId="0" xfId="0" quotePrefix="1" applyNumberFormat="1"/>
    <xf numFmtId="14" fontId="0" fillId="0" borderId="0" xfId="0" applyNumberFormat="1"/>
    <xf numFmtId="22" fontId="0" fillId="0" borderId="0" xfId="0" applyNumberFormat="1"/>
    <xf numFmtId="164" fontId="0" fillId="0" borderId="0" xfId="0" applyNumberFormat="1"/>
    <xf numFmtId="0" fontId="5" fillId="0" borderId="0" xfId="0" applyFont="1"/>
    <xf numFmtId="49" fontId="5" fillId="0" borderId="0" xfId="0" applyNumberFormat="1" applyFont="1"/>
    <xf numFmtId="2" fontId="0" fillId="0" borderId="0" xfId="0" applyNumberForma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calcChain" Target="calcChain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workbookViewId="0">
      <selection activeCell="J24" sqref="J24"/>
    </sheetView>
  </sheetViews>
  <sheetFormatPr defaultRowHeight="15" x14ac:dyDescent="0.25"/>
  <cols>
    <col min="1" max="1" width="16" customWidth="1"/>
    <col min="2" max="2" width="22.28515625" style="15" bestFit="1" customWidth="1"/>
    <col min="3" max="3" width="22.42578125" bestFit="1" customWidth="1"/>
    <col min="4" max="4" width="15.28515625" bestFit="1" customWidth="1"/>
    <col min="5" max="5" width="10.42578125" bestFit="1" customWidth="1"/>
    <col min="6" max="6" width="18.42578125" bestFit="1" customWidth="1"/>
    <col min="7" max="7" width="18.85546875" bestFit="1" customWidth="1"/>
    <col min="8" max="8" width="16.28515625" bestFit="1" customWidth="1"/>
    <col min="9" max="9" width="27" bestFit="1" customWidth="1"/>
    <col min="10" max="10" width="10.5703125" style="15" bestFit="1" customWidth="1"/>
    <col min="11" max="11" width="9.5703125" style="15" customWidth="1"/>
    <col min="12" max="12" width="11.85546875" style="15" bestFit="1" customWidth="1"/>
    <col min="13" max="13" width="14.85546875" bestFit="1" customWidth="1"/>
    <col min="14" max="14" width="13.28515625" bestFit="1" customWidth="1"/>
    <col min="15" max="15" width="13.28515625" style="15" customWidth="1"/>
    <col min="16" max="16" width="19.5703125" style="15" bestFit="1" customWidth="1"/>
    <col min="17" max="17" width="15.28515625" style="15" bestFit="1" customWidth="1"/>
    <col min="19" max="19" width="18.42578125" style="15" bestFit="1" customWidth="1"/>
    <col min="20" max="20" width="10.28515625" bestFit="1" customWidth="1"/>
    <col min="21" max="21" width="19.28515625" bestFit="1" customWidth="1"/>
    <col min="22" max="22" width="19.28515625" style="15" customWidth="1"/>
    <col min="23" max="23" width="10.5703125" bestFit="1" customWidth="1"/>
  </cols>
  <sheetData>
    <row r="1" spans="1:23" x14ac:dyDescent="0.25">
      <c r="A1" s="16" t="s">
        <v>229</v>
      </c>
      <c r="B1" s="15" t="s">
        <v>243</v>
      </c>
      <c r="C1" s="16" t="s">
        <v>230</v>
      </c>
      <c r="D1" s="16" t="s">
        <v>231</v>
      </c>
      <c r="E1" s="15" t="s">
        <v>6</v>
      </c>
      <c r="F1" s="15" t="s">
        <v>135</v>
      </c>
      <c r="G1" s="15" t="s">
        <v>47</v>
      </c>
      <c r="H1" s="16" t="s">
        <v>176</v>
      </c>
      <c r="I1" s="15" t="s">
        <v>129</v>
      </c>
      <c r="J1" s="15" t="s">
        <v>130</v>
      </c>
      <c r="K1" s="23"/>
      <c r="L1" s="16"/>
      <c r="M1" s="15"/>
      <c r="N1" s="15"/>
      <c r="O1" s="16"/>
      <c r="P1" s="16"/>
      <c r="Q1" s="16"/>
      <c r="R1" s="15"/>
      <c r="U1" s="16"/>
      <c r="W1" s="15"/>
    </row>
    <row r="2" spans="1:23" x14ac:dyDescent="0.25">
      <c r="A2" s="16" t="s">
        <v>60</v>
      </c>
      <c r="B2" s="5" t="str">
        <f ca="1">TEXT(NOW(), "yyyy-mm-dd - hh:mm:ss")</f>
        <v>2026-08-21 - 12:25:52</v>
      </c>
      <c r="C2" s="6" t="s">
        <v>290</v>
      </c>
      <c r="D2" s="16" t="s">
        <v>232</v>
      </c>
      <c r="E2" s="8" t="s">
        <v>121</v>
      </c>
      <c r="F2" s="6" t="s">
        <v>136</v>
      </c>
      <c r="G2" s="16" t="s">
        <v>48</v>
      </c>
      <c r="H2" s="15"/>
      <c r="I2" s="16" t="s">
        <v>133</v>
      </c>
      <c r="J2" s="15" t="s">
        <v>131</v>
      </c>
      <c r="K2" s="16"/>
      <c r="L2" s="16"/>
      <c r="M2" s="5"/>
      <c r="N2" s="1"/>
      <c r="O2" s="16"/>
      <c r="P2" s="16"/>
      <c r="Q2" s="16"/>
      <c r="R2" s="8"/>
      <c r="S2" s="6"/>
      <c r="T2" s="1"/>
      <c r="V2" s="16"/>
      <c r="W2" s="15"/>
    </row>
    <row r="4" spans="1:23" x14ac:dyDescent="0.25">
      <c r="H4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E17" sqref="E17"/>
    </sheetView>
  </sheetViews>
  <sheetFormatPr defaultRowHeight="15" x14ac:dyDescent="0.25"/>
  <cols>
    <col min="2" max="2" width="10.42578125" bestFit="1" customWidth="1"/>
    <col min="6" max="6" width="10.28515625" bestFit="1" customWidth="1"/>
    <col min="7" max="7" width="19.28515625" bestFit="1" customWidth="1"/>
    <col min="8" max="8" width="10.5703125" bestFit="1" customWidth="1"/>
  </cols>
  <sheetData>
    <row r="1" spans="1:8" x14ac:dyDescent="0.25">
      <c r="A1" s="1" t="s">
        <v>51</v>
      </c>
      <c r="B1" s="1" t="s">
        <v>52</v>
      </c>
      <c r="C1" s="1" t="s">
        <v>53</v>
      </c>
      <c r="D1" s="1" t="s">
        <v>41</v>
      </c>
      <c r="E1" s="3" t="s">
        <v>6</v>
      </c>
      <c r="F1" t="s">
        <v>47</v>
      </c>
      <c r="G1" s="15" t="s">
        <v>129</v>
      </c>
      <c r="H1" s="16" t="s">
        <v>130</v>
      </c>
    </row>
    <row r="2" spans="1:8" x14ac:dyDescent="0.25">
      <c r="A2" s="1" t="s">
        <v>233</v>
      </c>
      <c r="B2" s="1" t="s">
        <v>55</v>
      </c>
      <c r="C2" s="1" t="s">
        <v>56</v>
      </c>
      <c r="D2" s="1" t="s">
        <v>245</v>
      </c>
      <c r="E2" s="8" t="s">
        <v>125</v>
      </c>
      <c r="F2" s="1" t="s">
        <v>48</v>
      </c>
      <c r="H2" s="16" t="s">
        <v>131</v>
      </c>
    </row>
    <row r="3" spans="1:8" x14ac:dyDescent="0.25">
      <c r="A3" s="1" t="s">
        <v>252</v>
      </c>
      <c r="B3" s="1" t="s">
        <v>55</v>
      </c>
      <c r="C3" s="1" t="s">
        <v>56</v>
      </c>
      <c r="D3" s="1" t="s">
        <v>244</v>
      </c>
      <c r="E3" s="8" t="s">
        <v>126</v>
      </c>
      <c r="F3" s="1" t="s">
        <v>48</v>
      </c>
      <c r="H3" s="16" t="s">
        <v>131</v>
      </c>
    </row>
    <row r="4" spans="1:8" x14ac:dyDescent="0.25">
      <c r="A4" s="1"/>
      <c r="B4" s="1"/>
      <c r="C4" s="1"/>
      <c r="D4" s="1"/>
      <c r="E4" s="8"/>
      <c r="F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O8" sqref="O8"/>
    </sheetView>
  </sheetViews>
  <sheetFormatPr defaultRowHeight="15" x14ac:dyDescent="0.25"/>
  <cols>
    <col min="2" max="2" width="10.42578125" bestFit="1" customWidth="1"/>
    <col min="9" max="9" width="10.28515625" bestFit="1" customWidth="1"/>
    <col min="10" max="10" width="19.28515625" bestFit="1" customWidth="1"/>
  </cols>
  <sheetData>
    <row r="1" spans="1:11" x14ac:dyDescent="0.25">
      <c r="A1" s="16" t="s">
        <v>51</v>
      </c>
      <c r="B1" s="16" t="s">
        <v>52</v>
      </c>
      <c r="C1" s="16" t="s">
        <v>53</v>
      </c>
      <c r="D1" s="16" t="s">
        <v>41</v>
      </c>
      <c r="E1" s="16" t="s">
        <v>26</v>
      </c>
      <c r="F1" s="15" t="s">
        <v>54</v>
      </c>
      <c r="G1" s="15" t="s">
        <v>26</v>
      </c>
      <c r="H1" s="3" t="s">
        <v>6</v>
      </c>
      <c r="I1" s="15" t="s">
        <v>47</v>
      </c>
      <c r="J1" s="15" t="s">
        <v>129</v>
      </c>
      <c r="K1" s="16" t="s">
        <v>130</v>
      </c>
    </row>
    <row r="2" spans="1:11" x14ac:dyDescent="0.25">
      <c r="A2" s="16" t="s">
        <v>233</v>
      </c>
      <c r="B2" s="16" t="s">
        <v>55</v>
      </c>
      <c r="C2" s="16" t="s">
        <v>56</v>
      </c>
      <c r="D2" s="16" t="s">
        <v>57</v>
      </c>
      <c r="E2" s="16" t="s">
        <v>58</v>
      </c>
      <c r="F2" s="15" t="s">
        <v>59</v>
      </c>
      <c r="G2" s="15" t="s">
        <v>60</v>
      </c>
      <c r="H2" s="8" t="s">
        <v>126</v>
      </c>
      <c r="I2" s="16" t="s">
        <v>48</v>
      </c>
      <c r="J2" s="15"/>
      <c r="K2" s="16" t="s">
        <v>131</v>
      </c>
    </row>
    <row r="3" spans="1:11" x14ac:dyDescent="0.25">
      <c r="A3" s="16" t="s">
        <v>252</v>
      </c>
      <c r="B3" s="16" t="s">
        <v>55</v>
      </c>
      <c r="C3" s="16" t="s">
        <v>56</v>
      </c>
      <c r="D3" s="16" t="s">
        <v>83</v>
      </c>
      <c r="E3" s="16" t="s">
        <v>42</v>
      </c>
      <c r="F3" s="15" t="s">
        <v>246</v>
      </c>
      <c r="G3" s="15" t="s">
        <v>42</v>
      </c>
      <c r="H3" s="8" t="s">
        <v>247</v>
      </c>
      <c r="I3" s="16" t="s">
        <v>48</v>
      </c>
      <c r="J3" s="15"/>
      <c r="K3" s="16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L11" sqref="L11"/>
    </sheetView>
  </sheetViews>
  <sheetFormatPr defaultRowHeight="15" x14ac:dyDescent="0.25"/>
  <cols>
    <col min="2" max="2" width="29.42578125" style="15" bestFit="1" customWidth="1"/>
    <col min="3" max="3" width="5.42578125" customWidth="1"/>
    <col min="4" max="4" width="6.28515625" customWidth="1"/>
    <col min="5" max="5" width="8.42578125" bestFit="1" customWidth="1"/>
    <col min="6" max="6" width="10.28515625" bestFit="1" customWidth="1"/>
    <col min="7" max="7" width="19.28515625" bestFit="1" customWidth="1"/>
    <col min="8" max="8" width="10.5703125" bestFit="1" customWidth="1"/>
  </cols>
  <sheetData>
    <row r="1" spans="1:8" x14ac:dyDescent="0.25">
      <c r="A1" s="1" t="s">
        <v>61</v>
      </c>
      <c r="B1" s="15" t="s">
        <v>265</v>
      </c>
      <c r="C1" s="1" t="s">
        <v>41</v>
      </c>
      <c r="D1" s="1" t="s">
        <v>26</v>
      </c>
      <c r="E1" s="3" t="s">
        <v>6</v>
      </c>
      <c r="F1" t="s">
        <v>47</v>
      </c>
      <c r="G1" s="15" t="s">
        <v>129</v>
      </c>
      <c r="H1" s="16" t="s">
        <v>130</v>
      </c>
    </row>
    <row r="2" spans="1:8" x14ac:dyDescent="0.25">
      <c r="A2" s="16" t="s">
        <v>266</v>
      </c>
      <c r="B2" s="16" t="s">
        <v>266</v>
      </c>
      <c r="C2" s="1" t="s">
        <v>85</v>
      </c>
      <c r="D2" s="1" t="s">
        <v>10</v>
      </c>
      <c r="E2" s="8" t="s">
        <v>248</v>
      </c>
      <c r="F2" s="1" t="s">
        <v>48</v>
      </c>
      <c r="H2" s="16" t="s">
        <v>131</v>
      </c>
    </row>
    <row r="3" spans="1:8" x14ac:dyDescent="0.25">
      <c r="A3" s="16" t="s">
        <v>447</v>
      </c>
      <c r="B3" s="16" t="s">
        <v>447</v>
      </c>
      <c r="C3" s="1" t="s">
        <v>84</v>
      </c>
      <c r="D3" s="1" t="s">
        <v>10</v>
      </c>
      <c r="E3" s="10" t="s">
        <v>249</v>
      </c>
      <c r="F3" s="1" t="s">
        <v>48</v>
      </c>
      <c r="H3" s="16" t="s">
        <v>131</v>
      </c>
    </row>
    <row r="4" spans="1:8" s="15" customFormat="1" x14ac:dyDescent="0.25">
      <c r="A4" s="16" t="s">
        <v>266</v>
      </c>
      <c r="B4" s="16" t="s">
        <v>304</v>
      </c>
      <c r="C4" s="6" t="s">
        <v>85</v>
      </c>
      <c r="D4" s="16">
        <v>0</v>
      </c>
      <c r="E4" s="8" t="s">
        <v>261</v>
      </c>
      <c r="F4" s="15" t="s">
        <v>48</v>
      </c>
      <c r="H4" s="16" t="s">
        <v>131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J24" sqref="J24"/>
    </sheetView>
  </sheetViews>
  <sheetFormatPr defaultRowHeight="15" x14ac:dyDescent="0.25"/>
  <cols>
    <col min="2" max="2" width="22" bestFit="1" customWidth="1"/>
    <col min="3" max="3" width="10.5703125" bestFit="1" customWidth="1"/>
  </cols>
  <sheetData>
    <row r="1" spans="1:3" x14ac:dyDescent="0.25">
      <c r="A1" s="16" t="s">
        <v>6</v>
      </c>
      <c r="B1" s="15" t="s">
        <v>129</v>
      </c>
      <c r="C1" s="15" t="s">
        <v>130</v>
      </c>
    </row>
    <row r="2" spans="1:3" x14ac:dyDescent="0.25">
      <c r="A2" s="17" t="s">
        <v>121</v>
      </c>
      <c r="B2" s="16" t="s">
        <v>134</v>
      </c>
      <c r="C2" s="15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J24" sqref="J24"/>
    </sheetView>
  </sheetViews>
  <sheetFormatPr defaultRowHeight="15" x14ac:dyDescent="0.25"/>
  <cols>
    <col min="1" max="1" width="20.28515625" bestFit="1" customWidth="1"/>
  </cols>
  <sheetData>
    <row r="1" spans="1:2" x14ac:dyDescent="0.25">
      <c r="A1" t="s">
        <v>65</v>
      </c>
      <c r="B1" t="s">
        <v>6</v>
      </c>
    </row>
    <row r="2" spans="1:2" x14ac:dyDescent="0.25">
      <c r="A2" t="s">
        <v>80</v>
      </c>
      <c r="B2" s="8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J24" sqref="J24"/>
    </sheetView>
  </sheetViews>
  <sheetFormatPr defaultRowHeight="15" x14ac:dyDescent="0.25"/>
  <cols>
    <col min="1" max="1" width="20.28515625" bestFit="1" customWidth="1"/>
    <col min="2" max="2" width="10.28515625" bestFit="1" customWidth="1"/>
  </cols>
  <sheetData>
    <row r="1" spans="1:3" x14ac:dyDescent="0.25">
      <c r="A1" s="16" t="s">
        <v>242</v>
      </c>
      <c r="B1" s="16" t="s">
        <v>47</v>
      </c>
      <c r="C1" s="16" t="s">
        <v>6</v>
      </c>
    </row>
    <row r="2" spans="1:3" x14ac:dyDescent="0.25">
      <c r="A2" s="16" t="s">
        <v>80</v>
      </c>
      <c r="B2" s="16" t="s">
        <v>48</v>
      </c>
      <c r="C2" s="6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J24" sqref="J24"/>
    </sheetView>
  </sheetViews>
  <sheetFormatPr defaultRowHeight="15" x14ac:dyDescent="0.25"/>
  <cols>
    <col min="1" max="1" width="22.42578125" bestFit="1" customWidth="1"/>
    <col min="2" max="2" width="20.28515625" bestFit="1" customWidth="1"/>
    <col min="5" max="5" width="18.42578125" bestFit="1" customWidth="1"/>
  </cols>
  <sheetData>
    <row r="1" spans="1:5" x14ac:dyDescent="0.25">
      <c r="A1" s="15" t="s">
        <v>76</v>
      </c>
      <c r="B1" s="15" t="s">
        <v>63</v>
      </c>
      <c r="C1" t="s">
        <v>47</v>
      </c>
      <c r="D1" s="15" t="s">
        <v>6</v>
      </c>
      <c r="E1" s="15" t="s">
        <v>135</v>
      </c>
    </row>
    <row r="2" spans="1:5" x14ac:dyDescent="0.25">
      <c r="A2" s="7" t="str">
        <f ca="1">CONCATENATE("Automation_",TEXT(NOW(),"DD-MM-YYYY"))</f>
        <v>Automation_21-08-2026</v>
      </c>
      <c r="B2" t="s">
        <v>80</v>
      </c>
      <c r="C2" s="1" t="s">
        <v>48</v>
      </c>
      <c r="D2" s="8" t="s">
        <v>44</v>
      </c>
      <c r="E2" s="6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zoomScaleNormal="100" workbookViewId="0">
      <selection activeCell="J24" sqref="J24"/>
    </sheetView>
  </sheetViews>
  <sheetFormatPr defaultRowHeight="15" x14ac:dyDescent="0.25"/>
  <cols>
    <col min="1" max="1" width="23.7109375" style="15" bestFit="1" customWidth="1"/>
    <col min="2" max="2" width="21.85546875" style="15" bestFit="1" customWidth="1"/>
    <col min="3" max="3" width="19.5703125" style="15" customWidth="1"/>
    <col min="4" max="4" width="27.140625" style="15" bestFit="1" customWidth="1"/>
    <col min="5" max="5" width="33.85546875" style="15" bestFit="1" customWidth="1"/>
    <col min="6" max="6" width="26.7109375" style="15" customWidth="1"/>
    <col min="7" max="7" width="18.140625" style="15" bestFit="1" customWidth="1"/>
    <col min="8" max="8" width="9.140625" style="15"/>
    <col min="9" max="9" width="13.7109375" style="15" bestFit="1" customWidth="1"/>
    <col min="10" max="10" width="10.28515625" style="15" bestFit="1" customWidth="1"/>
    <col min="11" max="16384" width="9.140625" style="15"/>
  </cols>
  <sheetData>
    <row r="1" spans="1:10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46</v>
      </c>
      <c r="H1" s="16" t="s">
        <v>6</v>
      </c>
      <c r="I1" s="16" t="s">
        <v>135</v>
      </c>
      <c r="J1" s="16" t="s">
        <v>47</v>
      </c>
    </row>
    <row r="2" spans="1:10" x14ac:dyDescent="0.25">
      <c r="A2" s="16" t="s">
        <v>7</v>
      </c>
      <c r="B2" s="16" t="s">
        <v>250</v>
      </c>
      <c r="C2" s="16" t="s">
        <v>112</v>
      </c>
      <c r="D2" s="16" t="s">
        <v>91</v>
      </c>
      <c r="E2" s="16" t="s">
        <v>190</v>
      </c>
      <c r="F2" s="16" t="s">
        <v>114</v>
      </c>
      <c r="G2" s="16">
        <v>100</v>
      </c>
      <c r="H2" s="8" t="s">
        <v>44</v>
      </c>
      <c r="I2" s="6" t="s">
        <v>137</v>
      </c>
      <c r="J2" s="16" t="s">
        <v>48</v>
      </c>
    </row>
    <row r="3" spans="1:10" x14ac:dyDescent="0.25">
      <c r="A3" s="15" t="s">
        <v>7</v>
      </c>
      <c r="B3" s="16" t="s">
        <v>250</v>
      </c>
      <c r="C3" s="16" t="s">
        <v>112</v>
      </c>
      <c r="D3" s="16" t="s">
        <v>91</v>
      </c>
      <c r="E3" s="16" t="s">
        <v>191</v>
      </c>
      <c r="F3" s="16" t="s">
        <v>117</v>
      </c>
      <c r="H3" s="8" t="s">
        <v>78</v>
      </c>
      <c r="I3" s="6" t="s">
        <v>141</v>
      </c>
      <c r="J3" s="15" t="s">
        <v>48</v>
      </c>
    </row>
    <row r="4" spans="1:10" x14ac:dyDescent="0.25">
      <c r="A4" s="15" t="s">
        <v>7</v>
      </c>
      <c r="B4" s="16" t="s">
        <v>250</v>
      </c>
      <c r="C4" s="16" t="s">
        <v>112</v>
      </c>
      <c r="D4" s="16" t="s">
        <v>91</v>
      </c>
      <c r="E4" s="16" t="s">
        <v>192</v>
      </c>
      <c r="F4" s="16" t="s">
        <v>116</v>
      </c>
      <c r="H4" s="8" t="s">
        <v>79</v>
      </c>
      <c r="I4" s="6" t="s">
        <v>138</v>
      </c>
      <c r="J4" s="15" t="s">
        <v>48</v>
      </c>
    </row>
    <row r="5" spans="1:10" x14ac:dyDescent="0.25">
      <c r="A5" s="15" t="s">
        <v>7</v>
      </c>
      <c r="B5" s="16" t="s">
        <v>250</v>
      </c>
      <c r="C5" s="16" t="s">
        <v>112</v>
      </c>
      <c r="D5" s="16" t="s">
        <v>91</v>
      </c>
      <c r="E5" s="16" t="s">
        <v>187</v>
      </c>
      <c r="F5" s="16" t="s">
        <v>115</v>
      </c>
      <c r="H5" s="8" t="s">
        <v>86</v>
      </c>
      <c r="I5" s="6" t="s">
        <v>171</v>
      </c>
      <c r="J5" s="15" t="s">
        <v>48</v>
      </c>
    </row>
    <row r="6" spans="1:10" x14ac:dyDescent="0.25">
      <c r="A6" s="15" t="s">
        <v>7</v>
      </c>
      <c r="B6" s="16" t="s">
        <v>250</v>
      </c>
      <c r="C6" s="16" t="s">
        <v>112</v>
      </c>
      <c r="D6" s="16" t="s">
        <v>91</v>
      </c>
      <c r="E6" s="16" t="s">
        <v>189</v>
      </c>
      <c r="F6" s="16" t="s">
        <v>118</v>
      </c>
      <c r="H6" s="8" t="s">
        <v>120</v>
      </c>
      <c r="I6" s="6" t="s">
        <v>139</v>
      </c>
      <c r="J6" s="15" t="s">
        <v>48</v>
      </c>
    </row>
    <row r="7" spans="1:10" x14ac:dyDescent="0.25">
      <c r="A7" s="15" t="s">
        <v>7</v>
      </c>
      <c r="B7" s="16" t="s">
        <v>250</v>
      </c>
      <c r="C7" s="16" t="s">
        <v>112</v>
      </c>
      <c r="D7" s="16" t="s">
        <v>91</v>
      </c>
      <c r="E7" s="16" t="s">
        <v>253</v>
      </c>
      <c r="F7" s="16" t="s">
        <v>119</v>
      </c>
      <c r="H7" s="8" t="s">
        <v>121</v>
      </c>
      <c r="I7" s="6" t="s">
        <v>140</v>
      </c>
      <c r="J7" s="15" t="s">
        <v>48</v>
      </c>
    </row>
    <row r="8" spans="1:10" x14ac:dyDescent="0.25">
      <c r="A8" s="15" t="s">
        <v>7</v>
      </c>
      <c r="B8" s="16" t="s">
        <v>250</v>
      </c>
      <c r="C8" s="16" t="s">
        <v>112</v>
      </c>
      <c r="D8" s="16" t="s">
        <v>91</v>
      </c>
      <c r="E8" s="16" t="s">
        <v>292</v>
      </c>
      <c r="F8" s="16" t="s">
        <v>254</v>
      </c>
      <c r="H8" s="8" t="s">
        <v>255</v>
      </c>
      <c r="I8" s="6" t="s">
        <v>256</v>
      </c>
      <c r="J8" s="15" t="s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zoomScaleNormal="100" workbookViewId="0">
      <selection activeCell="J24" sqref="J24"/>
    </sheetView>
  </sheetViews>
  <sheetFormatPr defaultRowHeight="15" x14ac:dyDescent="0.25"/>
  <cols>
    <col min="1" max="1" width="23.7109375" bestFit="1" customWidth="1"/>
    <col min="2" max="2" width="21.140625" bestFit="1" customWidth="1"/>
    <col min="3" max="3" width="19.5703125" customWidth="1"/>
    <col min="4" max="4" width="27.140625" bestFit="1" customWidth="1"/>
    <col min="5" max="5" width="33.85546875" bestFit="1" customWidth="1"/>
    <col min="6" max="6" width="26.7109375" customWidth="1"/>
    <col min="7" max="7" width="18.140625" bestFit="1" customWidth="1"/>
    <col min="9" max="9" width="30.28515625" style="15" bestFit="1" customWidth="1"/>
    <col min="10" max="10" width="10.28515625" bestFit="1" customWidth="1"/>
  </cols>
  <sheetData>
    <row r="1" spans="1:10" x14ac:dyDescent="0.25">
      <c r="A1" s="16" t="s">
        <v>0</v>
      </c>
      <c r="B1" s="1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46</v>
      </c>
      <c r="H1" s="16" t="s">
        <v>6</v>
      </c>
      <c r="I1" s="16" t="s">
        <v>135</v>
      </c>
      <c r="J1" s="16" t="s">
        <v>47</v>
      </c>
    </row>
    <row r="2" spans="1:10" x14ac:dyDescent="0.25">
      <c r="A2" s="1" t="s">
        <v>7</v>
      </c>
      <c r="B2" s="1" t="s">
        <v>250</v>
      </c>
      <c r="C2" s="1" t="s">
        <v>112</v>
      </c>
      <c r="D2" s="1" t="s">
        <v>91</v>
      </c>
      <c r="E2" s="16" t="s">
        <v>190</v>
      </c>
      <c r="F2" s="1" t="s">
        <v>114</v>
      </c>
      <c r="G2" s="1">
        <v>100</v>
      </c>
      <c r="H2" s="8" t="s">
        <v>44</v>
      </c>
      <c r="I2" s="6" t="s">
        <v>137</v>
      </c>
      <c r="J2" s="1" t="s">
        <v>48</v>
      </c>
    </row>
    <row r="3" spans="1:10" x14ac:dyDescent="0.25">
      <c r="A3" t="s">
        <v>7</v>
      </c>
      <c r="B3" s="1" t="s">
        <v>250</v>
      </c>
      <c r="C3" s="1" t="s">
        <v>112</v>
      </c>
      <c r="D3" s="1" t="s">
        <v>91</v>
      </c>
      <c r="E3" s="16" t="s">
        <v>191</v>
      </c>
      <c r="F3" s="1" t="s">
        <v>117</v>
      </c>
      <c r="H3" s="8" t="s">
        <v>78</v>
      </c>
      <c r="I3" s="6" t="s">
        <v>141</v>
      </c>
      <c r="J3" t="s">
        <v>48</v>
      </c>
    </row>
    <row r="4" spans="1:10" x14ac:dyDescent="0.25">
      <c r="A4" t="s">
        <v>7</v>
      </c>
      <c r="B4" s="1" t="s">
        <v>250</v>
      </c>
      <c r="C4" s="1" t="s">
        <v>112</v>
      </c>
      <c r="D4" s="1" t="s">
        <v>91</v>
      </c>
      <c r="E4" s="16" t="s">
        <v>192</v>
      </c>
      <c r="F4" s="1" t="s">
        <v>116</v>
      </c>
      <c r="H4" s="8" t="s">
        <v>79</v>
      </c>
      <c r="I4" s="6" t="s">
        <v>138</v>
      </c>
      <c r="J4" t="s">
        <v>48</v>
      </c>
    </row>
    <row r="5" spans="1:10" x14ac:dyDescent="0.25">
      <c r="A5" t="s">
        <v>7</v>
      </c>
      <c r="B5" s="1" t="s">
        <v>250</v>
      </c>
      <c r="C5" s="1" t="s">
        <v>112</v>
      </c>
      <c r="D5" s="1" t="s">
        <v>91</v>
      </c>
      <c r="E5" s="16" t="s">
        <v>187</v>
      </c>
      <c r="F5" s="1" t="s">
        <v>115</v>
      </c>
      <c r="H5" s="8" t="s">
        <v>86</v>
      </c>
      <c r="I5" s="6" t="s">
        <v>171</v>
      </c>
      <c r="J5" t="s">
        <v>48</v>
      </c>
    </row>
    <row r="6" spans="1:10" x14ac:dyDescent="0.25">
      <c r="A6" t="s">
        <v>7</v>
      </c>
      <c r="B6" s="1" t="s">
        <v>250</v>
      </c>
      <c r="C6" s="1" t="s">
        <v>112</v>
      </c>
      <c r="D6" s="1" t="s">
        <v>91</v>
      </c>
      <c r="E6" s="16" t="s">
        <v>189</v>
      </c>
      <c r="F6" s="1" t="s">
        <v>118</v>
      </c>
      <c r="H6" s="8" t="s">
        <v>120</v>
      </c>
      <c r="I6" s="6" t="s">
        <v>139</v>
      </c>
      <c r="J6" t="s">
        <v>48</v>
      </c>
    </row>
    <row r="7" spans="1:10" x14ac:dyDescent="0.25">
      <c r="A7" t="s">
        <v>7</v>
      </c>
      <c r="B7" s="1" t="s">
        <v>250</v>
      </c>
      <c r="C7" s="1" t="s">
        <v>112</v>
      </c>
      <c r="D7" s="1" t="s">
        <v>91</v>
      </c>
      <c r="E7" s="16" t="s">
        <v>253</v>
      </c>
      <c r="F7" s="1" t="s">
        <v>119</v>
      </c>
      <c r="H7" s="8" t="s">
        <v>121</v>
      </c>
      <c r="I7" s="6" t="s">
        <v>140</v>
      </c>
      <c r="J7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zoomScaleNormal="100" workbookViewId="0">
      <selection activeCell="J24" sqref="J24"/>
    </sheetView>
  </sheetViews>
  <sheetFormatPr defaultRowHeight="15" x14ac:dyDescent="0.25"/>
  <cols>
    <col min="1" max="1" width="12" style="15" bestFit="1" customWidth="1"/>
    <col min="2" max="5" width="9.140625" style="15"/>
    <col min="6" max="6" width="16.42578125" style="15" bestFit="1" customWidth="1"/>
    <col min="7" max="7" width="10.28515625" style="15" bestFit="1" customWidth="1"/>
    <col min="8" max="8" width="12.5703125" style="5" bestFit="1" customWidth="1"/>
    <col min="9" max="9" width="13.5703125" style="5" bestFit="1" customWidth="1"/>
    <col min="10" max="10" width="19" style="5" bestFit="1" customWidth="1"/>
    <col min="11" max="11" width="22.140625" style="15" bestFit="1" customWidth="1"/>
    <col min="12" max="12" width="12" style="15" bestFit="1" customWidth="1"/>
    <col min="13" max="16384" width="9.140625" style="15"/>
  </cols>
  <sheetData>
    <row r="1" spans="1:12" x14ac:dyDescent="0.25">
      <c r="A1" s="16" t="s">
        <v>77</v>
      </c>
      <c r="B1" s="16" t="s">
        <v>8</v>
      </c>
      <c r="C1" s="16" t="s">
        <v>49</v>
      </c>
      <c r="D1" s="16" t="s">
        <v>9</v>
      </c>
      <c r="E1" s="16" t="s">
        <v>6</v>
      </c>
      <c r="F1" s="16" t="s">
        <v>135</v>
      </c>
      <c r="G1" s="15" t="s">
        <v>47</v>
      </c>
      <c r="H1" s="5" t="s">
        <v>104</v>
      </c>
      <c r="I1" s="5" t="s">
        <v>98</v>
      </c>
      <c r="J1" s="16" t="s">
        <v>225</v>
      </c>
      <c r="K1" s="2" t="s">
        <v>129</v>
      </c>
      <c r="L1" s="2" t="s">
        <v>130</v>
      </c>
    </row>
    <row r="2" spans="1:12" x14ac:dyDescent="0.25">
      <c r="A2" s="16" t="s">
        <v>233</v>
      </c>
      <c r="B2" s="4">
        <v>5</v>
      </c>
      <c r="C2" s="4" t="s">
        <v>10</v>
      </c>
      <c r="D2" s="16">
        <v>1</v>
      </c>
      <c r="E2" s="17" t="s">
        <v>81</v>
      </c>
      <c r="F2" s="6" t="s">
        <v>142</v>
      </c>
      <c r="G2" s="5" t="s">
        <v>48</v>
      </c>
      <c r="H2" s="14">
        <v>79.333299999999994</v>
      </c>
      <c r="I2" s="14">
        <v>9599.33</v>
      </c>
      <c r="J2" s="16" t="s">
        <v>216</v>
      </c>
      <c r="L2" s="15" t="s">
        <v>131</v>
      </c>
    </row>
    <row r="3" spans="1:12" x14ac:dyDescent="0.25">
      <c r="A3" s="16" t="s">
        <v>252</v>
      </c>
      <c r="B3" s="4" t="s">
        <v>62</v>
      </c>
      <c r="C3" s="4">
        <v>0</v>
      </c>
      <c r="D3" s="4" t="s">
        <v>10</v>
      </c>
      <c r="E3" s="17" t="s">
        <v>82</v>
      </c>
      <c r="F3" s="6" t="s">
        <v>155</v>
      </c>
      <c r="G3" s="15" t="s">
        <v>48</v>
      </c>
      <c r="H3" s="14">
        <v>83.666666669999998</v>
      </c>
      <c r="I3" s="14">
        <v>10040</v>
      </c>
      <c r="J3" s="16" t="s">
        <v>216</v>
      </c>
      <c r="L3" s="15" t="s">
        <v>131</v>
      </c>
    </row>
    <row r="4" spans="1:12" x14ac:dyDescent="0.25">
      <c r="A4" s="16" t="s">
        <v>233</v>
      </c>
      <c r="B4" s="4" t="s">
        <v>62</v>
      </c>
      <c r="C4" s="4">
        <v>0</v>
      </c>
      <c r="D4" s="4">
        <v>1</v>
      </c>
      <c r="E4" s="17" t="s">
        <v>105</v>
      </c>
      <c r="F4" s="6" t="s">
        <v>143</v>
      </c>
      <c r="G4" s="15" t="s">
        <v>48</v>
      </c>
      <c r="H4" s="14">
        <v>79.333299999999994</v>
      </c>
      <c r="I4" s="14">
        <v>9599.33</v>
      </c>
      <c r="J4" s="16" t="s">
        <v>216</v>
      </c>
      <c r="L4" s="15" t="s">
        <v>131</v>
      </c>
    </row>
    <row r="5" spans="1:12" x14ac:dyDescent="0.25">
      <c r="A5" s="16" t="s">
        <v>252</v>
      </c>
      <c r="B5" s="4" t="s">
        <v>62</v>
      </c>
      <c r="C5" s="4">
        <v>0</v>
      </c>
      <c r="D5" s="4" t="s">
        <v>10</v>
      </c>
      <c r="E5" s="17" t="s">
        <v>106</v>
      </c>
      <c r="F5" s="6" t="s">
        <v>144</v>
      </c>
      <c r="G5" s="15" t="s">
        <v>48</v>
      </c>
      <c r="H5" s="14">
        <v>83.666666669999998</v>
      </c>
      <c r="I5" s="14">
        <v>10040</v>
      </c>
      <c r="J5" s="16" t="s">
        <v>216</v>
      </c>
      <c r="L5" s="15" t="s">
        <v>131</v>
      </c>
    </row>
    <row r="6" spans="1:12" x14ac:dyDescent="0.25">
      <c r="A6" s="16" t="s">
        <v>233</v>
      </c>
      <c r="B6" s="4" t="s">
        <v>62</v>
      </c>
      <c r="C6" s="4">
        <v>0</v>
      </c>
      <c r="D6" s="4">
        <v>1</v>
      </c>
      <c r="E6" s="17" t="s">
        <v>107</v>
      </c>
      <c r="F6" s="6" t="s">
        <v>145</v>
      </c>
      <c r="G6" s="15" t="s">
        <v>48</v>
      </c>
      <c r="H6" s="14">
        <v>79.333299999999994</v>
      </c>
      <c r="I6" s="14">
        <v>9599.33</v>
      </c>
      <c r="J6" s="16" t="s">
        <v>216</v>
      </c>
      <c r="L6" s="15" t="s">
        <v>131</v>
      </c>
    </row>
    <row r="7" spans="1:12" x14ac:dyDescent="0.25">
      <c r="A7" s="16" t="s">
        <v>252</v>
      </c>
      <c r="B7" s="4" t="s">
        <v>62</v>
      </c>
      <c r="C7" s="4">
        <v>0</v>
      </c>
      <c r="D7" s="4" t="s">
        <v>10</v>
      </c>
      <c r="E7" s="17" t="s">
        <v>108</v>
      </c>
      <c r="F7" s="6" t="s">
        <v>146</v>
      </c>
      <c r="G7" s="15" t="s">
        <v>48</v>
      </c>
      <c r="H7" s="14">
        <v>83.666666669999998</v>
      </c>
      <c r="I7" s="14">
        <v>10040</v>
      </c>
      <c r="J7" s="16" t="s">
        <v>216</v>
      </c>
      <c r="L7" s="15" t="s">
        <v>131</v>
      </c>
    </row>
    <row r="8" spans="1:12" x14ac:dyDescent="0.25">
      <c r="A8" s="16" t="s">
        <v>233</v>
      </c>
      <c r="B8" s="4" t="s">
        <v>62</v>
      </c>
      <c r="C8" s="4">
        <v>0</v>
      </c>
      <c r="D8" s="4">
        <v>1</v>
      </c>
      <c r="E8" s="17" t="s">
        <v>109</v>
      </c>
      <c r="F8" s="6" t="s">
        <v>147</v>
      </c>
      <c r="G8" s="15" t="s">
        <v>48</v>
      </c>
      <c r="H8" s="14">
        <v>79.333299999999994</v>
      </c>
      <c r="I8" s="14">
        <v>9599.33</v>
      </c>
      <c r="J8" s="16" t="s">
        <v>216</v>
      </c>
      <c r="L8" s="15" t="s">
        <v>131</v>
      </c>
    </row>
    <row r="9" spans="1:12" x14ac:dyDescent="0.25">
      <c r="A9" s="16" t="s">
        <v>252</v>
      </c>
      <c r="B9" s="4" t="s">
        <v>62</v>
      </c>
      <c r="C9" s="4">
        <v>0</v>
      </c>
      <c r="D9" s="4" t="s">
        <v>10</v>
      </c>
      <c r="E9" s="17" t="s">
        <v>110</v>
      </c>
      <c r="F9" s="6" t="s">
        <v>148</v>
      </c>
      <c r="G9" s="15" t="s">
        <v>48</v>
      </c>
      <c r="H9" s="14">
        <v>83.666666669999998</v>
      </c>
      <c r="I9" s="14">
        <v>10040</v>
      </c>
      <c r="J9" s="16" t="s">
        <v>216</v>
      </c>
      <c r="L9" s="15" t="s">
        <v>131</v>
      </c>
    </row>
    <row r="10" spans="1:12" x14ac:dyDescent="0.25">
      <c r="A10" s="16" t="s">
        <v>233</v>
      </c>
      <c r="B10" s="4" t="s">
        <v>62</v>
      </c>
      <c r="C10" s="4">
        <v>0</v>
      </c>
      <c r="D10" s="4">
        <v>1</v>
      </c>
      <c r="E10" s="17" t="s">
        <v>123</v>
      </c>
      <c r="F10" s="6" t="s">
        <v>149</v>
      </c>
      <c r="G10" s="15" t="s">
        <v>48</v>
      </c>
      <c r="H10" s="14">
        <v>79.333299999999994</v>
      </c>
      <c r="I10" s="14">
        <v>9599.33</v>
      </c>
      <c r="J10" s="16" t="s">
        <v>216</v>
      </c>
      <c r="L10" s="15" t="s">
        <v>131</v>
      </c>
    </row>
    <row r="11" spans="1:12" x14ac:dyDescent="0.25">
      <c r="A11" s="16" t="s">
        <v>252</v>
      </c>
      <c r="B11" s="4" t="s">
        <v>62</v>
      </c>
      <c r="C11" s="4">
        <v>0</v>
      </c>
      <c r="D11" s="4" t="s">
        <v>10</v>
      </c>
      <c r="E11" s="17" t="s">
        <v>124</v>
      </c>
      <c r="F11" s="6" t="s">
        <v>150</v>
      </c>
      <c r="G11" s="15" t="s">
        <v>48</v>
      </c>
      <c r="H11" s="14">
        <v>83.666666669999998</v>
      </c>
      <c r="I11" s="14">
        <v>10040</v>
      </c>
      <c r="J11" s="16" t="s">
        <v>216</v>
      </c>
      <c r="L11" s="15" t="s">
        <v>131</v>
      </c>
    </row>
    <row r="12" spans="1:12" x14ac:dyDescent="0.25">
      <c r="A12" s="16" t="s">
        <v>233</v>
      </c>
      <c r="B12" s="4" t="s">
        <v>62</v>
      </c>
      <c r="C12" s="4">
        <v>0</v>
      </c>
      <c r="D12" s="4">
        <v>1</v>
      </c>
      <c r="E12" s="17" t="s">
        <v>125</v>
      </c>
      <c r="F12" s="6" t="s">
        <v>151</v>
      </c>
      <c r="G12" s="15" t="s">
        <v>48</v>
      </c>
      <c r="H12" s="14">
        <v>79.333299999999994</v>
      </c>
      <c r="I12" s="14">
        <v>9599.33</v>
      </c>
      <c r="J12" s="16" t="s">
        <v>216</v>
      </c>
      <c r="L12" s="15" t="s">
        <v>131</v>
      </c>
    </row>
    <row r="13" spans="1:12" x14ac:dyDescent="0.25">
      <c r="A13" s="16" t="s">
        <v>252</v>
      </c>
      <c r="B13" s="4" t="s">
        <v>62</v>
      </c>
      <c r="C13" s="4">
        <v>0</v>
      </c>
      <c r="D13" s="4" t="s">
        <v>10</v>
      </c>
      <c r="E13" s="17" t="s">
        <v>126</v>
      </c>
      <c r="F13" s="6" t="s">
        <v>152</v>
      </c>
      <c r="G13" s="15" t="s">
        <v>48</v>
      </c>
      <c r="H13" s="14">
        <v>83.666666669999998</v>
      </c>
      <c r="I13" s="14">
        <v>10040</v>
      </c>
      <c r="J13" s="16" t="s">
        <v>216</v>
      </c>
      <c r="L13" s="15" t="s">
        <v>131</v>
      </c>
    </row>
    <row r="14" spans="1:12" x14ac:dyDescent="0.25">
      <c r="A14" s="16" t="s">
        <v>233</v>
      </c>
      <c r="B14" s="4" t="s">
        <v>62</v>
      </c>
      <c r="C14" s="4">
        <v>0</v>
      </c>
      <c r="D14" s="4">
        <v>1</v>
      </c>
      <c r="E14" s="17" t="s">
        <v>127</v>
      </c>
      <c r="F14" s="6" t="s">
        <v>153</v>
      </c>
      <c r="G14" s="15" t="s">
        <v>48</v>
      </c>
      <c r="H14" s="14">
        <v>79.333299999999994</v>
      </c>
      <c r="I14" s="14">
        <v>9599.33</v>
      </c>
      <c r="J14" s="16" t="s">
        <v>48</v>
      </c>
      <c r="L14" s="15" t="s">
        <v>131</v>
      </c>
    </row>
    <row r="15" spans="1:12" x14ac:dyDescent="0.25">
      <c r="A15" s="16" t="s">
        <v>252</v>
      </c>
      <c r="B15" s="4" t="s">
        <v>62</v>
      </c>
      <c r="C15" s="4">
        <v>0</v>
      </c>
      <c r="D15" s="4" t="s">
        <v>10</v>
      </c>
      <c r="E15" s="17" t="s">
        <v>128</v>
      </c>
      <c r="F15" s="6" t="s">
        <v>154</v>
      </c>
      <c r="G15" s="15" t="s">
        <v>48</v>
      </c>
      <c r="H15" s="14">
        <v>83.666666669999998</v>
      </c>
      <c r="I15" s="14">
        <v>10040</v>
      </c>
      <c r="J15" s="16" t="s">
        <v>48</v>
      </c>
      <c r="L15" s="15" t="s">
        <v>131</v>
      </c>
    </row>
    <row r="16" spans="1:12" x14ac:dyDescent="0.25">
      <c r="A16" s="16" t="s">
        <v>252</v>
      </c>
      <c r="B16" s="4" t="s">
        <v>62</v>
      </c>
      <c r="C16" s="4">
        <v>0</v>
      </c>
      <c r="D16" s="4">
        <v>1</v>
      </c>
      <c r="E16" s="17" t="s">
        <v>257</v>
      </c>
      <c r="F16" s="6" t="s">
        <v>258</v>
      </c>
      <c r="G16" s="15" t="s">
        <v>48</v>
      </c>
      <c r="H16" s="14">
        <v>45.827500000000001</v>
      </c>
      <c r="I16" s="14">
        <v>2795.48</v>
      </c>
      <c r="J16" s="16" t="s">
        <v>48</v>
      </c>
      <c r="L16" s="15" t="s">
        <v>131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zoomScaleNormal="100" workbookViewId="0">
      <selection activeCell="J24" sqref="J24"/>
    </sheetView>
  </sheetViews>
  <sheetFormatPr defaultRowHeight="15" x14ac:dyDescent="0.25"/>
  <cols>
    <col min="1" max="1" width="12" bestFit="1" customWidth="1"/>
    <col min="6" max="6" width="16.42578125" style="15" bestFit="1" customWidth="1"/>
    <col min="7" max="7" width="10.28515625" bestFit="1" customWidth="1"/>
    <col min="8" max="8" width="12.5703125" style="5" bestFit="1" customWidth="1"/>
    <col min="9" max="9" width="13.5703125" style="5" bestFit="1" customWidth="1"/>
    <col min="10" max="10" width="19" style="5" bestFit="1" customWidth="1"/>
    <col min="11" max="11" width="22.140625" bestFit="1" customWidth="1"/>
    <col min="12" max="12" width="12" bestFit="1" customWidth="1"/>
  </cols>
  <sheetData>
    <row r="1" spans="1:12" x14ac:dyDescent="0.25">
      <c r="A1" s="1" t="s">
        <v>77</v>
      </c>
      <c r="B1" s="1" t="s">
        <v>8</v>
      </c>
      <c r="C1" s="1" t="s">
        <v>49</v>
      </c>
      <c r="D1" s="1" t="s">
        <v>9</v>
      </c>
      <c r="E1" s="1" t="s">
        <v>6</v>
      </c>
      <c r="F1" s="16" t="s">
        <v>135</v>
      </c>
      <c r="G1" t="s">
        <v>47</v>
      </c>
      <c r="H1" s="5" t="s">
        <v>104</v>
      </c>
      <c r="I1" s="5" t="s">
        <v>98</v>
      </c>
      <c r="J1" s="16" t="s">
        <v>225</v>
      </c>
      <c r="K1" s="2" t="s">
        <v>129</v>
      </c>
      <c r="L1" s="2" t="s">
        <v>130</v>
      </c>
    </row>
    <row r="2" spans="1:12" x14ac:dyDescent="0.25">
      <c r="A2" s="16" t="s">
        <v>233</v>
      </c>
      <c r="B2" s="4">
        <v>5</v>
      </c>
      <c r="C2" s="4" t="s">
        <v>10</v>
      </c>
      <c r="D2" s="16">
        <v>1</v>
      </c>
      <c r="E2" s="9" t="s">
        <v>81</v>
      </c>
      <c r="F2" s="6" t="s">
        <v>142</v>
      </c>
      <c r="G2" s="5" t="s">
        <v>48</v>
      </c>
      <c r="H2" s="14">
        <v>79.333299999999994</v>
      </c>
      <c r="I2" s="14">
        <v>9599.33</v>
      </c>
      <c r="J2" s="16" t="s">
        <v>216</v>
      </c>
      <c r="L2" t="s">
        <v>131</v>
      </c>
    </row>
    <row r="3" spans="1:12" x14ac:dyDescent="0.25">
      <c r="A3" s="16" t="s">
        <v>252</v>
      </c>
      <c r="B3" s="4" t="s">
        <v>62</v>
      </c>
      <c r="C3" s="4">
        <v>0</v>
      </c>
      <c r="D3" s="4" t="s">
        <v>10</v>
      </c>
      <c r="E3" s="9" t="s">
        <v>82</v>
      </c>
      <c r="F3" s="6" t="s">
        <v>155</v>
      </c>
      <c r="G3" t="s">
        <v>48</v>
      </c>
      <c r="H3" s="14">
        <v>83.666666669999998</v>
      </c>
      <c r="I3" s="14">
        <v>10040</v>
      </c>
      <c r="J3" s="16" t="s">
        <v>216</v>
      </c>
      <c r="L3" t="s">
        <v>131</v>
      </c>
    </row>
    <row r="4" spans="1:12" x14ac:dyDescent="0.25">
      <c r="A4" s="16" t="s">
        <v>233</v>
      </c>
      <c r="B4" s="4" t="s">
        <v>62</v>
      </c>
      <c r="C4" s="4">
        <v>0</v>
      </c>
      <c r="D4" s="4">
        <v>1</v>
      </c>
      <c r="E4" s="9" t="s">
        <v>105</v>
      </c>
      <c r="F4" s="6" t="s">
        <v>143</v>
      </c>
      <c r="G4" t="s">
        <v>48</v>
      </c>
      <c r="H4" s="14">
        <v>79.333299999999994</v>
      </c>
      <c r="I4" s="14">
        <v>9599.33</v>
      </c>
      <c r="J4" s="16" t="s">
        <v>216</v>
      </c>
      <c r="L4" t="s">
        <v>131</v>
      </c>
    </row>
    <row r="5" spans="1:12" x14ac:dyDescent="0.25">
      <c r="A5" s="16" t="s">
        <v>252</v>
      </c>
      <c r="B5" s="4" t="s">
        <v>62</v>
      </c>
      <c r="C5" s="4">
        <v>0</v>
      </c>
      <c r="D5" s="4" t="s">
        <v>10</v>
      </c>
      <c r="E5" s="9" t="s">
        <v>106</v>
      </c>
      <c r="F5" s="6" t="s">
        <v>144</v>
      </c>
      <c r="G5" t="s">
        <v>48</v>
      </c>
      <c r="H5" s="14">
        <v>83.666666669999998</v>
      </c>
      <c r="I5" s="14">
        <v>10040</v>
      </c>
      <c r="J5" s="16" t="s">
        <v>216</v>
      </c>
      <c r="L5" t="s">
        <v>131</v>
      </c>
    </row>
    <row r="6" spans="1:12" x14ac:dyDescent="0.25">
      <c r="A6" s="16" t="s">
        <v>233</v>
      </c>
      <c r="B6" s="4" t="s">
        <v>62</v>
      </c>
      <c r="C6" s="4">
        <v>0</v>
      </c>
      <c r="D6" s="4">
        <v>1</v>
      </c>
      <c r="E6" s="9" t="s">
        <v>107</v>
      </c>
      <c r="F6" s="6" t="s">
        <v>145</v>
      </c>
      <c r="G6" t="s">
        <v>48</v>
      </c>
      <c r="H6" s="14">
        <v>79.333299999999994</v>
      </c>
      <c r="I6" s="14">
        <v>9599.33</v>
      </c>
      <c r="J6" s="16" t="s">
        <v>216</v>
      </c>
      <c r="L6" t="s">
        <v>131</v>
      </c>
    </row>
    <row r="7" spans="1:12" x14ac:dyDescent="0.25">
      <c r="A7" s="16" t="s">
        <v>252</v>
      </c>
      <c r="B7" s="4" t="s">
        <v>62</v>
      </c>
      <c r="C7" s="4">
        <v>0</v>
      </c>
      <c r="D7" s="4" t="s">
        <v>10</v>
      </c>
      <c r="E7" s="9" t="s">
        <v>108</v>
      </c>
      <c r="F7" s="6" t="s">
        <v>146</v>
      </c>
      <c r="G7" t="s">
        <v>48</v>
      </c>
      <c r="H7" s="14">
        <v>83.666666669999998</v>
      </c>
      <c r="I7" s="14">
        <v>10040</v>
      </c>
      <c r="J7" s="16" t="s">
        <v>216</v>
      </c>
      <c r="L7" t="s">
        <v>131</v>
      </c>
    </row>
    <row r="8" spans="1:12" x14ac:dyDescent="0.25">
      <c r="A8" s="16" t="s">
        <v>233</v>
      </c>
      <c r="B8" s="4" t="s">
        <v>62</v>
      </c>
      <c r="C8" s="4">
        <v>0</v>
      </c>
      <c r="D8" s="4">
        <v>1</v>
      </c>
      <c r="E8" s="9" t="s">
        <v>109</v>
      </c>
      <c r="F8" s="6" t="s">
        <v>147</v>
      </c>
      <c r="G8" t="s">
        <v>48</v>
      </c>
      <c r="H8" s="14">
        <v>79.333299999999994</v>
      </c>
      <c r="I8" s="14">
        <v>9599.33</v>
      </c>
      <c r="J8" s="16" t="s">
        <v>216</v>
      </c>
      <c r="L8" t="s">
        <v>131</v>
      </c>
    </row>
    <row r="9" spans="1:12" x14ac:dyDescent="0.25">
      <c r="A9" s="16" t="s">
        <v>252</v>
      </c>
      <c r="B9" s="4" t="s">
        <v>62</v>
      </c>
      <c r="C9" s="4">
        <v>0</v>
      </c>
      <c r="D9" s="4" t="s">
        <v>10</v>
      </c>
      <c r="E9" s="9" t="s">
        <v>110</v>
      </c>
      <c r="F9" s="6" t="s">
        <v>148</v>
      </c>
      <c r="G9" t="s">
        <v>48</v>
      </c>
      <c r="H9" s="14">
        <v>83.666666669999998</v>
      </c>
      <c r="I9" s="14">
        <v>10040</v>
      </c>
      <c r="J9" s="16" t="s">
        <v>216</v>
      </c>
      <c r="L9" t="s">
        <v>131</v>
      </c>
    </row>
    <row r="10" spans="1:12" x14ac:dyDescent="0.25">
      <c r="A10" s="16" t="s">
        <v>233</v>
      </c>
      <c r="B10" s="4" t="s">
        <v>62</v>
      </c>
      <c r="C10" s="4">
        <v>0</v>
      </c>
      <c r="D10" s="4" t="s">
        <v>42</v>
      </c>
      <c r="E10" s="17" t="s">
        <v>123</v>
      </c>
      <c r="F10" s="6" t="s">
        <v>149</v>
      </c>
      <c r="G10" t="s">
        <v>48</v>
      </c>
      <c r="H10" s="14">
        <v>79.333299999999994</v>
      </c>
      <c r="I10" s="14">
        <v>9599.33</v>
      </c>
      <c r="J10" s="16" t="s">
        <v>216</v>
      </c>
      <c r="L10" t="s">
        <v>131</v>
      </c>
    </row>
    <row r="11" spans="1:12" x14ac:dyDescent="0.25">
      <c r="A11" s="16" t="s">
        <v>252</v>
      </c>
      <c r="B11" s="4" t="s">
        <v>62</v>
      </c>
      <c r="C11" s="4">
        <v>0</v>
      </c>
      <c r="D11" s="4" t="s">
        <v>10</v>
      </c>
      <c r="E11" s="17" t="s">
        <v>124</v>
      </c>
      <c r="F11" s="6" t="s">
        <v>150</v>
      </c>
      <c r="G11" t="s">
        <v>48</v>
      </c>
      <c r="H11" s="14">
        <v>83.666666669999998</v>
      </c>
      <c r="I11" s="14">
        <v>10040</v>
      </c>
      <c r="J11" s="16" t="s">
        <v>216</v>
      </c>
      <c r="L11" t="s">
        <v>131</v>
      </c>
    </row>
    <row r="12" spans="1:12" x14ac:dyDescent="0.25">
      <c r="A12" s="16" t="s">
        <v>233</v>
      </c>
      <c r="B12" s="4" t="s">
        <v>62</v>
      </c>
      <c r="C12" s="4">
        <v>0</v>
      </c>
      <c r="D12" s="4" t="s">
        <v>42</v>
      </c>
      <c r="E12" s="9" t="s">
        <v>125</v>
      </c>
      <c r="F12" s="6" t="s">
        <v>151</v>
      </c>
      <c r="G12" t="s">
        <v>48</v>
      </c>
      <c r="H12" s="14">
        <v>79.333299999999994</v>
      </c>
      <c r="I12" s="14">
        <v>9599.33</v>
      </c>
      <c r="J12" s="16" t="s">
        <v>216</v>
      </c>
      <c r="L12" t="s">
        <v>131</v>
      </c>
    </row>
    <row r="13" spans="1:12" x14ac:dyDescent="0.25">
      <c r="A13" s="16" t="s">
        <v>252</v>
      </c>
      <c r="B13" s="4" t="s">
        <v>62</v>
      </c>
      <c r="C13" s="4">
        <v>0</v>
      </c>
      <c r="D13" s="4" t="s">
        <v>10</v>
      </c>
      <c r="E13" s="9" t="s">
        <v>126</v>
      </c>
      <c r="F13" s="6" t="s">
        <v>152</v>
      </c>
      <c r="G13" t="s">
        <v>48</v>
      </c>
      <c r="H13" s="14">
        <v>83.666666669999998</v>
      </c>
      <c r="I13" s="14">
        <v>10040</v>
      </c>
      <c r="J13" s="16" t="s">
        <v>216</v>
      </c>
      <c r="L13" t="s">
        <v>131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J24" sqref="J24"/>
    </sheetView>
  </sheetViews>
  <sheetFormatPr defaultRowHeight="15" x14ac:dyDescent="0.25"/>
  <cols>
    <col min="1" max="1" width="15" bestFit="1" customWidth="1"/>
    <col min="2" max="2" width="16.140625" bestFit="1" customWidth="1"/>
    <col min="3" max="3" width="20" bestFit="1" customWidth="1"/>
    <col min="4" max="4" width="17.5703125" bestFit="1" customWidth="1"/>
    <col min="5" max="5" width="8.42578125" customWidth="1"/>
    <col min="6" max="6" width="10.28515625" bestFit="1" customWidth="1"/>
  </cols>
  <sheetData>
    <row r="1" spans="1:6" x14ac:dyDescent="0.25">
      <c r="A1" s="16" t="s">
        <v>66</v>
      </c>
      <c r="B1" s="16" t="s">
        <v>67</v>
      </c>
      <c r="C1" s="16" t="s">
        <v>68</v>
      </c>
      <c r="D1" s="16" t="s">
        <v>69</v>
      </c>
      <c r="E1" s="16" t="s">
        <v>6</v>
      </c>
      <c r="F1" s="15" t="s">
        <v>47</v>
      </c>
    </row>
    <row r="2" spans="1:6" x14ac:dyDescent="0.25">
      <c r="A2" s="16" t="s">
        <v>403</v>
      </c>
      <c r="B2" s="16" t="s">
        <v>71</v>
      </c>
      <c r="C2" s="5" t="str">
        <f ca="1">TEXT(NOW(),"YYYY-MM-DD")</f>
        <v>2026-08-21</v>
      </c>
      <c r="D2" s="5" t="str">
        <f ca="1">TEXT(NOW(),"YYYY-MM-DD")</f>
        <v>2026-08-21</v>
      </c>
      <c r="E2" s="6" t="s">
        <v>44</v>
      </c>
      <c r="F2" s="16" t="s">
        <v>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J24" sqref="J24"/>
    </sheetView>
  </sheetViews>
  <sheetFormatPr defaultRowHeight="15" x14ac:dyDescent="0.25"/>
  <cols>
    <col min="1" max="1" width="14.140625" style="15" bestFit="1" customWidth="1"/>
    <col min="2" max="2" width="16.85546875" style="15" bestFit="1" customWidth="1"/>
    <col min="3" max="3" width="13.140625" style="15" bestFit="1" customWidth="1"/>
    <col min="4" max="4" width="16.140625" style="15" bestFit="1" customWidth="1"/>
    <col min="6" max="6" width="39.5703125" bestFit="1" customWidth="1"/>
    <col min="7" max="7" width="10.28515625" bestFit="1" customWidth="1"/>
    <col min="8" max="8" width="19" bestFit="1" customWidth="1"/>
    <col min="9" max="9" width="19.28515625" bestFit="1" customWidth="1"/>
  </cols>
  <sheetData>
    <row r="1" spans="1:9" x14ac:dyDescent="0.25">
      <c r="A1" s="8" t="s">
        <v>98</v>
      </c>
      <c r="B1" s="8" t="s">
        <v>99</v>
      </c>
      <c r="C1" s="8" t="s">
        <v>100</v>
      </c>
      <c r="D1" s="8" t="s">
        <v>101</v>
      </c>
      <c r="E1" s="8" t="s">
        <v>6</v>
      </c>
      <c r="F1" s="8" t="s">
        <v>135</v>
      </c>
      <c r="G1" s="8" t="s">
        <v>47</v>
      </c>
      <c r="H1" s="16" t="s">
        <v>225</v>
      </c>
      <c r="I1" s="15" t="s">
        <v>129</v>
      </c>
    </row>
    <row r="2" spans="1:9" x14ac:dyDescent="0.25">
      <c r="A2" s="14" t="s">
        <v>381</v>
      </c>
      <c r="B2" s="14" t="s">
        <v>382</v>
      </c>
      <c r="C2" s="14" t="s">
        <v>383</v>
      </c>
      <c r="D2" s="6" t="s">
        <v>384</v>
      </c>
      <c r="E2" s="8" t="s">
        <v>81</v>
      </c>
      <c r="F2" s="6" t="s">
        <v>404</v>
      </c>
      <c r="G2" s="8" t="s">
        <v>48</v>
      </c>
      <c r="H2" s="16" t="s">
        <v>216</v>
      </c>
      <c r="I2" s="1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J24" sqref="J24"/>
    </sheetView>
  </sheetViews>
  <sheetFormatPr defaultRowHeight="15" x14ac:dyDescent="0.25"/>
  <cols>
    <col min="2" max="2" width="34" bestFit="1" customWidth="1"/>
    <col min="3" max="3" width="10.28515625" bestFit="1" customWidth="1"/>
    <col min="4" max="4" width="14.140625" bestFit="1" customWidth="1"/>
    <col min="5" max="5" width="16.85546875" bestFit="1" customWidth="1"/>
    <col min="6" max="6" width="14.140625" bestFit="1" customWidth="1"/>
    <col min="7" max="7" width="17.28515625" bestFit="1" customWidth="1"/>
    <col min="8" max="8" width="19" bestFit="1" customWidth="1"/>
    <col min="9" max="9" width="19.28515625" bestFit="1" customWidth="1"/>
  </cols>
  <sheetData>
    <row r="1" spans="1:9" x14ac:dyDescent="0.25">
      <c r="A1" s="8" t="s">
        <v>6</v>
      </c>
      <c r="B1" s="8" t="s">
        <v>135</v>
      </c>
      <c r="C1" s="8" t="s">
        <v>47</v>
      </c>
      <c r="D1" s="8" t="s">
        <v>98</v>
      </c>
      <c r="E1" s="8" t="s">
        <v>99</v>
      </c>
      <c r="F1" s="8" t="s">
        <v>100</v>
      </c>
      <c r="G1" s="8" t="s">
        <v>101</v>
      </c>
      <c r="H1" s="16" t="s">
        <v>225</v>
      </c>
      <c r="I1" s="15" t="s">
        <v>129</v>
      </c>
    </row>
    <row r="2" spans="1:9" x14ac:dyDescent="0.25">
      <c r="A2" s="8" t="s">
        <v>81</v>
      </c>
      <c r="B2" s="6" t="s">
        <v>397</v>
      </c>
      <c r="C2" s="8" t="s">
        <v>48</v>
      </c>
      <c r="D2" s="6" t="s">
        <v>392</v>
      </c>
      <c r="E2" s="6" t="s">
        <v>393</v>
      </c>
      <c r="F2" s="14" t="s">
        <v>394</v>
      </c>
      <c r="G2" s="6" t="s">
        <v>395</v>
      </c>
      <c r="H2" s="16" t="s">
        <v>216</v>
      </c>
      <c r="I2" s="1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J24" sqref="J24"/>
    </sheetView>
  </sheetViews>
  <sheetFormatPr defaultRowHeight="15" x14ac:dyDescent="0.25"/>
  <cols>
    <col min="2" max="2" width="32.28515625" bestFit="1" customWidth="1"/>
    <col min="3" max="3" width="10.28515625" bestFit="1" customWidth="1"/>
    <col min="4" max="4" width="13.5703125" bestFit="1" customWidth="1"/>
    <col min="5" max="5" width="16.85546875" bestFit="1" customWidth="1"/>
    <col min="6" max="6" width="14.140625" bestFit="1" customWidth="1"/>
    <col min="7" max="7" width="17.28515625" bestFit="1" customWidth="1"/>
    <col min="8" max="8" width="19" bestFit="1" customWidth="1"/>
    <col min="9" max="9" width="19.28515625" bestFit="1" customWidth="1"/>
  </cols>
  <sheetData>
    <row r="1" spans="1:9" x14ac:dyDescent="0.25">
      <c r="A1" s="8" t="s">
        <v>6</v>
      </c>
      <c r="B1" s="8" t="s">
        <v>135</v>
      </c>
      <c r="C1" s="8" t="s">
        <v>47</v>
      </c>
      <c r="D1" s="8" t="s">
        <v>98</v>
      </c>
      <c r="E1" s="8" t="s">
        <v>99</v>
      </c>
      <c r="F1" s="8" t="s">
        <v>100</v>
      </c>
      <c r="G1" s="8" t="s">
        <v>101</v>
      </c>
      <c r="H1" s="16" t="s">
        <v>225</v>
      </c>
      <c r="I1" s="15" t="s">
        <v>129</v>
      </c>
    </row>
    <row r="2" spans="1:9" x14ac:dyDescent="0.25">
      <c r="A2" s="8" t="s">
        <v>81</v>
      </c>
      <c r="B2" s="6" t="s">
        <v>396</v>
      </c>
      <c r="C2" s="8" t="s">
        <v>48</v>
      </c>
      <c r="D2" s="6" t="s">
        <v>398</v>
      </c>
      <c r="E2" s="6" t="s">
        <v>399</v>
      </c>
      <c r="F2" s="14" t="s">
        <v>400</v>
      </c>
      <c r="G2" s="6" t="s">
        <v>401</v>
      </c>
      <c r="H2" s="16" t="s">
        <v>216</v>
      </c>
      <c r="I2" s="1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J24" sqref="J24"/>
    </sheetView>
  </sheetViews>
  <sheetFormatPr defaultRowHeight="15" x14ac:dyDescent="0.25"/>
  <cols>
    <col min="1" max="1" width="9.140625" style="15"/>
    <col min="2" max="2" width="23.5703125" style="15" bestFit="1" customWidth="1"/>
    <col min="3" max="3" width="10.28515625" style="15" bestFit="1" customWidth="1"/>
    <col min="4" max="4" width="13.5703125" style="15" bestFit="1" customWidth="1"/>
    <col min="5" max="5" width="9.28515625" style="15" customWidth="1"/>
    <col min="6" max="6" width="9.140625" style="15"/>
    <col min="7" max="7" width="11.85546875" style="15" bestFit="1" customWidth="1"/>
    <col min="8" max="8" width="19" style="15" bestFit="1" customWidth="1"/>
    <col min="9" max="9" width="19.28515625" style="15" bestFit="1" customWidth="1"/>
    <col min="10" max="16384" width="9.140625" style="15"/>
  </cols>
  <sheetData>
    <row r="1" spans="1:9" x14ac:dyDescent="0.25">
      <c r="A1" s="8" t="s">
        <v>6</v>
      </c>
      <c r="B1" s="8" t="s">
        <v>135</v>
      </c>
      <c r="C1" s="8" t="s">
        <v>47</v>
      </c>
      <c r="D1" s="8" t="s">
        <v>98</v>
      </c>
      <c r="E1" s="8" t="s">
        <v>99</v>
      </c>
      <c r="F1" s="8" t="s">
        <v>100</v>
      </c>
      <c r="G1" s="8" t="s">
        <v>101</v>
      </c>
      <c r="H1" s="16" t="s">
        <v>225</v>
      </c>
      <c r="I1" s="15" t="s">
        <v>129</v>
      </c>
    </row>
    <row r="2" spans="1:9" x14ac:dyDescent="0.25">
      <c r="A2" s="8" t="s">
        <v>44</v>
      </c>
      <c r="B2" s="6" t="s">
        <v>156</v>
      </c>
      <c r="C2" s="8" t="s">
        <v>48</v>
      </c>
      <c r="D2" s="8">
        <v>19639.330000000002</v>
      </c>
      <c r="E2" s="14">
        <v>-2163.9299999999998</v>
      </c>
      <c r="F2" s="8">
        <v>2561.65</v>
      </c>
      <c r="G2" s="6" t="s">
        <v>374</v>
      </c>
      <c r="H2" s="16" t="s">
        <v>216</v>
      </c>
    </row>
    <row r="3" spans="1:9" x14ac:dyDescent="0.25">
      <c r="A3" s="8" t="s">
        <v>78</v>
      </c>
      <c r="B3" s="6" t="s">
        <v>157</v>
      </c>
      <c r="C3" s="8" t="s">
        <v>48</v>
      </c>
      <c r="D3" s="8">
        <v>19639.330000000002</v>
      </c>
      <c r="E3" s="15">
        <v>-2163.9299999999998</v>
      </c>
      <c r="F3" s="8">
        <v>2561.65</v>
      </c>
      <c r="G3" s="6" t="s">
        <v>374</v>
      </c>
      <c r="H3" s="15" t="s">
        <v>216</v>
      </c>
    </row>
    <row r="4" spans="1:9" x14ac:dyDescent="0.25">
      <c r="A4" s="8" t="s">
        <v>79</v>
      </c>
      <c r="B4" s="6" t="s">
        <v>158</v>
      </c>
      <c r="C4" s="8" t="s">
        <v>48</v>
      </c>
      <c r="D4" s="8">
        <v>19639.330000000002</v>
      </c>
      <c r="E4" s="14">
        <v>-2163.9299999999998</v>
      </c>
      <c r="F4" s="8">
        <v>2561.65</v>
      </c>
      <c r="G4" s="6" t="s">
        <v>374</v>
      </c>
      <c r="H4" s="15" t="s">
        <v>216</v>
      </c>
    </row>
    <row r="5" spans="1:9" x14ac:dyDescent="0.25">
      <c r="A5" s="8" t="s">
        <v>86</v>
      </c>
      <c r="B5" s="6" t="s">
        <v>159</v>
      </c>
      <c r="C5" s="8" t="s">
        <v>48</v>
      </c>
      <c r="D5" s="8">
        <v>19639.330000000002</v>
      </c>
      <c r="E5" s="14">
        <v>-2163.9299999999998</v>
      </c>
      <c r="F5" s="8">
        <v>2561.65</v>
      </c>
      <c r="G5" s="6" t="s">
        <v>374</v>
      </c>
      <c r="H5" s="15" t="s">
        <v>216</v>
      </c>
    </row>
    <row r="6" spans="1:9" x14ac:dyDescent="0.25">
      <c r="A6" s="8" t="s">
        <v>120</v>
      </c>
      <c r="B6" s="6" t="s">
        <v>160</v>
      </c>
      <c r="C6" s="8" t="s">
        <v>48</v>
      </c>
      <c r="D6" s="8">
        <v>19639.330000000002</v>
      </c>
      <c r="E6" s="14">
        <v>-2163.9299999999998</v>
      </c>
      <c r="F6" s="8">
        <v>2561.65</v>
      </c>
      <c r="G6" s="6" t="s">
        <v>374</v>
      </c>
      <c r="H6" s="15" t="s">
        <v>216</v>
      </c>
    </row>
    <row r="7" spans="1:9" x14ac:dyDescent="0.25">
      <c r="A7" s="8" t="s">
        <v>121</v>
      </c>
      <c r="B7" s="6" t="s">
        <v>161</v>
      </c>
      <c r="C7" s="8" t="s">
        <v>48</v>
      </c>
      <c r="D7" s="8">
        <v>19639.330000000002</v>
      </c>
      <c r="E7" s="14">
        <v>-2163.9299999999998</v>
      </c>
      <c r="F7" s="8">
        <v>2561.65</v>
      </c>
      <c r="G7" s="6" t="s">
        <v>374</v>
      </c>
      <c r="H7" s="15" t="s">
        <v>216</v>
      </c>
    </row>
    <row r="8" spans="1:9" x14ac:dyDescent="0.25">
      <c r="A8" s="8" t="s">
        <v>122</v>
      </c>
      <c r="B8" s="6" t="s">
        <v>162</v>
      </c>
      <c r="C8" s="8" t="s">
        <v>48</v>
      </c>
      <c r="D8" s="8">
        <v>19639.330000000002</v>
      </c>
      <c r="E8" s="14">
        <v>-2163.9299999999998</v>
      </c>
      <c r="F8" s="8">
        <v>2561.65</v>
      </c>
      <c r="G8" s="6" t="s">
        <v>374</v>
      </c>
      <c r="H8" s="15" t="s">
        <v>48</v>
      </c>
    </row>
    <row r="9" spans="1:9" x14ac:dyDescent="0.25">
      <c r="A9" s="8" t="s">
        <v>255</v>
      </c>
      <c r="B9" s="6" t="s">
        <v>259</v>
      </c>
      <c r="C9" s="8" t="s">
        <v>48</v>
      </c>
      <c r="D9" s="8">
        <v>19639.330000000002</v>
      </c>
      <c r="E9" s="14">
        <v>-2163.9299999999998</v>
      </c>
      <c r="F9" s="8">
        <v>2561.65</v>
      </c>
      <c r="G9" s="6" t="s">
        <v>374</v>
      </c>
      <c r="H9" s="15" t="s">
        <v>48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J24" sqref="J24"/>
    </sheetView>
  </sheetViews>
  <sheetFormatPr defaultRowHeight="15" x14ac:dyDescent="0.25"/>
  <cols>
    <col min="2" max="2" width="23.5703125" style="15" bestFit="1" customWidth="1"/>
    <col min="3" max="3" width="10.28515625" bestFit="1" customWidth="1"/>
    <col min="4" max="4" width="13.5703125" bestFit="1" customWidth="1"/>
    <col min="5" max="5" width="11.7109375" bestFit="1" customWidth="1"/>
    <col min="7" max="7" width="11.85546875" bestFit="1" customWidth="1"/>
    <col min="8" max="8" width="19" bestFit="1" customWidth="1"/>
    <col min="9" max="9" width="19.28515625" bestFit="1" customWidth="1"/>
  </cols>
  <sheetData>
    <row r="1" spans="1:9" x14ac:dyDescent="0.25">
      <c r="A1" s="8" t="s">
        <v>6</v>
      </c>
      <c r="B1" s="8" t="s">
        <v>135</v>
      </c>
      <c r="C1" s="8" t="s">
        <v>47</v>
      </c>
      <c r="D1" s="8" t="s">
        <v>98</v>
      </c>
      <c r="E1" s="8" t="s">
        <v>99</v>
      </c>
      <c r="F1" s="8" t="s">
        <v>100</v>
      </c>
      <c r="G1" s="8" t="s">
        <v>101</v>
      </c>
      <c r="H1" s="16" t="s">
        <v>225</v>
      </c>
      <c r="I1" s="15" t="s">
        <v>129</v>
      </c>
    </row>
    <row r="2" spans="1:9" x14ac:dyDescent="0.25">
      <c r="A2" s="8" t="s">
        <v>44</v>
      </c>
      <c r="B2" s="6" t="s">
        <v>156</v>
      </c>
      <c r="C2" s="8" t="s">
        <v>48</v>
      </c>
      <c r="D2" s="8">
        <v>19639.330000000002</v>
      </c>
      <c r="E2" s="14">
        <v>-2163.9299999999998</v>
      </c>
      <c r="F2" s="8">
        <v>2561.65</v>
      </c>
      <c r="G2" s="6" t="s">
        <v>374</v>
      </c>
      <c r="H2" s="16" t="s">
        <v>216</v>
      </c>
    </row>
    <row r="3" spans="1:9" x14ac:dyDescent="0.25">
      <c r="A3" s="8" t="s">
        <v>78</v>
      </c>
      <c r="B3" s="6" t="s">
        <v>157</v>
      </c>
      <c r="C3" s="8" t="s">
        <v>48</v>
      </c>
      <c r="D3" s="8">
        <v>19639.330000000002</v>
      </c>
      <c r="E3" s="15">
        <v>-2163.9299999999998</v>
      </c>
      <c r="F3" s="8">
        <v>2561.65</v>
      </c>
      <c r="G3" s="6" t="s">
        <v>374</v>
      </c>
      <c r="H3" t="s">
        <v>216</v>
      </c>
    </row>
    <row r="4" spans="1:9" x14ac:dyDescent="0.25">
      <c r="A4" s="8" t="s">
        <v>79</v>
      </c>
      <c r="B4" s="6" t="s">
        <v>158</v>
      </c>
      <c r="C4" s="8" t="s">
        <v>48</v>
      </c>
      <c r="D4" s="8">
        <v>19639.330000000002</v>
      </c>
      <c r="E4" s="14">
        <v>-2163.9299999999998</v>
      </c>
      <c r="F4" s="8">
        <v>2561.65</v>
      </c>
      <c r="G4" s="6" t="s">
        <v>374</v>
      </c>
      <c r="H4" t="s">
        <v>216</v>
      </c>
    </row>
    <row r="5" spans="1:9" x14ac:dyDescent="0.25">
      <c r="A5" s="8" t="s">
        <v>86</v>
      </c>
      <c r="B5" s="6" t="s">
        <v>159</v>
      </c>
      <c r="C5" s="8" t="s">
        <v>48</v>
      </c>
      <c r="D5" s="8">
        <v>19639.330000000002</v>
      </c>
      <c r="E5" s="14">
        <v>-2163.9299999999998</v>
      </c>
      <c r="F5" s="8">
        <v>2561.65</v>
      </c>
      <c r="G5" s="6" t="s">
        <v>374</v>
      </c>
      <c r="H5" t="s">
        <v>216</v>
      </c>
    </row>
    <row r="6" spans="1:9" s="15" customFormat="1" x14ac:dyDescent="0.25">
      <c r="A6" s="8" t="s">
        <v>120</v>
      </c>
      <c r="B6" s="6" t="s">
        <v>160</v>
      </c>
      <c r="C6" s="8" t="s">
        <v>48</v>
      </c>
      <c r="D6" s="8">
        <v>19639.330000000002</v>
      </c>
      <c r="E6" s="14">
        <v>-2163.9299999999998</v>
      </c>
      <c r="F6" s="8">
        <v>2561.65</v>
      </c>
      <c r="G6" s="6" t="s">
        <v>374</v>
      </c>
      <c r="H6" t="s">
        <v>216</v>
      </c>
    </row>
    <row r="7" spans="1:9" s="15" customFormat="1" x14ac:dyDescent="0.25">
      <c r="A7" s="8" t="s">
        <v>121</v>
      </c>
      <c r="B7" s="6" t="s">
        <v>161</v>
      </c>
      <c r="C7" s="8" t="s">
        <v>48</v>
      </c>
      <c r="D7" s="8">
        <v>19639.330000000002</v>
      </c>
      <c r="E7" s="14">
        <v>-2163.9299999999998</v>
      </c>
      <c r="F7" s="8">
        <v>2561.65</v>
      </c>
      <c r="G7" s="6" t="s">
        <v>374</v>
      </c>
      <c r="H7" t="s">
        <v>216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J24" sqref="J24"/>
    </sheetView>
  </sheetViews>
  <sheetFormatPr defaultRowHeight="15" x14ac:dyDescent="0.25"/>
  <cols>
    <col min="1" max="1" width="9.140625" style="15"/>
    <col min="2" max="2" width="25" style="15" bestFit="1" customWidth="1"/>
    <col min="3" max="3" width="10.28515625" style="15" bestFit="1" customWidth="1"/>
    <col min="4" max="4" width="13.5703125" style="15" bestFit="1" customWidth="1"/>
    <col min="5" max="5" width="8.7109375" style="15" bestFit="1" customWidth="1"/>
    <col min="6" max="6" width="7.5703125" style="15" bestFit="1" customWidth="1"/>
    <col min="7" max="7" width="11.85546875" style="15" bestFit="1" customWidth="1"/>
    <col min="8" max="8" width="19" style="15" bestFit="1" customWidth="1"/>
    <col min="9" max="9" width="19.28515625" style="15" bestFit="1" customWidth="1"/>
    <col min="10" max="16384" width="9.140625" style="15"/>
  </cols>
  <sheetData>
    <row r="1" spans="1:9" x14ac:dyDescent="0.25">
      <c r="A1" s="8" t="s">
        <v>6</v>
      </c>
      <c r="B1" s="8" t="s">
        <v>113</v>
      </c>
      <c r="C1" s="8" t="s">
        <v>47</v>
      </c>
      <c r="D1" s="8" t="s">
        <v>98</v>
      </c>
      <c r="E1" s="8" t="s">
        <v>99</v>
      </c>
      <c r="F1" s="8" t="s">
        <v>100</v>
      </c>
      <c r="G1" s="8" t="s">
        <v>101</v>
      </c>
      <c r="H1" s="16" t="s">
        <v>225</v>
      </c>
      <c r="I1" s="15" t="s">
        <v>129</v>
      </c>
    </row>
    <row r="2" spans="1:9" x14ac:dyDescent="0.25">
      <c r="A2" s="8" t="s">
        <v>81</v>
      </c>
      <c r="B2" s="8" t="s">
        <v>220</v>
      </c>
      <c r="C2" s="8" t="s">
        <v>48</v>
      </c>
      <c r="D2" s="13">
        <v>10120.969999999999</v>
      </c>
      <c r="E2" s="13">
        <v>-1012.1</v>
      </c>
      <c r="F2" s="13">
        <v>1726.32</v>
      </c>
      <c r="G2" s="19">
        <v>10835</v>
      </c>
      <c r="H2" s="16" t="s">
        <v>216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J24" sqref="J24"/>
    </sheetView>
  </sheetViews>
  <sheetFormatPr defaultRowHeight="15" x14ac:dyDescent="0.25"/>
  <cols>
    <col min="1" max="1" width="15.28515625" style="15" customWidth="1"/>
    <col min="2" max="2" width="22.85546875" style="15" bestFit="1" customWidth="1"/>
    <col min="3" max="3" width="21.7109375" style="15" customWidth="1"/>
    <col min="4" max="4" width="17.28515625" style="15" bestFit="1" customWidth="1"/>
    <col min="5" max="16384" width="9.140625" style="15"/>
  </cols>
  <sheetData>
    <row r="1" spans="1:4" x14ac:dyDescent="0.25">
      <c r="A1" s="16" t="s">
        <v>6</v>
      </c>
      <c r="B1" s="16" t="s">
        <v>135</v>
      </c>
      <c r="C1" s="15" t="s">
        <v>129</v>
      </c>
      <c r="D1" s="15" t="s">
        <v>130</v>
      </c>
    </row>
    <row r="2" spans="1:4" x14ac:dyDescent="0.25">
      <c r="A2" s="17" t="s">
        <v>82</v>
      </c>
      <c r="B2" s="6" t="s">
        <v>163</v>
      </c>
      <c r="C2" s="16" t="s">
        <v>132</v>
      </c>
      <c r="D2" s="15" t="s">
        <v>131</v>
      </c>
    </row>
    <row r="3" spans="1:4" x14ac:dyDescent="0.25">
      <c r="A3" s="17" t="s">
        <v>106</v>
      </c>
      <c r="B3" s="6" t="s">
        <v>164</v>
      </c>
      <c r="C3" s="16" t="s">
        <v>132</v>
      </c>
      <c r="D3" s="15" t="s">
        <v>131</v>
      </c>
    </row>
    <row r="4" spans="1:4" x14ac:dyDescent="0.25">
      <c r="A4" s="17" t="s">
        <v>108</v>
      </c>
      <c r="B4" s="6" t="s">
        <v>165</v>
      </c>
      <c r="C4" s="16" t="s">
        <v>132</v>
      </c>
      <c r="D4" s="15" t="s">
        <v>131</v>
      </c>
    </row>
    <row r="5" spans="1:4" x14ac:dyDescent="0.25">
      <c r="A5" s="17" t="s">
        <v>110</v>
      </c>
      <c r="B5" s="6" t="s">
        <v>166</v>
      </c>
      <c r="C5" s="16" t="s">
        <v>132</v>
      </c>
      <c r="D5" s="15" t="s">
        <v>131</v>
      </c>
    </row>
    <row r="6" spans="1:4" x14ac:dyDescent="0.25">
      <c r="A6" s="17" t="s">
        <v>124</v>
      </c>
      <c r="B6" s="6" t="s">
        <v>167</v>
      </c>
      <c r="C6" s="16" t="s">
        <v>132</v>
      </c>
      <c r="D6" s="15" t="s">
        <v>131</v>
      </c>
    </row>
    <row r="7" spans="1:4" x14ac:dyDescent="0.25">
      <c r="A7" s="17" t="s">
        <v>126</v>
      </c>
      <c r="B7" s="6" t="s">
        <v>168</v>
      </c>
      <c r="C7" s="16" t="s">
        <v>132</v>
      </c>
      <c r="D7" s="15" t="s">
        <v>131</v>
      </c>
    </row>
    <row r="8" spans="1:4" x14ac:dyDescent="0.25">
      <c r="A8" s="17" t="s">
        <v>128</v>
      </c>
      <c r="B8" s="6" t="s">
        <v>169</v>
      </c>
      <c r="C8" s="16" t="s">
        <v>132</v>
      </c>
      <c r="D8" s="15" t="s">
        <v>131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J24" sqref="J24"/>
    </sheetView>
  </sheetViews>
  <sheetFormatPr defaultRowHeight="15" x14ac:dyDescent="0.25"/>
  <cols>
    <col min="1" max="1" width="10.7109375" bestFit="1" customWidth="1"/>
    <col min="2" max="2" width="21.5703125" bestFit="1" customWidth="1"/>
    <col min="3" max="3" width="27.140625" bestFit="1" customWidth="1"/>
    <col min="4" max="4" width="27.140625" style="15" customWidth="1"/>
  </cols>
  <sheetData>
    <row r="1" spans="1:6" x14ac:dyDescent="0.25">
      <c r="A1" t="s">
        <v>21</v>
      </c>
      <c r="B1" t="s">
        <v>22</v>
      </c>
      <c r="C1" t="s">
        <v>3</v>
      </c>
      <c r="D1" s="15" t="s">
        <v>188</v>
      </c>
      <c r="E1" t="s">
        <v>6</v>
      </c>
      <c r="F1" t="s">
        <v>47</v>
      </c>
    </row>
    <row r="2" spans="1:6" x14ac:dyDescent="0.25">
      <c r="A2" s="5" t="str">
        <f ca="1">TEXT(NOW(),"YYYY-MM-DD")</f>
        <v>2026-08-21</v>
      </c>
      <c r="B2" t="s">
        <v>251</v>
      </c>
      <c r="C2" s="1" t="s">
        <v>91</v>
      </c>
      <c r="D2" s="16" t="s">
        <v>188</v>
      </c>
      <c r="E2" s="8" t="s">
        <v>44</v>
      </c>
      <c r="F2" s="1" t="s">
        <v>48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zoomScaleNormal="100" workbookViewId="0">
      <selection activeCell="J24" sqref="J24"/>
    </sheetView>
  </sheetViews>
  <sheetFormatPr defaultRowHeight="15" x14ac:dyDescent="0.25"/>
  <cols>
    <col min="1" max="1" width="10.7109375" bestFit="1" customWidth="1"/>
    <col min="2" max="2" width="21.5703125" bestFit="1" customWidth="1"/>
    <col min="3" max="3" width="27.140625" bestFit="1" customWidth="1"/>
    <col min="4" max="4" width="12.5703125" bestFit="1" customWidth="1"/>
    <col min="6" max="6" width="10.28515625" bestFit="1" customWidth="1"/>
  </cols>
  <sheetData>
    <row r="1" spans="1:6" x14ac:dyDescent="0.25">
      <c r="A1" s="16" t="s">
        <v>21</v>
      </c>
      <c r="B1" s="16" t="s">
        <v>22</v>
      </c>
      <c r="C1" s="16" t="s">
        <v>3</v>
      </c>
      <c r="D1" s="16" t="s">
        <v>188</v>
      </c>
      <c r="E1" s="16" t="s">
        <v>6</v>
      </c>
      <c r="F1" s="16" t="s">
        <v>47</v>
      </c>
    </row>
    <row r="2" spans="1:6" x14ac:dyDescent="0.25">
      <c r="A2" s="16" t="str">
        <f ca="1">TEXT(NOW(),"YYYY-MM-DD")</f>
        <v>2026-08-21</v>
      </c>
      <c r="B2" s="16" t="s">
        <v>251</v>
      </c>
      <c r="C2" s="16" t="s">
        <v>91</v>
      </c>
      <c r="D2" s="16" t="s">
        <v>188</v>
      </c>
      <c r="E2" s="6" t="s">
        <v>44</v>
      </c>
      <c r="F2" s="16" t="s">
        <v>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A2" sqref="A2"/>
    </sheetView>
  </sheetViews>
  <sheetFormatPr defaultRowHeight="15" x14ac:dyDescent="0.25"/>
  <cols>
    <col min="1" max="1" width="21.5703125" bestFit="1" customWidth="1"/>
    <col min="2" max="2" width="21.5703125" customWidth="1"/>
    <col min="3" max="3" width="29.5703125" customWidth="1"/>
    <col min="4" max="4" width="33.85546875" bestFit="1" customWidth="1"/>
    <col min="5" max="5" width="14.42578125" customWidth="1"/>
    <col min="6" max="6" width="14.28515625" customWidth="1"/>
    <col min="8" max="8" width="23.140625" style="15" bestFit="1" customWidth="1"/>
    <col min="9" max="9" width="10.28515625" bestFit="1" customWidth="1"/>
    <col min="10" max="10" width="16.5703125" bestFit="1" customWidth="1"/>
  </cols>
  <sheetData>
    <row r="1" spans="1:10" x14ac:dyDescent="0.25">
      <c r="A1" s="2" t="s">
        <v>1</v>
      </c>
      <c r="B1" s="2" t="s">
        <v>50</v>
      </c>
      <c r="C1" s="2" t="s">
        <v>3</v>
      </c>
      <c r="D1" s="2" t="s">
        <v>4</v>
      </c>
      <c r="E1" s="2" t="s">
        <v>39</v>
      </c>
      <c r="F1" s="2" t="s">
        <v>40</v>
      </c>
      <c r="G1" s="2" t="s">
        <v>6</v>
      </c>
      <c r="H1" s="2" t="s">
        <v>135</v>
      </c>
      <c r="I1" s="2" t="s">
        <v>47</v>
      </c>
      <c r="J1" s="16" t="s">
        <v>217</v>
      </c>
    </row>
    <row r="2" spans="1:10" x14ac:dyDescent="0.25">
      <c r="A2" s="1" t="s">
        <v>264</v>
      </c>
      <c r="B2" s="1" t="s">
        <v>112</v>
      </c>
      <c r="C2" s="1" t="s">
        <v>91</v>
      </c>
      <c r="D2" t="s">
        <v>187</v>
      </c>
      <c r="E2" s="5" t="str">
        <f ca="1">TEXT(NOW(),"YYYY-MM-DD")</f>
        <v>2026-08-21</v>
      </c>
      <c r="F2" s="5" t="str">
        <f ca="1">TEXT(NOW(),"YYYY-MM-DD")</f>
        <v>2026-08-21</v>
      </c>
      <c r="G2" s="8" t="s">
        <v>44</v>
      </c>
      <c r="H2" s="14" t="s">
        <v>170</v>
      </c>
      <c r="I2" s="1" t="s">
        <v>48</v>
      </c>
      <c r="J2" s="16" t="s">
        <v>216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J24" sqref="J24"/>
    </sheetView>
  </sheetViews>
  <sheetFormatPr defaultRowHeight="15" x14ac:dyDescent="0.25"/>
  <cols>
    <col min="3" max="3" width="17.28515625" bestFit="1" customWidth="1"/>
    <col min="5" max="5" width="23.140625" style="15" bestFit="1" customWidth="1"/>
    <col min="6" max="6" width="10.28515625" bestFit="1" customWidth="1"/>
    <col min="7" max="7" width="19.28515625" bestFit="1" customWidth="1"/>
    <col min="8" max="8" width="10.5703125" bestFit="1" customWidth="1"/>
  </cols>
  <sheetData>
    <row r="1" spans="1:8" x14ac:dyDescent="0.25">
      <c r="A1" s="2" t="s">
        <v>8</v>
      </c>
      <c r="B1" s="2" t="s">
        <v>9</v>
      </c>
      <c r="C1" s="2" t="s">
        <v>25</v>
      </c>
      <c r="D1" s="2" t="s">
        <v>6</v>
      </c>
      <c r="E1" s="2" t="s">
        <v>135</v>
      </c>
      <c r="F1" s="2" t="s">
        <v>47</v>
      </c>
      <c r="G1" s="2" t="s">
        <v>129</v>
      </c>
      <c r="H1" s="2" t="s">
        <v>130</v>
      </c>
    </row>
    <row r="2" spans="1:8" x14ac:dyDescent="0.25">
      <c r="A2" s="6" t="s">
        <v>85</v>
      </c>
      <c r="B2" s="1" t="s">
        <v>10</v>
      </c>
      <c r="C2" s="16" t="s">
        <v>97</v>
      </c>
      <c r="D2" s="8" t="s">
        <v>81</v>
      </c>
      <c r="E2" s="14" t="s">
        <v>170</v>
      </c>
      <c r="F2" s="1" t="s">
        <v>48</v>
      </c>
      <c r="H2" t="s">
        <v>131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L30" sqref="L30"/>
    </sheetView>
  </sheetViews>
  <sheetFormatPr defaultRowHeight="15" x14ac:dyDescent="0.25"/>
  <cols>
    <col min="2" max="2" width="10.28515625" bestFit="1" customWidth="1"/>
    <col min="3" max="3" width="13.5703125" bestFit="1" customWidth="1"/>
    <col min="4" max="4" width="8.7109375" bestFit="1" customWidth="1"/>
    <col min="5" max="5" width="7.5703125" bestFit="1" customWidth="1"/>
    <col min="6" max="6" width="11.85546875" bestFit="1" customWidth="1"/>
    <col min="7" max="7" width="19" bestFit="1" customWidth="1"/>
    <col min="8" max="8" width="19.28515625" bestFit="1" customWidth="1"/>
  </cols>
  <sheetData>
    <row r="1" spans="1:8" x14ac:dyDescent="0.25">
      <c r="A1" s="8" t="s">
        <v>6</v>
      </c>
      <c r="B1" s="8" t="s">
        <v>47</v>
      </c>
      <c r="C1" s="8" t="s">
        <v>98</v>
      </c>
      <c r="D1" s="8" t="s">
        <v>99</v>
      </c>
      <c r="E1" s="8" t="s">
        <v>100</v>
      </c>
      <c r="F1" s="8" t="s">
        <v>101</v>
      </c>
      <c r="G1" s="16" t="s">
        <v>225</v>
      </c>
      <c r="H1" s="15" t="s">
        <v>129</v>
      </c>
    </row>
    <row r="2" spans="1:8" x14ac:dyDescent="0.25">
      <c r="A2" s="8" t="s">
        <v>81</v>
      </c>
      <c r="B2" s="8" t="s">
        <v>48</v>
      </c>
      <c r="C2" s="13">
        <v>17656</v>
      </c>
      <c r="D2" s="14" t="s">
        <v>375</v>
      </c>
      <c r="E2" s="13">
        <v>2302.96</v>
      </c>
      <c r="F2" s="25">
        <v>15710.4</v>
      </c>
      <c r="G2" s="16" t="s">
        <v>216</v>
      </c>
    </row>
    <row r="30" spans="1:1" x14ac:dyDescent="0.25">
      <c r="A30" s="15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J24" sqref="J24"/>
    </sheetView>
  </sheetViews>
  <sheetFormatPr defaultRowHeight="15" x14ac:dyDescent="0.25"/>
  <cols>
    <col min="1" max="1" width="9.140625" style="15"/>
    <col min="2" max="2" width="23.5703125" style="15" bestFit="1" customWidth="1"/>
    <col min="3" max="3" width="21.5703125" style="15" bestFit="1" customWidth="1"/>
    <col min="4" max="4" width="10.28515625" style="15" bestFit="1" customWidth="1"/>
    <col min="5" max="5" width="13.5703125" style="15" bestFit="1" customWidth="1"/>
    <col min="6" max="6" width="11.7109375" style="15" bestFit="1" customWidth="1"/>
    <col min="7" max="7" width="9.140625" style="15"/>
    <col min="8" max="8" width="11.85546875" style="15" bestFit="1" customWidth="1"/>
    <col min="9" max="9" width="19" style="15" bestFit="1" customWidth="1"/>
    <col min="10" max="10" width="19.28515625" style="15" bestFit="1" customWidth="1"/>
    <col min="11" max="16384" width="9.140625" style="15"/>
  </cols>
  <sheetData>
    <row r="1" spans="1:10" x14ac:dyDescent="0.25">
      <c r="A1" s="8" t="s">
        <v>6</v>
      </c>
      <c r="B1" s="8" t="s">
        <v>135</v>
      </c>
      <c r="C1" s="8" t="s">
        <v>95</v>
      </c>
      <c r="D1" s="8" t="s">
        <v>47</v>
      </c>
      <c r="E1" s="8" t="s">
        <v>98</v>
      </c>
      <c r="F1" s="8" t="s">
        <v>99</v>
      </c>
      <c r="G1" s="8" t="s">
        <v>100</v>
      </c>
      <c r="H1" s="8" t="s">
        <v>101</v>
      </c>
      <c r="I1" s="16" t="s">
        <v>225</v>
      </c>
      <c r="J1" s="15" t="s">
        <v>129</v>
      </c>
    </row>
    <row r="2" spans="1:10" x14ac:dyDescent="0.25">
      <c r="A2" s="8" t="s">
        <v>44</v>
      </c>
      <c r="B2" s="6" t="s">
        <v>156</v>
      </c>
      <c r="C2" s="8" t="s">
        <v>219</v>
      </c>
      <c r="D2" s="8" t="s">
        <v>48</v>
      </c>
      <c r="E2" s="8" t="s">
        <v>213</v>
      </c>
      <c r="F2" s="6" t="s">
        <v>212</v>
      </c>
      <c r="G2" s="8" t="s">
        <v>214</v>
      </c>
      <c r="H2" s="8" t="s">
        <v>215</v>
      </c>
      <c r="I2" s="16" t="s">
        <v>216</v>
      </c>
    </row>
    <row r="3" spans="1:10" x14ac:dyDescent="0.25">
      <c r="A3" s="8" t="s">
        <v>78</v>
      </c>
      <c r="B3" s="6" t="s">
        <v>157</v>
      </c>
      <c r="C3" s="8" t="s">
        <v>219</v>
      </c>
      <c r="D3" s="8" t="s">
        <v>48</v>
      </c>
      <c r="E3" s="8" t="s">
        <v>213</v>
      </c>
      <c r="F3" s="6" t="s">
        <v>212</v>
      </c>
      <c r="G3" s="8" t="s">
        <v>214</v>
      </c>
      <c r="H3" s="8" t="s">
        <v>215</v>
      </c>
      <c r="I3" s="16" t="s">
        <v>216</v>
      </c>
    </row>
    <row r="4" spans="1:10" x14ac:dyDescent="0.25">
      <c r="A4" s="8" t="s">
        <v>79</v>
      </c>
      <c r="B4" s="6" t="s">
        <v>158</v>
      </c>
      <c r="C4" s="8" t="s">
        <v>219</v>
      </c>
      <c r="D4" s="8" t="s">
        <v>48</v>
      </c>
      <c r="E4" s="8" t="s">
        <v>213</v>
      </c>
      <c r="F4" s="6" t="s">
        <v>212</v>
      </c>
      <c r="G4" s="8" t="s">
        <v>214</v>
      </c>
      <c r="H4" s="8" t="s">
        <v>215</v>
      </c>
      <c r="I4" s="16" t="s">
        <v>216</v>
      </c>
    </row>
    <row r="5" spans="1:10" x14ac:dyDescent="0.25">
      <c r="A5" s="8" t="s">
        <v>86</v>
      </c>
      <c r="B5" s="6" t="s">
        <v>159</v>
      </c>
      <c r="C5" s="8" t="s">
        <v>219</v>
      </c>
      <c r="D5" s="8" t="s">
        <v>48</v>
      </c>
      <c r="E5" s="8" t="s">
        <v>213</v>
      </c>
      <c r="F5" s="6" t="s">
        <v>212</v>
      </c>
      <c r="G5" s="8" t="s">
        <v>214</v>
      </c>
      <c r="H5" s="8" t="s">
        <v>215</v>
      </c>
      <c r="I5" s="16" t="s">
        <v>216</v>
      </c>
    </row>
    <row r="6" spans="1:10" x14ac:dyDescent="0.25">
      <c r="A6" s="8" t="s">
        <v>120</v>
      </c>
      <c r="B6" s="6" t="s">
        <v>160</v>
      </c>
      <c r="C6" s="8" t="s">
        <v>219</v>
      </c>
      <c r="D6" s="8" t="s">
        <v>48</v>
      </c>
      <c r="E6" s="8" t="s">
        <v>213</v>
      </c>
      <c r="F6" s="6" t="s">
        <v>212</v>
      </c>
      <c r="G6" s="8" t="s">
        <v>214</v>
      </c>
      <c r="H6" s="8" t="s">
        <v>215</v>
      </c>
      <c r="I6" s="16" t="s">
        <v>216</v>
      </c>
    </row>
    <row r="7" spans="1:10" x14ac:dyDescent="0.25">
      <c r="A7" s="8" t="s">
        <v>121</v>
      </c>
      <c r="B7" s="6" t="s">
        <v>161</v>
      </c>
      <c r="C7" s="8" t="s">
        <v>219</v>
      </c>
      <c r="D7" s="8" t="s">
        <v>48</v>
      </c>
      <c r="E7" s="8" t="s">
        <v>213</v>
      </c>
      <c r="F7" s="6" t="s">
        <v>212</v>
      </c>
      <c r="G7" s="8" t="s">
        <v>214</v>
      </c>
      <c r="H7" s="8" t="s">
        <v>215</v>
      </c>
      <c r="I7" s="16" t="s">
        <v>216</v>
      </c>
    </row>
    <row r="8" spans="1:10" x14ac:dyDescent="0.25">
      <c r="A8" s="8" t="s">
        <v>122</v>
      </c>
      <c r="B8" s="6" t="s">
        <v>162</v>
      </c>
      <c r="C8" s="8" t="s">
        <v>219</v>
      </c>
      <c r="D8" s="8" t="s">
        <v>48</v>
      </c>
      <c r="E8" s="8" t="s">
        <v>213</v>
      </c>
      <c r="F8" s="6" t="s">
        <v>212</v>
      </c>
      <c r="G8" s="8" t="s">
        <v>214</v>
      </c>
      <c r="H8" s="8" t="s">
        <v>215</v>
      </c>
      <c r="I8" s="16" t="s">
        <v>216</v>
      </c>
    </row>
    <row r="9" spans="1:10" x14ac:dyDescent="0.25">
      <c r="A9" s="8" t="s">
        <v>255</v>
      </c>
      <c r="B9" s="6" t="s">
        <v>259</v>
      </c>
      <c r="C9" s="8" t="s">
        <v>219</v>
      </c>
      <c r="D9" s="8" t="s">
        <v>48</v>
      </c>
      <c r="E9" s="14" t="s">
        <v>213</v>
      </c>
      <c r="F9" s="6" t="s">
        <v>212</v>
      </c>
      <c r="G9" s="8" t="s">
        <v>214</v>
      </c>
      <c r="H9" s="8" t="s">
        <v>215</v>
      </c>
      <c r="I9" s="16" t="s">
        <v>216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1" width="9.140625" style="15"/>
    <col min="2" max="2" width="39" style="15" customWidth="1"/>
    <col min="3" max="3" width="24.42578125" style="15" bestFit="1" customWidth="1"/>
    <col min="4" max="16384" width="9.140625" style="15"/>
  </cols>
  <sheetData>
    <row r="1" spans="1:4" x14ac:dyDescent="0.25">
      <c r="A1" s="16" t="s">
        <v>6</v>
      </c>
      <c r="B1" s="16" t="s">
        <v>135</v>
      </c>
      <c r="C1" s="15" t="s">
        <v>129</v>
      </c>
      <c r="D1" s="15" t="s">
        <v>130</v>
      </c>
    </row>
    <row r="2" spans="1:4" x14ac:dyDescent="0.25">
      <c r="A2" s="17" t="s">
        <v>81</v>
      </c>
      <c r="B2" s="6" t="s">
        <v>172</v>
      </c>
      <c r="C2" s="6" t="s">
        <v>174</v>
      </c>
      <c r="D2" s="15" t="s">
        <v>131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1" width="9.140625" style="15"/>
    <col min="2" max="2" width="39" style="15" customWidth="1"/>
    <col min="3" max="3" width="22.140625" style="15" bestFit="1" customWidth="1"/>
    <col min="4" max="16384" width="9.140625" style="15"/>
  </cols>
  <sheetData>
    <row r="1" spans="1:4" x14ac:dyDescent="0.25">
      <c r="A1" s="16" t="s">
        <v>6</v>
      </c>
      <c r="B1" s="16" t="s">
        <v>135</v>
      </c>
      <c r="C1" s="15" t="s">
        <v>129</v>
      </c>
      <c r="D1" s="15" t="s">
        <v>130</v>
      </c>
    </row>
    <row r="2" spans="1:4" x14ac:dyDescent="0.25">
      <c r="A2" s="17" t="s">
        <v>81</v>
      </c>
      <c r="B2" s="6" t="s">
        <v>173</v>
      </c>
      <c r="C2" s="6" t="s">
        <v>132</v>
      </c>
      <c r="D2" s="15" t="s">
        <v>131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J24" sqref="J24"/>
    </sheetView>
  </sheetViews>
  <sheetFormatPr defaultRowHeight="15" x14ac:dyDescent="0.25"/>
  <cols>
    <col min="1" max="1" width="22.140625" bestFit="1" customWidth="1"/>
    <col min="2" max="2" width="27" customWidth="1"/>
    <col min="3" max="3" width="22.7109375" bestFit="1" customWidth="1"/>
    <col min="4" max="5" width="10.42578125" bestFit="1" customWidth="1"/>
    <col min="7" max="7" width="22.85546875" style="15" bestFit="1" customWidth="1"/>
    <col min="8" max="8" width="10.28515625" bestFit="1" customWidth="1"/>
  </cols>
  <sheetData>
    <row r="1" spans="1:8" x14ac:dyDescent="0.25">
      <c r="A1" s="1" t="s">
        <v>1</v>
      </c>
      <c r="B1" s="2" t="s">
        <v>3</v>
      </c>
      <c r="C1" s="2" t="s">
        <v>4</v>
      </c>
      <c r="D1" s="2" t="s">
        <v>23</v>
      </c>
      <c r="E1" s="2" t="s">
        <v>24</v>
      </c>
      <c r="F1" s="2" t="s">
        <v>6</v>
      </c>
      <c r="G1" s="2" t="s">
        <v>135</v>
      </c>
      <c r="H1" t="s">
        <v>47</v>
      </c>
    </row>
    <row r="2" spans="1:8" x14ac:dyDescent="0.25">
      <c r="A2" s="1" t="s">
        <v>260</v>
      </c>
      <c r="B2" s="1" t="s">
        <v>91</v>
      </c>
      <c r="C2" t="s">
        <v>186</v>
      </c>
      <c r="D2" s="5" t="str">
        <f ca="1">TEXT(NOW(),"YYYY-MM-DD")</f>
        <v>2026-08-21</v>
      </c>
      <c r="E2" s="5" t="str">
        <f ca="1">TEXT(NOW(),"YYYY-MM-DD")</f>
        <v>2026-08-21</v>
      </c>
      <c r="F2" s="6" t="s">
        <v>44</v>
      </c>
      <c r="G2" s="6" t="s">
        <v>193</v>
      </c>
      <c r="H2" s="1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J24" sqref="J24"/>
    </sheetView>
  </sheetViews>
  <sheetFormatPr defaultRowHeight="15" x14ac:dyDescent="0.25"/>
  <cols>
    <col min="1" max="1" width="20.7109375" customWidth="1"/>
    <col min="3" max="3" width="23.42578125" customWidth="1"/>
    <col min="4" max="4" width="32.28515625" bestFit="1" customWidth="1"/>
    <col min="5" max="5" width="28" customWidth="1"/>
    <col min="6" max="6" width="12.28515625" customWidth="1"/>
  </cols>
  <sheetData>
    <row r="1" spans="1:6" x14ac:dyDescent="0.25">
      <c r="A1" s="1" t="s">
        <v>45</v>
      </c>
      <c r="B1" s="1" t="s">
        <v>6</v>
      </c>
      <c r="C1" s="2" t="s">
        <v>135</v>
      </c>
      <c r="D1" t="s">
        <v>47</v>
      </c>
      <c r="E1" s="15" t="s">
        <v>129</v>
      </c>
      <c r="F1" s="15" t="s">
        <v>130</v>
      </c>
    </row>
    <row r="2" spans="1:6" x14ac:dyDescent="0.25">
      <c r="A2" s="1" t="s">
        <v>27</v>
      </c>
      <c r="B2" s="6" t="s">
        <v>81</v>
      </c>
      <c r="C2" s="6" t="s">
        <v>193</v>
      </c>
      <c r="D2" s="1" t="s">
        <v>48</v>
      </c>
      <c r="E2" s="15" t="s">
        <v>175</v>
      </c>
      <c r="F2" s="15" t="s">
        <v>131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J24" sqref="J24"/>
    </sheetView>
  </sheetViews>
  <sheetFormatPr defaultRowHeight="15" x14ac:dyDescent="0.25"/>
  <cols>
    <col min="1" max="1" width="10.7109375" style="5" bestFit="1" customWidth="1"/>
    <col min="2" max="2" width="13.140625" style="5" bestFit="1" customWidth="1"/>
    <col min="3" max="3" width="21.5703125" bestFit="1" customWidth="1"/>
  </cols>
  <sheetData>
    <row r="1" spans="1:5" x14ac:dyDescent="0.25">
      <c r="A1" s="5" t="s">
        <v>21</v>
      </c>
      <c r="B1" s="5" t="s">
        <v>16</v>
      </c>
      <c r="C1" t="s">
        <v>22</v>
      </c>
      <c r="D1" s="1" t="s">
        <v>6</v>
      </c>
      <c r="E1" t="s">
        <v>47</v>
      </c>
    </row>
    <row r="2" spans="1:5" x14ac:dyDescent="0.25">
      <c r="A2" s="5" t="str">
        <f ca="1">TEXT(NOW(),"YYYY-MM-DD")</f>
        <v>2026-08-21</v>
      </c>
      <c r="B2" s="5" t="str">
        <f ca="1">TEXT(NOW(),"YYYY-MM-DD")</f>
        <v>2026-08-21</v>
      </c>
      <c r="C2" t="s">
        <v>264</v>
      </c>
      <c r="D2" s="6" t="s">
        <v>44</v>
      </c>
      <c r="E2" s="1" t="s">
        <v>48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1" width="9.85546875" style="15" customWidth="1"/>
    <col min="2" max="2" width="28.140625" style="15" bestFit="1" customWidth="1"/>
    <col min="3" max="3" width="70" style="15" customWidth="1"/>
    <col min="4" max="4" width="10.5703125" style="15" bestFit="1" customWidth="1"/>
    <col min="5" max="16384" width="9.140625" style="15"/>
  </cols>
  <sheetData>
    <row r="1" spans="1:4" x14ac:dyDescent="0.25">
      <c r="A1" s="16" t="s">
        <v>6</v>
      </c>
      <c r="B1" s="16" t="s">
        <v>135</v>
      </c>
      <c r="C1" s="15" t="s">
        <v>129</v>
      </c>
      <c r="D1" s="16" t="s">
        <v>130</v>
      </c>
    </row>
    <row r="2" spans="1:4" x14ac:dyDescent="0.25">
      <c r="A2" s="17" t="s">
        <v>44</v>
      </c>
      <c r="B2" s="17" t="s">
        <v>206</v>
      </c>
      <c r="C2" s="18" t="s">
        <v>211</v>
      </c>
      <c r="D2" s="15" t="s">
        <v>131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J24" sqref="J24"/>
    </sheetView>
  </sheetViews>
  <sheetFormatPr defaultRowHeight="15" x14ac:dyDescent="0.25"/>
  <cols>
    <col min="1" max="1" width="10.42578125" style="15" bestFit="1" customWidth="1"/>
    <col min="2" max="2" width="22" style="15" bestFit="1" customWidth="1"/>
    <col min="3" max="16384" width="9.140625" style="15"/>
  </cols>
  <sheetData>
    <row r="1" spans="1:3" x14ac:dyDescent="0.25">
      <c r="A1" s="16" t="s">
        <v>6</v>
      </c>
      <c r="B1" s="15" t="s">
        <v>129</v>
      </c>
      <c r="C1" s="15" t="s">
        <v>130</v>
      </c>
    </row>
    <row r="2" spans="1:3" x14ac:dyDescent="0.25">
      <c r="A2" s="17" t="s">
        <v>44</v>
      </c>
      <c r="B2" s="16" t="s">
        <v>134</v>
      </c>
      <c r="C2" s="15" t="s">
        <v>131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J24" sqref="J24"/>
    </sheetView>
  </sheetViews>
  <sheetFormatPr defaultRowHeight="15" x14ac:dyDescent="0.25"/>
  <cols>
    <col min="1" max="1" width="10.42578125" style="15" bestFit="1" customWidth="1"/>
    <col min="2" max="2" width="22" style="15" bestFit="1" customWidth="1"/>
    <col min="3" max="16384" width="9.140625" style="15"/>
  </cols>
  <sheetData>
    <row r="1" spans="1:3" x14ac:dyDescent="0.25">
      <c r="A1" s="16" t="s">
        <v>6</v>
      </c>
      <c r="B1" s="15" t="s">
        <v>129</v>
      </c>
      <c r="C1" s="15" t="s">
        <v>130</v>
      </c>
    </row>
    <row r="2" spans="1:3" x14ac:dyDescent="0.25">
      <c r="A2" s="17" t="s">
        <v>44</v>
      </c>
      <c r="B2" s="16" t="s">
        <v>134</v>
      </c>
      <c r="C2" s="15" t="s">
        <v>131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J24" sqref="J24"/>
    </sheetView>
  </sheetViews>
  <sheetFormatPr defaultRowHeight="15" x14ac:dyDescent="0.25"/>
  <cols>
    <col min="1" max="1" width="20.28515625" bestFit="1" customWidth="1"/>
  </cols>
  <sheetData>
    <row r="1" spans="1:2" x14ac:dyDescent="0.25">
      <c r="A1" t="s">
        <v>63</v>
      </c>
      <c r="B1" t="s">
        <v>47</v>
      </c>
    </row>
    <row r="2" spans="1:2" x14ac:dyDescent="0.25">
      <c r="A2" t="s">
        <v>80</v>
      </c>
      <c r="B2" s="1" t="s">
        <v>48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J24" sqref="J24"/>
    </sheetView>
  </sheetViews>
  <sheetFormatPr defaultRowHeight="15" x14ac:dyDescent="0.25"/>
  <cols>
    <col min="1" max="1" width="33.140625" bestFit="1" customWidth="1"/>
  </cols>
  <sheetData>
    <row r="1" spans="1:2" x14ac:dyDescent="0.25">
      <c r="A1" s="16" t="s">
        <v>75</v>
      </c>
      <c r="B1" s="16" t="s">
        <v>6</v>
      </c>
    </row>
    <row r="2" spans="1:2" x14ac:dyDescent="0.25">
      <c r="A2" s="15" t="s">
        <v>263</v>
      </c>
      <c r="B2" s="6" t="s">
        <v>121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J24" sqref="J24"/>
    </sheetView>
  </sheetViews>
  <sheetFormatPr defaultRowHeight="15" x14ac:dyDescent="0.25"/>
  <cols>
    <col min="1" max="1" width="20.28515625" bestFit="1" customWidth="1"/>
    <col min="2" max="2" width="20.28515625" style="15" customWidth="1"/>
  </cols>
  <sheetData>
    <row r="1" spans="1:3" x14ac:dyDescent="0.25">
      <c r="A1" t="s">
        <v>63</v>
      </c>
      <c r="B1" s="15" t="s">
        <v>6</v>
      </c>
      <c r="C1" t="s">
        <v>47</v>
      </c>
    </row>
    <row r="2" spans="1:3" x14ac:dyDescent="0.25">
      <c r="A2" t="s">
        <v>80</v>
      </c>
      <c r="B2" s="8" t="s">
        <v>44</v>
      </c>
      <c r="C2" s="1" t="s">
        <v>48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J24" sqref="J24"/>
    </sheetView>
  </sheetViews>
  <sheetFormatPr defaultRowHeight="15" x14ac:dyDescent="0.25"/>
  <cols>
    <col min="1" max="1" width="10.42578125" style="15" bestFit="1" customWidth="1"/>
    <col min="2" max="2" width="22" style="15" bestFit="1" customWidth="1"/>
    <col min="3" max="16384" width="9.140625" style="15"/>
  </cols>
  <sheetData>
    <row r="1" spans="1:3" x14ac:dyDescent="0.25">
      <c r="A1" s="16" t="s">
        <v>6</v>
      </c>
      <c r="B1" s="15" t="s">
        <v>129</v>
      </c>
      <c r="C1" s="15" t="s">
        <v>130</v>
      </c>
    </row>
    <row r="2" spans="1:3" x14ac:dyDescent="0.25">
      <c r="A2" s="17" t="s">
        <v>44</v>
      </c>
      <c r="B2" s="16" t="s">
        <v>134</v>
      </c>
      <c r="C2" s="15" t="s">
        <v>131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J24" sqref="J24"/>
    </sheetView>
  </sheetViews>
  <sheetFormatPr defaultRowHeight="15" x14ac:dyDescent="0.25"/>
  <cols>
    <col min="1" max="1" width="21.7109375" bestFit="1" customWidth="1"/>
    <col min="2" max="2" width="18" bestFit="1" customWidth="1"/>
    <col min="3" max="3" width="19" bestFit="1" customWidth="1"/>
    <col min="4" max="4" width="34.28515625" bestFit="1" customWidth="1"/>
    <col min="5" max="5" width="41.140625" bestFit="1" customWidth="1"/>
    <col min="6" max="6" width="16" bestFit="1" customWidth="1"/>
    <col min="7" max="7" width="15" bestFit="1" customWidth="1"/>
    <col min="8" max="8" width="13.140625" bestFit="1" customWidth="1"/>
    <col min="10" max="10" width="18.7109375" bestFit="1" customWidth="1"/>
  </cols>
  <sheetData>
    <row r="1" spans="1:11" x14ac:dyDescent="0.25">
      <c r="A1" s="1" t="s">
        <v>11</v>
      </c>
      <c r="B1" s="1" t="s">
        <v>12</v>
      </c>
      <c r="C1" s="1" t="s">
        <v>2</v>
      </c>
      <c r="D1" s="1" t="s">
        <v>13</v>
      </c>
      <c r="E1" s="1" t="s">
        <v>3</v>
      </c>
      <c r="F1" s="1" t="s">
        <v>14</v>
      </c>
      <c r="G1" s="1" t="s">
        <v>15</v>
      </c>
      <c r="H1" s="1" t="s">
        <v>16</v>
      </c>
      <c r="I1" s="1" t="s">
        <v>6</v>
      </c>
      <c r="J1" s="1" t="s">
        <v>64</v>
      </c>
      <c r="K1" t="s">
        <v>47</v>
      </c>
    </row>
    <row r="2" spans="1:11" x14ac:dyDescent="0.25">
      <c r="A2" s="1" t="s">
        <v>267</v>
      </c>
      <c r="B2" s="1" t="s">
        <v>18</v>
      </c>
      <c r="C2" s="1" t="s">
        <v>112</v>
      </c>
      <c r="D2" s="1" t="s">
        <v>111</v>
      </c>
      <c r="E2" s="1" t="s">
        <v>96</v>
      </c>
      <c r="F2" s="1" t="s">
        <v>19</v>
      </c>
      <c r="G2" s="1" t="s">
        <v>17</v>
      </c>
      <c r="H2" s="5" t="str">
        <f ca="1">TEXT(NOW(),"YYYY-MM-DD")</f>
        <v>2026-08-21</v>
      </c>
      <c r="I2" s="6" t="s">
        <v>44</v>
      </c>
      <c r="J2" t="s">
        <v>65</v>
      </c>
      <c r="K2" s="1" t="s">
        <v>48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J24" sqref="J24"/>
    </sheetView>
  </sheetViews>
  <sheetFormatPr defaultRowHeight="15" x14ac:dyDescent="0.25"/>
  <cols>
    <col min="1" max="16384" width="9.140625" style="15"/>
  </cols>
  <sheetData>
    <row r="1" spans="1:3" x14ac:dyDescent="0.25">
      <c r="A1" s="16" t="s">
        <v>6</v>
      </c>
      <c r="B1" s="15" t="s">
        <v>196</v>
      </c>
      <c r="C1" s="15" t="s">
        <v>47</v>
      </c>
    </row>
    <row r="2" spans="1:3" x14ac:dyDescent="0.25">
      <c r="A2" s="17" t="s">
        <v>44</v>
      </c>
      <c r="B2" s="15" t="s">
        <v>65</v>
      </c>
      <c r="C2" s="15" t="s">
        <v>48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E1" sqref="E1:F2"/>
    </sheetView>
  </sheetViews>
  <sheetFormatPr defaultRowHeight="15" x14ac:dyDescent="0.25"/>
  <cols>
    <col min="2" max="2" width="10.28515625" bestFit="1" customWidth="1"/>
    <col min="3" max="3" width="11.5703125" style="15" bestFit="1" customWidth="1"/>
    <col min="4" max="4" width="12.5703125" style="15" bestFit="1" customWidth="1"/>
    <col min="5" max="5" width="14.5703125" style="15" bestFit="1" customWidth="1"/>
    <col min="6" max="6" width="13.5703125" style="15" customWidth="1"/>
    <col min="7" max="7" width="5.7109375" bestFit="1" customWidth="1"/>
    <col min="8" max="8" width="5.28515625" bestFit="1" customWidth="1"/>
    <col min="9" max="9" width="12.85546875" customWidth="1"/>
    <col min="10" max="10" width="12.85546875" style="15" customWidth="1"/>
    <col min="11" max="11" width="19.28515625" bestFit="1" customWidth="1"/>
    <col min="12" max="12" width="10.5703125" bestFit="1" customWidth="1"/>
  </cols>
  <sheetData>
    <row r="1" spans="1:12" x14ac:dyDescent="0.25">
      <c r="A1" s="1" t="s">
        <v>20</v>
      </c>
      <c r="B1" s="1" t="s">
        <v>294</v>
      </c>
      <c r="C1" s="16" t="s">
        <v>265</v>
      </c>
      <c r="D1" s="16" t="s">
        <v>291</v>
      </c>
      <c r="E1" s="16" t="s">
        <v>98</v>
      </c>
      <c r="F1" s="16" t="s">
        <v>373</v>
      </c>
      <c r="G1" s="1" t="s">
        <v>6</v>
      </c>
      <c r="H1" t="s">
        <v>65</v>
      </c>
      <c r="I1" t="s">
        <v>47</v>
      </c>
      <c r="J1" s="15" t="s">
        <v>225</v>
      </c>
      <c r="K1" s="15" t="s">
        <v>129</v>
      </c>
      <c r="L1" s="16" t="s">
        <v>130</v>
      </c>
    </row>
    <row r="2" spans="1:12" x14ac:dyDescent="0.25">
      <c r="A2" s="1" t="s">
        <v>298</v>
      </c>
      <c r="B2" s="6" t="s">
        <v>299</v>
      </c>
      <c r="C2" s="16" t="s">
        <v>97</v>
      </c>
      <c r="D2" s="16" t="s">
        <v>97</v>
      </c>
      <c r="E2" s="8" t="s">
        <v>379</v>
      </c>
      <c r="F2" s="5">
        <v>138.852</v>
      </c>
      <c r="G2" s="6" t="s">
        <v>81</v>
      </c>
      <c r="H2" t="s">
        <v>65</v>
      </c>
      <c r="I2" s="1" t="s">
        <v>48</v>
      </c>
      <c r="J2" s="16" t="s">
        <v>216</v>
      </c>
      <c r="K2" s="15" t="s">
        <v>380</v>
      </c>
      <c r="L2" t="s">
        <v>131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J24" sqref="J24"/>
    </sheetView>
  </sheetViews>
  <sheetFormatPr defaultRowHeight="15" x14ac:dyDescent="0.25"/>
  <cols>
    <col min="1" max="1" width="20.28515625" style="15" bestFit="1" customWidth="1"/>
    <col min="2" max="16384" width="9.140625" style="15"/>
  </cols>
  <sheetData>
    <row r="1" spans="1:3" x14ac:dyDescent="0.25">
      <c r="A1" s="15" t="s">
        <v>63</v>
      </c>
      <c r="B1" s="15" t="s">
        <v>47</v>
      </c>
      <c r="C1" s="15" t="s">
        <v>6</v>
      </c>
    </row>
    <row r="2" spans="1:3" x14ac:dyDescent="0.25">
      <c r="A2" s="15" t="s">
        <v>80</v>
      </c>
      <c r="B2" s="16" t="s">
        <v>48</v>
      </c>
      <c r="C2" s="8" t="s">
        <v>44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1" width="9.140625" style="15"/>
    <col min="2" max="2" width="20.140625" style="15" customWidth="1"/>
    <col min="3" max="3" width="19.28515625" style="15" bestFit="1" customWidth="1"/>
    <col min="4" max="16384" width="9.140625" style="15"/>
  </cols>
  <sheetData>
    <row r="1" spans="1:4" x14ac:dyDescent="0.25">
      <c r="A1" s="16" t="s">
        <v>6</v>
      </c>
      <c r="B1" s="16" t="s">
        <v>135</v>
      </c>
      <c r="C1" s="15" t="s">
        <v>129</v>
      </c>
      <c r="D1" s="16" t="s">
        <v>130</v>
      </c>
    </row>
    <row r="2" spans="1:4" x14ac:dyDescent="0.25">
      <c r="A2" s="17" t="s">
        <v>81</v>
      </c>
      <c r="B2" s="17" t="s">
        <v>178</v>
      </c>
      <c r="C2" s="16" t="s">
        <v>177</v>
      </c>
      <c r="D2" s="15" t="s">
        <v>131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1" width="9.140625" style="15"/>
    <col min="2" max="2" width="20.140625" style="15" customWidth="1"/>
    <col min="3" max="3" width="22" style="15" bestFit="1" customWidth="1"/>
    <col min="4" max="16384" width="9.140625" style="15"/>
  </cols>
  <sheetData>
    <row r="1" spans="1:4" x14ac:dyDescent="0.25">
      <c r="A1" s="16" t="s">
        <v>6</v>
      </c>
      <c r="B1" s="16" t="s">
        <v>135</v>
      </c>
      <c r="C1" s="15" t="s">
        <v>129</v>
      </c>
      <c r="D1" s="16" t="s">
        <v>130</v>
      </c>
    </row>
    <row r="2" spans="1:4" x14ac:dyDescent="0.25">
      <c r="A2" s="17" t="s">
        <v>44</v>
      </c>
      <c r="B2" s="17" t="s">
        <v>179</v>
      </c>
      <c r="C2" s="16" t="s">
        <v>134</v>
      </c>
      <c r="D2" s="15" t="s">
        <v>131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J24" sqref="J24"/>
    </sheetView>
  </sheetViews>
  <sheetFormatPr defaultRowHeight="15" x14ac:dyDescent="0.25"/>
  <cols>
    <col min="1" max="1" width="20.28515625" style="15" bestFit="1" customWidth="1"/>
    <col min="2" max="16384" width="9.140625" style="15"/>
  </cols>
  <sheetData>
    <row r="1" spans="1:3" x14ac:dyDescent="0.25">
      <c r="A1" s="15" t="s">
        <v>63</v>
      </c>
      <c r="B1" s="15" t="s">
        <v>47</v>
      </c>
      <c r="C1" s="15" t="s">
        <v>6</v>
      </c>
    </row>
    <row r="2" spans="1:3" x14ac:dyDescent="0.25">
      <c r="A2" s="15" t="s">
        <v>80</v>
      </c>
      <c r="B2" s="16" t="s">
        <v>48</v>
      </c>
      <c r="C2" s="8" t="s">
        <v>44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1" width="9.140625" style="15"/>
    <col min="2" max="2" width="20.140625" style="15" customWidth="1"/>
    <col min="3" max="3" width="22" style="15" bestFit="1" customWidth="1"/>
    <col min="4" max="16384" width="9.140625" style="15"/>
  </cols>
  <sheetData>
    <row r="1" spans="1:4" x14ac:dyDescent="0.25">
      <c r="A1" s="16" t="s">
        <v>6</v>
      </c>
      <c r="B1" s="16" t="s">
        <v>135</v>
      </c>
      <c r="C1" s="15" t="s">
        <v>129</v>
      </c>
      <c r="D1" s="16" t="s">
        <v>130</v>
      </c>
    </row>
    <row r="2" spans="1:4" x14ac:dyDescent="0.25">
      <c r="A2" s="17" t="s">
        <v>44</v>
      </c>
      <c r="B2" s="17" t="s">
        <v>207</v>
      </c>
      <c r="C2" s="16" t="s">
        <v>134</v>
      </c>
      <c r="D2" s="15" t="s">
        <v>131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J24" sqref="J24"/>
    </sheetView>
  </sheetViews>
  <sheetFormatPr defaultRowHeight="15" x14ac:dyDescent="0.25"/>
  <cols>
    <col min="1" max="1" width="10.7109375" bestFit="1" customWidth="1"/>
    <col min="2" max="2" width="13.140625" bestFit="1" customWidth="1"/>
    <col min="3" max="3" width="22" bestFit="1" customWidth="1"/>
    <col min="5" max="5" width="10.28515625" bestFit="1" customWidth="1"/>
    <col min="6" max="6" width="21.7109375" bestFit="1" customWidth="1"/>
    <col min="7" max="7" width="11.85546875" bestFit="1" customWidth="1"/>
  </cols>
  <sheetData>
    <row r="1" spans="1:7" x14ac:dyDescent="0.25">
      <c r="A1" s="15" t="s">
        <v>21</v>
      </c>
      <c r="B1" s="15" t="s">
        <v>16</v>
      </c>
      <c r="C1" s="15" t="s">
        <v>22</v>
      </c>
      <c r="D1" s="16" t="s">
        <v>6</v>
      </c>
      <c r="E1" s="15" t="s">
        <v>47</v>
      </c>
      <c r="F1" s="16" t="s">
        <v>65</v>
      </c>
      <c r="G1" s="16" t="s">
        <v>242</v>
      </c>
    </row>
    <row r="2" spans="1:7" x14ac:dyDescent="0.25">
      <c r="A2" s="5" t="str">
        <f ca="1">TEXT(NOW(),"YYYY-MM-DD")</f>
        <v>2026-08-21</v>
      </c>
      <c r="B2" s="5" t="str">
        <f ca="1">TEXT(NOW() + 1, "YYYY-MM-DD")</f>
        <v>2026-08-22</v>
      </c>
      <c r="C2" s="8" t="s">
        <v>269</v>
      </c>
      <c r="D2" s="6" t="s">
        <v>44</v>
      </c>
      <c r="E2" s="16" t="s">
        <v>48</v>
      </c>
      <c r="F2" s="16" t="s">
        <v>268</v>
      </c>
      <c r="G2" s="16" t="s">
        <v>27</v>
      </c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H11" sqref="H11"/>
    </sheetView>
  </sheetViews>
  <sheetFormatPr defaultRowHeight="15" x14ac:dyDescent="0.25"/>
  <cols>
    <col min="1" max="1" width="24.28515625" customWidth="1"/>
    <col min="2" max="3" width="10.42578125" bestFit="1" customWidth="1"/>
    <col min="4" max="4" width="33.85546875" bestFit="1" customWidth="1"/>
    <col min="5" max="5" width="10.42578125" customWidth="1"/>
    <col min="6" max="6" width="10.28515625" bestFit="1" customWidth="1"/>
  </cols>
  <sheetData>
    <row r="1" spans="1:6" x14ac:dyDescent="0.25">
      <c r="A1" s="24" t="s">
        <v>22</v>
      </c>
      <c r="B1" s="24" t="s">
        <v>23</v>
      </c>
      <c r="C1" s="24" t="s">
        <v>24</v>
      </c>
      <c r="D1" s="24" t="s">
        <v>4</v>
      </c>
      <c r="E1" s="16" t="s">
        <v>6</v>
      </c>
      <c r="F1" s="16" t="s">
        <v>47</v>
      </c>
    </row>
    <row r="2" spans="1:6" x14ac:dyDescent="0.25">
      <c r="A2" s="6" t="s">
        <v>267</v>
      </c>
      <c r="B2" s="16" t="str">
        <f ca="1">TEXT(NOW(),"YYYY-MM-DD")</f>
        <v>2026-08-21</v>
      </c>
      <c r="C2" s="16" t="str">
        <f ca="1">TEXT(NOW(),"YYYY-MM-DD")</f>
        <v>2026-08-21</v>
      </c>
      <c r="D2" s="16" t="s">
        <v>191</v>
      </c>
      <c r="E2" s="6" t="s">
        <v>44</v>
      </c>
      <c r="F2" s="16" t="s">
        <v>48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J24" sqref="J24"/>
    </sheetView>
  </sheetViews>
  <sheetFormatPr defaultRowHeight="15" x14ac:dyDescent="0.25"/>
  <cols>
    <col min="1" max="1" width="3.28515625" bestFit="1" customWidth="1"/>
    <col min="2" max="2" width="25.140625" bestFit="1" customWidth="1"/>
    <col min="3" max="3" width="10.5703125" bestFit="1" customWidth="1"/>
  </cols>
  <sheetData>
    <row r="1" spans="1:3" x14ac:dyDescent="0.25">
      <c r="A1" s="16" t="s">
        <v>6</v>
      </c>
      <c r="B1" s="15" t="s">
        <v>129</v>
      </c>
      <c r="C1" s="15" t="s">
        <v>130</v>
      </c>
    </row>
    <row r="2" spans="1:3" x14ac:dyDescent="0.25">
      <c r="A2" s="6" t="s">
        <v>44</v>
      </c>
      <c r="B2" s="15" t="s">
        <v>180</v>
      </c>
      <c r="C2" s="15" t="s">
        <v>131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J24" sqref="J24"/>
    </sheetView>
  </sheetViews>
  <sheetFormatPr defaultRowHeight="15" x14ac:dyDescent="0.25"/>
  <cols>
    <col min="3" max="3" width="15.42578125" bestFit="1" customWidth="1"/>
    <col min="6" max="6" width="20.28515625" bestFit="1" customWidth="1"/>
  </cols>
  <sheetData>
    <row r="1" spans="1:5" x14ac:dyDescent="0.25">
      <c r="A1" s="16" t="s">
        <v>41</v>
      </c>
      <c r="B1" s="16" t="s">
        <v>26</v>
      </c>
      <c r="C1" s="16" t="s">
        <v>25</v>
      </c>
      <c r="D1" s="16" t="s">
        <v>6</v>
      </c>
      <c r="E1" s="16" t="s">
        <v>47</v>
      </c>
    </row>
    <row r="2" spans="1:5" x14ac:dyDescent="0.25">
      <c r="A2" s="6" t="s">
        <v>78</v>
      </c>
      <c r="B2" s="6" t="s">
        <v>10</v>
      </c>
      <c r="C2" s="16" t="s">
        <v>293</v>
      </c>
      <c r="D2" s="6" t="s">
        <v>44</v>
      </c>
      <c r="E2" s="16" t="s">
        <v>48</v>
      </c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opLeftCell="B1" workbookViewId="0">
      <selection activeCell="G8" sqref="G8"/>
    </sheetView>
  </sheetViews>
  <sheetFormatPr defaultRowHeight="15" x14ac:dyDescent="0.25"/>
  <cols>
    <col min="2" max="2" width="43.5703125" bestFit="1" customWidth="1"/>
    <col min="3" max="3" width="10.28515625" bestFit="1" customWidth="1"/>
    <col min="4" max="4" width="13.5703125" bestFit="1" customWidth="1"/>
    <col min="7" max="7" width="11.85546875" bestFit="1" customWidth="1"/>
    <col min="8" max="8" width="19" bestFit="1" customWidth="1"/>
    <col min="10" max="10" width="19.28515625" bestFit="1" customWidth="1"/>
  </cols>
  <sheetData>
    <row r="1" spans="1:10" x14ac:dyDescent="0.25">
      <c r="A1" s="8" t="s">
        <v>6</v>
      </c>
      <c r="B1" s="8" t="s">
        <v>135</v>
      </c>
      <c r="C1" s="8" t="s">
        <v>47</v>
      </c>
      <c r="D1" s="8" t="s">
        <v>98</v>
      </c>
      <c r="E1" s="8" t="s">
        <v>99</v>
      </c>
      <c r="F1" s="8" t="s">
        <v>100</v>
      </c>
      <c r="G1" s="8" t="s">
        <v>101</v>
      </c>
      <c r="H1" s="16" t="s">
        <v>225</v>
      </c>
      <c r="I1" s="15" t="s">
        <v>130</v>
      </c>
      <c r="J1" s="2" t="s">
        <v>129</v>
      </c>
    </row>
    <row r="2" spans="1:10" x14ac:dyDescent="0.25">
      <c r="A2" s="8" t="s">
        <v>44</v>
      </c>
      <c r="B2" s="6" t="s">
        <v>361</v>
      </c>
      <c r="C2" s="8" t="s">
        <v>48</v>
      </c>
      <c r="D2" s="14" t="s">
        <v>367</v>
      </c>
      <c r="E2" s="13" t="s">
        <v>376</v>
      </c>
      <c r="F2" s="14" t="s">
        <v>368</v>
      </c>
      <c r="G2" s="14" t="s">
        <v>377</v>
      </c>
      <c r="H2" s="16" t="s">
        <v>216</v>
      </c>
      <c r="I2" s="15" t="s">
        <v>131</v>
      </c>
      <c r="J2" s="15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J24" sqref="J24"/>
    </sheetView>
  </sheetViews>
  <sheetFormatPr defaultRowHeight="15" x14ac:dyDescent="0.25"/>
  <cols>
    <col min="1" max="1" width="27.140625" customWidth="1"/>
    <col min="2" max="3" width="10.42578125" bestFit="1" customWidth="1"/>
    <col min="4" max="4" width="33.85546875" bestFit="1" customWidth="1"/>
  </cols>
  <sheetData>
    <row r="1" spans="1:6" x14ac:dyDescent="0.25">
      <c r="A1" s="24" t="s">
        <v>22</v>
      </c>
      <c r="B1" s="24" t="s">
        <v>23</v>
      </c>
      <c r="C1" s="24" t="s">
        <v>24</v>
      </c>
      <c r="D1" s="24" t="s">
        <v>4</v>
      </c>
      <c r="E1" s="16" t="s">
        <v>6</v>
      </c>
      <c r="F1" s="16" t="s">
        <v>47</v>
      </c>
    </row>
    <row r="2" spans="1:6" x14ac:dyDescent="0.25">
      <c r="A2" s="16" t="s">
        <v>267</v>
      </c>
      <c r="B2" s="16" t="str">
        <f ca="1">TEXT(NOW(),"YYYY-MM-DD")</f>
        <v>2026-08-21</v>
      </c>
      <c r="C2" s="16" t="str">
        <f ca="1">TEXT(NOW(),"YYYY-MM-DD")</f>
        <v>2026-08-21</v>
      </c>
      <c r="D2" s="16" t="s">
        <v>192</v>
      </c>
      <c r="E2" s="6" t="s">
        <v>44</v>
      </c>
      <c r="F2" s="16" t="s">
        <v>48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J24" sqref="J24"/>
    </sheetView>
  </sheetViews>
  <sheetFormatPr defaultRowHeight="15" x14ac:dyDescent="0.25"/>
  <cols>
    <col min="1" max="1" width="3.28515625" bestFit="1" customWidth="1"/>
    <col min="2" max="2" width="25.140625" bestFit="1" customWidth="1"/>
    <col min="3" max="3" width="10.5703125" bestFit="1" customWidth="1"/>
  </cols>
  <sheetData>
    <row r="1" spans="1:3" x14ac:dyDescent="0.25">
      <c r="A1" s="16" t="s">
        <v>6</v>
      </c>
      <c r="B1" s="15" t="s">
        <v>129</v>
      </c>
      <c r="C1" s="15" t="s">
        <v>130</v>
      </c>
    </row>
    <row r="2" spans="1:3" x14ac:dyDescent="0.25">
      <c r="A2" s="6" t="s">
        <v>44</v>
      </c>
      <c r="B2" s="15" t="s">
        <v>180</v>
      </c>
      <c r="C2" s="15" t="s">
        <v>131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1" width="15.42578125" bestFit="1" customWidth="1"/>
    <col min="3" max="3" width="10.28515625" bestFit="1" customWidth="1"/>
  </cols>
  <sheetData>
    <row r="1" spans="1:4" x14ac:dyDescent="0.25">
      <c r="A1" s="15" t="s">
        <v>65</v>
      </c>
      <c r="B1" s="16" t="s">
        <v>6</v>
      </c>
      <c r="C1" s="16" t="s">
        <v>47</v>
      </c>
      <c r="D1" s="16"/>
    </row>
    <row r="2" spans="1:4" x14ac:dyDescent="0.25">
      <c r="A2" s="5" t="s">
        <v>293</v>
      </c>
      <c r="B2" s="6" t="s">
        <v>44</v>
      </c>
      <c r="C2" s="16" t="s">
        <v>48</v>
      </c>
      <c r="D2" s="5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opLeftCell="C1" workbookViewId="0">
      <selection activeCell="J24" sqref="J24"/>
    </sheetView>
  </sheetViews>
  <sheetFormatPr defaultRowHeight="15" x14ac:dyDescent="0.25"/>
  <cols>
    <col min="2" max="2" width="43.5703125" bestFit="1" customWidth="1"/>
    <col min="3" max="3" width="10.28515625" bestFit="1" customWidth="1"/>
    <col min="4" max="4" width="13.5703125" bestFit="1" customWidth="1"/>
    <col min="5" max="5" width="8.7109375" bestFit="1" customWidth="1"/>
    <col min="6" max="6" width="8.140625" bestFit="1" customWidth="1"/>
    <col min="7" max="7" width="11.85546875" bestFit="1" customWidth="1"/>
    <col min="8" max="8" width="19" bestFit="1" customWidth="1"/>
    <col min="9" max="9" width="10.5703125" bestFit="1" customWidth="1"/>
    <col min="10" max="10" width="19.28515625" bestFit="1" customWidth="1"/>
  </cols>
  <sheetData>
    <row r="1" spans="1:10" x14ac:dyDescent="0.25">
      <c r="A1" s="8" t="s">
        <v>6</v>
      </c>
      <c r="B1" s="8" t="s">
        <v>135</v>
      </c>
      <c r="C1" s="8" t="s">
        <v>47</v>
      </c>
      <c r="D1" s="8" t="s">
        <v>98</v>
      </c>
      <c r="E1" s="8" t="s">
        <v>99</v>
      </c>
      <c r="F1" s="8" t="s">
        <v>100</v>
      </c>
      <c r="G1" s="8" t="s">
        <v>101</v>
      </c>
      <c r="H1" s="16" t="s">
        <v>225</v>
      </c>
      <c r="I1" s="15" t="s">
        <v>130</v>
      </c>
      <c r="J1" s="2" t="s">
        <v>129</v>
      </c>
    </row>
    <row r="2" spans="1:10" x14ac:dyDescent="0.25">
      <c r="A2" s="8" t="s">
        <v>44</v>
      </c>
      <c r="B2" s="6" t="s">
        <v>362</v>
      </c>
      <c r="C2" s="8" t="s">
        <v>48</v>
      </c>
      <c r="D2" s="14" t="s">
        <v>369</v>
      </c>
      <c r="E2" s="14" t="s">
        <v>405</v>
      </c>
      <c r="F2" s="14" t="s">
        <v>370</v>
      </c>
      <c r="G2" s="14" t="s">
        <v>378</v>
      </c>
      <c r="H2" s="16" t="s">
        <v>216</v>
      </c>
      <c r="I2" s="15" t="s">
        <v>131</v>
      </c>
      <c r="J2" s="15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3"/>
  <sheetViews>
    <sheetView workbookViewId="0">
      <selection activeCell="J24" sqref="J24"/>
    </sheetView>
  </sheetViews>
  <sheetFormatPr defaultRowHeight="15" x14ac:dyDescent="0.25"/>
  <cols>
    <col min="1" max="1" width="25.28515625" customWidth="1"/>
    <col min="2" max="3" width="10.42578125" bestFit="1" customWidth="1"/>
    <col min="4" max="4" width="34.5703125" customWidth="1"/>
    <col min="5" max="5" width="32.7109375" customWidth="1"/>
    <col min="7" max="7" width="10.28515625" bestFit="1" customWidth="1"/>
    <col min="8" max="8" width="25.140625" bestFit="1" customWidth="1"/>
  </cols>
  <sheetData>
    <row r="1" spans="1:9" x14ac:dyDescent="0.25">
      <c r="A1" s="1" t="s">
        <v>22</v>
      </c>
      <c r="B1" s="1" t="s">
        <v>23</v>
      </c>
      <c r="C1" s="1" t="s">
        <v>24</v>
      </c>
      <c r="D1" t="s">
        <v>4</v>
      </c>
      <c r="E1" t="s">
        <v>92</v>
      </c>
      <c r="F1" s="1" t="s">
        <v>6</v>
      </c>
      <c r="G1" t="s">
        <v>47</v>
      </c>
      <c r="H1" s="15" t="s">
        <v>129</v>
      </c>
      <c r="I1" s="16" t="s">
        <v>130</v>
      </c>
    </row>
    <row r="2" spans="1:9" x14ac:dyDescent="0.25">
      <c r="A2" s="1" t="s">
        <v>267</v>
      </c>
      <c r="B2" s="5" t="str">
        <f ca="1">TEXT(NOW(),"YYYY-MM-DD")</f>
        <v>2026-08-21</v>
      </c>
      <c r="C2" s="5" t="str">
        <f ca="1">TEXT(NOW(),"YYYY-MM-DD")</f>
        <v>2026-08-21</v>
      </c>
      <c r="D2" s="1" t="s">
        <v>190</v>
      </c>
      <c r="E2" s="1" t="s">
        <v>194</v>
      </c>
      <c r="F2" s="6" t="s">
        <v>44</v>
      </c>
      <c r="G2" s="1" t="s">
        <v>48</v>
      </c>
      <c r="H2" s="16" t="s">
        <v>180</v>
      </c>
      <c r="I2" s="16" t="s">
        <v>131</v>
      </c>
    </row>
    <row r="3" spans="1:9" s="15" customFormat="1" x14ac:dyDescent="0.25">
      <c r="A3" s="16"/>
      <c r="B3" s="5"/>
      <c r="C3" s="5"/>
      <c r="D3" s="16"/>
      <c r="E3" s="16"/>
      <c r="F3" s="6"/>
      <c r="G3" s="16"/>
      <c r="H3" s="16"/>
      <c r="I3" s="16"/>
    </row>
    <row r="4" spans="1:9" s="15" customFormat="1" x14ac:dyDescent="0.25">
      <c r="A4" s="16"/>
      <c r="B4" s="5"/>
      <c r="C4" s="5"/>
      <c r="D4" s="16"/>
      <c r="E4" s="16"/>
      <c r="F4" s="6"/>
      <c r="G4" s="16"/>
      <c r="H4" s="16"/>
      <c r="I4" s="16"/>
    </row>
    <row r="5" spans="1:9" x14ac:dyDescent="0.25">
      <c r="A5" s="16"/>
      <c r="B5" s="5"/>
      <c r="C5" s="5"/>
      <c r="D5" s="16"/>
      <c r="E5" s="16"/>
      <c r="F5" s="6"/>
      <c r="G5" s="16"/>
      <c r="H5" s="16"/>
      <c r="I5" s="16"/>
    </row>
    <row r="6" spans="1:9" x14ac:dyDescent="0.25">
      <c r="B6" s="5"/>
      <c r="C6" s="5"/>
    </row>
    <row r="7" spans="1:9" x14ac:dyDescent="0.25">
      <c r="B7" s="5"/>
      <c r="C7" s="5"/>
    </row>
    <row r="8" spans="1:9" x14ac:dyDescent="0.25">
      <c r="B8" s="5"/>
      <c r="C8" s="5"/>
    </row>
    <row r="9" spans="1:9" x14ac:dyDescent="0.25">
      <c r="B9" s="5"/>
      <c r="C9" s="5"/>
    </row>
    <row r="10" spans="1:9" x14ac:dyDescent="0.25">
      <c r="B10" s="5"/>
      <c r="C10" s="5"/>
    </row>
    <row r="11" spans="1:9" x14ac:dyDescent="0.25">
      <c r="B11" s="5"/>
      <c r="C11" s="5"/>
    </row>
    <row r="12" spans="1:9" x14ac:dyDescent="0.25">
      <c r="B12" s="5"/>
      <c r="C12" s="5"/>
    </row>
    <row r="13" spans="1:9" x14ac:dyDescent="0.25">
      <c r="B13" s="5"/>
      <c r="C13" s="5"/>
    </row>
    <row r="14" spans="1:9" x14ac:dyDescent="0.25">
      <c r="B14" s="5"/>
      <c r="C14" s="5"/>
    </row>
    <row r="15" spans="1:9" x14ac:dyDescent="0.25">
      <c r="B15" s="5"/>
      <c r="C15" s="5"/>
    </row>
    <row r="16" spans="1:9" x14ac:dyDescent="0.25">
      <c r="B16" s="5"/>
      <c r="C16" s="5"/>
    </row>
    <row r="17" spans="2:3" x14ac:dyDescent="0.25">
      <c r="B17" s="5"/>
      <c r="C17" s="5"/>
    </row>
    <row r="18" spans="2:3" x14ac:dyDescent="0.25">
      <c r="B18" s="5"/>
      <c r="C18" s="5"/>
    </row>
    <row r="19" spans="2:3" x14ac:dyDescent="0.25">
      <c r="B19" s="5"/>
      <c r="C19" s="5"/>
    </row>
    <row r="20" spans="2:3" x14ac:dyDescent="0.25">
      <c r="B20" s="5"/>
      <c r="C20" s="5"/>
    </row>
    <row r="21" spans="2:3" x14ac:dyDescent="0.25">
      <c r="B21" s="5"/>
      <c r="C21" s="5"/>
    </row>
    <row r="22" spans="2:3" x14ac:dyDescent="0.25">
      <c r="B22" s="5"/>
      <c r="C22" s="5"/>
    </row>
    <row r="23" spans="2:3" x14ac:dyDescent="0.25">
      <c r="B23" s="5"/>
      <c r="C23" s="5"/>
    </row>
    <row r="24" spans="2:3" x14ac:dyDescent="0.25">
      <c r="B24" s="5"/>
      <c r="C24" s="5"/>
    </row>
    <row r="25" spans="2:3" x14ac:dyDescent="0.25">
      <c r="B25" s="5"/>
      <c r="C25" s="5"/>
    </row>
    <row r="26" spans="2:3" x14ac:dyDescent="0.25">
      <c r="B26" s="5"/>
      <c r="C26" s="5"/>
    </row>
    <row r="27" spans="2:3" x14ac:dyDescent="0.25">
      <c r="B27" s="5"/>
      <c r="C27" s="5"/>
    </row>
    <row r="28" spans="2:3" x14ac:dyDescent="0.25">
      <c r="B28" s="5"/>
      <c r="C28" s="5"/>
    </row>
    <row r="29" spans="2:3" x14ac:dyDescent="0.25">
      <c r="B29" s="5"/>
      <c r="C29" s="5"/>
    </row>
    <row r="30" spans="2:3" x14ac:dyDescent="0.25">
      <c r="B30" s="5"/>
      <c r="C30" s="5"/>
    </row>
    <row r="31" spans="2:3" x14ac:dyDescent="0.25">
      <c r="B31" s="5"/>
      <c r="C31" s="5"/>
    </row>
    <row r="32" spans="2:3" x14ac:dyDescent="0.25">
      <c r="B32" s="5"/>
      <c r="C32" s="5"/>
    </row>
    <row r="33" spans="2:3" x14ac:dyDescent="0.25">
      <c r="B33" s="5"/>
      <c r="C33" s="5"/>
    </row>
    <row r="34" spans="2:3" x14ac:dyDescent="0.25">
      <c r="B34" s="5"/>
      <c r="C34" s="5"/>
    </row>
    <row r="35" spans="2:3" x14ac:dyDescent="0.25">
      <c r="B35" s="5"/>
      <c r="C35" s="5"/>
    </row>
    <row r="36" spans="2:3" x14ac:dyDescent="0.25">
      <c r="B36" s="5"/>
      <c r="C36" s="5"/>
    </row>
    <row r="37" spans="2:3" x14ac:dyDescent="0.25">
      <c r="B37" s="5"/>
      <c r="C37" s="5"/>
    </row>
    <row r="38" spans="2:3" x14ac:dyDescent="0.25">
      <c r="B38" s="5"/>
      <c r="C38" s="5"/>
    </row>
    <row r="39" spans="2:3" x14ac:dyDescent="0.25">
      <c r="B39" s="5"/>
      <c r="C39" s="5"/>
    </row>
    <row r="40" spans="2:3" x14ac:dyDescent="0.25">
      <c r="B40" s="5"/>
      <c r="C40" s="5"/>
    </row>
    <row r="41" spans="2:3" x14ac:dyDescent="0.25">
      <c r="B41" s="5"/>
      <c r="C41" s="5"/>
    </row>
    <row r="42" spans="2:3" x14ac:dyDescent="0.25">
      <c r="B42" s="5"/>
      <c r="C42" s="5"/>
    </row>
    <row r="43" spans="2:3" x14ac:dyDescent="0.25">
      <c r="B43" s="5"/>
      <c r="C43" s="5"/>
    </row>
    <row r="44" spans="2:3" x14ac:dyDescent="0.25">
      <c r="B44" s="5"/>
      <c r="C44" s="5"/>
    </row>
    <row r="45" spans="2:3" x14ac:dyDescent="0.25">
      <c r="B45" s="5"/>
      <c r="C45" s="5"/>
    </row>
    <row r="46" spans="2:3" x14ac:dyDescent="0.25">
      <c r="B46" s="5"/>
      <c r="C46" s="5"/>
    </row>
    <row r="47" spans="2:3" x14ac:dyDescent="0.25">
      <c r="B47" s="5"/>
      <c r="C47" s="5"/>
    </row>
    <row r="48" spans="2:3" x14ac:dyDescent="0.25">
      <c r="B48" s="5"/>
      <c r="C48" s="5"/>
    </row>
    <row r="49" spans="2:3" x14ac:dyDescent="0.25">
      <c r="B49" s="5"/>
      <c r="C49" s="5"/>
    </row>
    <row r="50" spans="2:3" x14ac:dyDescent="0.25">
      <c r="B50" s="5"/>
      <c r="C50" s="5"/>
    </row>
    <row r="51" spans="2:3" x14ac:dyDescent="0.25">
      <c r="B51" s="5"/>
      <c r="C51" s="5"/>
    </row>
    <row r="52" spans="2:3" x14ac:dyDescent="0.25">
      <c r="B52" s="5"/>
      <c r="C52" s="5"/>
    </row>
    <row r="53" spans="2:3" x14ac:dyDescent="0.25">
      <c r="B53" s="5"/>
      <c r="C53" s="5"/>
    </row>
    <row r="54" spans="2:3" x14ac:dyDescent="0.25">
      <c r="B54" s="5"/>
      <c r="C54" s="5"/>
    </row>
    <row r="55" spans="2:3" x14ac:dyDescent="0.25">
      <c r="B55" s="5"/>
      <c r="C55" s="5"/>
    </row>
    <row r="56" spans="2:3" x14ac:dyDescent="0.25">
      <c r="B56" s="5"/>
      <c r="C56" s="5"/>
    </row>
    <row r="57" spans="2:3" x14ac:dyDescent="0.25">
      <c r="B57" s="5"/>
      <c r="C57" s="5"/>
    </row>
    <row r="58" spans="2:3" x14ac:dyDescent="0.25">
      <c r="B58" s="5"/>
      <c r="C58" s="5"/>
    </row>
    <row r="59" spans="2:3" x14ac:dyDescent="0.25">
      <c r="B59" s="5"/>
      <c r="C59" s="5"/>
    </row>
    <row r="60" spans="2:3" x14ac:dyDescent="0.25">
      <c r="B60" s="5"/>
      <c r="C60" s="5"/>
    </row>
    <row r="61" spans="2:3" x14ac:dyDescent="0.25">
      <c r="B61" s="5"/>
      <c r="C61" s="5"/>
    </row>
    <row r="62" spans="2:3" x14ac:dyDescent="0.25">
      <c r="B62" s="5"/>
      <c r="C62" s="5"/>
    </row>
    <row r="63" spans="2:3" x14ac:dyDescent="0.25">
      <c r="B63" s="5"/>
      <c r="C63" s="5"/>
    </row>
    <row r="64" spans="2:3" x14ac:dyDescent="0.25">
      <c r="B64" s="5"/>
      <c r="C64" s="5"/>
    </row>
    <row r="65" spans="2:3" x14ac:dyDescent="0.25">
      <c r="B65" s="5"/>
      <c r="C65" s="5"/>
    </row>
    <row r="66" spans="2:3" x14ac:dyDescent="0.25">
      <c r="B66" s="5"/>
      <c r="C66" s="5"/>
    </row>
    <row r="67" spans="2:3" x14ac:dyDescent="0.25">
      <c r="B67" s="5"/>
      <c r="C67" s="5"/>
    </row>
    <row r="68" spans="2:3" x14ac:dyDescent="0.25">
      <c r="B68" s="5"/>
      <c r="C68" s="5"/>
    </row>
    <row r="69" spans="2:3" x14ac:dyDescent="0.25">
      <c r="B69" s="5"/>
      <c r="C69" s="5"/>
    </row>
    <row r="70" spans="2:3" x14ac:dyDescent="0.25">
      <c r="B70" s="5"/>
      <c r="C70" s="5"/>
    </row>
    <row r="71" spans="2:3" x14ac:dyDescent="0.25">
      <c r="B71" s="5"/>
      <c r="C71" s="5"/>
    </row>
    <row r="72" spans="2:3" x14ac:dyDescent="0.25">
      <c r="B72" s="5"/>
      <c r="C72" s="5"/>
    </row>
    <row r="73" spans="2:3" x14ac:dyDescent="0.25">
      <c r="B73" s="5"/>
      <c r="C73" s="5"/>
    </row>
    <row r="74" spans="2:3" x14ac:dyDescent="0.25">
      <c r="B74" s="5"/>
      <c r="C74" s="5"/>
    </row>
    <row r="75" spans="2:3" x14ac:dyDescent="0.25">
      <c r="B75" s="5"/>
      <c r="C75" s="5"/>
    </row>
    <row r="76" spans="2:3" x14ac:dyDescent="0.25">
      <c r="B76" s="5"/>
      <c r="C76" s="5"/>
    </row>
    <row r="77" spans="2:3" x14ac:dyDescent="0.25">
      <c r="B77" s="5"/>
      <c r="C77" s="5"/>
    </row>
    <row r="78" spans="2:3" x14ac:dyDescent="0.25">
      <c r="B78" s="5"/>
      <c r="C78" s="5"/>
    </row>
    <row r="79" spans="2:3" x14ac:dyDescent="0.25">
      <c r="B79" s="5"/>
      <c r="C79" s="5"/>
    </row>
    <row r="80" spans="2:3" x14ac:dyDescent="0.25">
      <c r="B80" s="5"/>
      <c r="C80" s="5"/>
    </row>
    <row r="81" spans="2:3" x14ac:dyDescent="0.25">
      <c r="B81" s="5"/>
      <c r="C81" s="5"/>
    </row>
    <row r="82" spans="2:3" x14ac:dyDescent="0.25">
      <c r="B82" s="5"/>
      <c r="C82" s="5"/>
    </row>
    <row r="83" spans="2:3" x14ac:dyDescent="0.25">
      <c r="B83" s="5"/>
      <c r="C83" s="5"/>
    </row>
    <row r="84" spans="2:3" x14ac:dyDescent="0.25">
      <c r="B84" s="5"/>
      <c r="C84" s="5"/>
    </row>
    <row r="85" spans="2:3" x14ac:dyDescent="0.25">
      <c r="B85" s="5"/>
      <c r="C85" s="5"/>
    </row>
    <row r="86" spans="2:3" x14ac:dyDescent="0.25">
      <c r="B86" s="5"/>
      <c r="C86" s="5"/>
    </row>
    <row r="87" spans="2:3" x14ac:dyDescent="0.25">
      <c r="B87" s="5"/>
      <c r="C87" s="5"/>
    </row>
    <row r="88" spans="2:3" x14ac:dyDescent="0.25">
      <c r="B88" s="5"/>
      <c r="C88" s="5"/>
    </row>
    <row r="89" spans="2:3" x14ac:dyDescent="0.25">
      <c r="B89" s="5"/>
      <c r="C89" s="5"/>
    </row>
    <row r="90" spans="2:3" x14ac:dyDescent="0.25">
      <c r="B90" s="5"/>
      <c r="C90" s="5"/>
    </row>
    <row r="91" spans="2:3" x14ac:dyDescent="0.25">
      <c r="B91" s="5"/>
      <c r="C91" s="5"/>
    </row>
    <row r="92" spans="2:3" x14ac:dyDescent="0.25">
      <c r="B92" s="5"/>
      <c r="C92" s="5"/>
    </row>
    <row r="93" spans="2:3" x14ac:dyDescent="0.25">
      <c r="B93" s="5"/>
      <c r="C93" s="5"/>
    </row>
    <row r="94" spans="2:3" x14ac:dyDescent="0.25">
      <c r="B94" s="5"/>
      <c r="C94" s="5"/>
    </row>
    <row r="95" spans="2:3" x14ac:dyDescent="0.25">
      <c r="B95" s="5"/>
      <c r="C95" s="5"/>
    </row>
    <row r="96" spans="2:3" x14ac:dyDescent="0.25">
      <c r="B96" s="5"/>
      <c r="C96" s="5"/>
    </row>
    <row r="97" spans="2:3" x14ac:dyDescent="0.25">
      <c r="B97" s="5"/>
      <c r="C97" s="5"/>
    </row>
    <row r="98" spans="2:3" x14ac:dyDescent="0.25">
      <c r="B98" s="5"/>
      <c r="C98" s="5"/>
    </row>
    <row r="99" spans="2:3" x14ac:dyDescent="0.25">
      <c r="B99" s="5"/>
      <c r="C99" s="5"/>
    </row>
    <row r="100" spans="2:3" x14ac:dyDescent="0.25">
      <c r="B100" s="5"/>
      <c r="C100" s="5"/>
    </row>
    <row r="101" spans="2:3" x14ac:dyDescent="0.25">
      <c r="B101" s="5"/>
      <c r="C101" s="5"/>
    </row>
    <row r="102" spans="2:3" x14ac:dyDescent="0.25">
      <c r="B102" s="5"/>
      <c r="C102" s="5"/>
    </row>
    <row r="103" spans="2:3" x14ac:dyDescent="0.25">
      <c r="B103" s="5"/>
      <c r="C103" s="5"/>
    </row>
    <row r="104" spans="2:3" x14ac:dyDescent="0.25">
      <c r="B104" s="5"/>
      <c r="C104" s="5"/>
    </row>
    <row r="105" spans="2:3" x14ac:dyDescent="0.25">
      <c r="B105" s="5"/>
      <c r="C105" s="5"/>
    </row>
    <row r="106" spans="2:3" x14ac:dyDescent="0.25">
      <c r="B106" s="5"/>
      <c r="C106" s="5"/>
    </row>
    <row r="107" spans="2:3" x14ac:dyDescent="0.25">
      <c r="B107" s="5"/>
      <c r="C107" s="5"/>
    </row>
    <row r="108" spans="2:3" x14ac:dyDescent="0.25">
      <c r="B108" s="5"/>
      <c r="C108" s="5"/>
    </row>
    <row r="109" spans="2:3" x14ac:dyDescent="0.25">
      <c r="B109" s="5"/>
      <c r="C109" s="5"/>
    </row>
    <row r="110" spans="2:3" x14ac:dyDescent="0.25">
      <c r="B110" s="5"/>
      <c r="C110" s="5"/>
    </row>
    <row r="111" spans="2:3" x14ac:dyDescent="0.25">
      <c r="B111" s="5"/>
      <c r="C111" s="5"/>
    </row>
    <row r="112" spans="2:3" x14ac:dyDescent="0.25">
      <c r="B112" s="5"/>
      <c r="C112" s="5"/>
    </row>
    <row r="113" spans="2:3" x14ac:dyDescent="0.25">
      <c r="B113" s="5"/>
      <c r="C113" s="5"/>
    </row>
    <row r="114" spans="2:3" x14ac:dyDescent="0.25">
      <c r="B114" s="5"/>
      <c r="C114" s="5"/>
    </row>
    <row r="115" spans="2:3" x14ac:dyDescent="0.25">
      <c r="B115" s="5"/>
      <c r="C115" s="5"/>
    </row>
    <row r="116" spans="2:3" x14ac:dyDescent="0.25">
      <c r="B116" s="5"/>
      <c r="C116" s="5"/>
    </row>
    <row r="117" spans="2:3" x14ac:dyDescent="0.25">
      <c r="B117" s="5"/>
      <c r="C117" s="5"/>
    </row>
    <row r="118" spans="2:3" x14ac:dyDescent="0.25">
      <c r="B118" s="5"/>
      <c r="C118" s="5"/>
    </row>
    <row r="119" spans="2:3" x14ac:dyDescent="0.25">
      <c r="B119" s="5"/>
      <c r="C119" s="5"/>
    </row>
    <row r="120" spans="2:3" x14ac:dyDescent="0.25">
      <c r="B120" s="5"/>
      <c r="C120" s="5"/>
    </row>
    <row r="121" spans="2:3" x14ac:dyDescent="0.25">
      <c r="B121" s="5"/>
      <c r="C121" s="5"/>
    </row>
    <row r="122" spans="2:3" x14ac:dyDescent="0.25">
      <c r="B122" s="5"/>
      <c r="C122" s="5"/>
    </row>
    <row r="123" spans="2:3" x14ac:dyDescent="0.25">
      <c r="B123" s="5"/>
      <c r="C123" s="5"/>
    </row>
    <row r="124" spans="2:3" x14ac:dyDescent="0.25">
      <c r="B124" s="5"/>
      <c r="C124" s="5"/>
    </row>
    <row r="125" spans="2:3" x14ac:dyDescent="0.25">
      <c r="B125" s="5"/>
      <c r="C125" s="5"/>
    </row>
    <row r="126" spans="2:3" x14ac:dyDescent="0.25">
      <c r="B126" s="5"/>
      <c r="C126" s="5"/>
    </row>
    <row r="127" spans="2:3" x14ac:dyDescent="0.25">
      <c r="B127" s="5"/>
      <c r="C127" s="5"/>
    </row>
    <row r="128" spans="2:3" x14ac:dyDescent="0.25">
      <c r="B128" s="5"/>
      <c r="C128" s="5"/>
    </row>
    <row r="129" spans="2:3" x14ac:dyDescent="0.25">
      <c r="B129" s="5"/>
      <c r="C129" s="5"/>
    </row>
    <row r="130" spans="2:3" x14ac:dyDescent="0.25">
      <c r="B130" s="5"/>
      <c r="C130" s="5"/>
    </row>
    <row r="131" spans="2:3" x14ac:dyDescent="0.25">
      <c r="B131" s="5"/>
      <c r="C131" s="5"/>
    </row>
    <row r="132" spans="2:3" x14ac:dyDescent="0.25">
      <c r="B132" s="5"/>
      <c r="C132" s="5"/>
    </row>
    <row r="133" spans="2:3" x14ac:dyDescent="0.25">
      <c r="B133" s="5"/>
      <c r="C133" s="5"/>
    </row>
    <row r="134" spans="2:3" x14ac:dyDescent="0.25">
      <c r="B134" s="5"/>
      <c r="C134" s="5"/>
    </row>
    <row r="135" spans="2:3" x14ac:dyDescent="0.25">
      <c r="B135" s="5"/>
      <c r="C135" s="5"/>
    </row>
    <row r="136" spans="2:3" x14ac:dyDescent="0.25">
      <c r="B136" s="5"/>
      <c r="C136" s="5"/>
    </row>
    <row r="137" spans="2:3" x14ac:dyDescent="0.25">
      <c r="B137" s="5"/>
      <c r="C137" s="5"/>
    </row>
    <row r="138" spans="2:3" x14ac:dyDescent="0.25">
      <c r="B138" s="5"/>
      <c r="C138" s="5"/>
    </row>
    <row r="139" spans="2:3" x14ac:dyDescent="0.25">
      <c r="B139" s="5"/>
      <c r="C139" s="5"/>
    </row>
    <row r="140" spans="2:3" x14ac:dyDescent="0.25">
      <c r="B140" s="5"/>
      <c r="C140" s="5"/>
    </row>
    <row r="141" spans="2:3" x14ac:dyDescent="0.25">
      <c r="B141" s="5"/>
      <c r="C141" s="5"/>
    </row>
    <row r="142" spans="2:3" x14ac:dyDescent="0.25">
      <c r="B142" s="5"/>
      <c r="C142" s="5"/>
    </row>
    <row r="143" spans="2:3" x14ac:dyDescent="0.25">
      <c r="B143" s="5"/>
      <c r="C143" s="5"/>
    </row>
    <row r="144" spans="2:3" x14ac:dyDescent="0.25">
      <c r="B144" s="5"/>
      <c r="C144" s="5"/>
    </row>
    <row r="145" spans="2:3" x14ac:dyDescent="0.25">
      <c r="B145" s="5"/>
      <c r="C145" s="5"/>
    </row>
    <row r="146" spans="2:3" x14ac:dyDescent="0.25">
      <c r="B146" s="5"/>
      <c r="C146" s="5"/>
    </row>
    <row r="147" spans="2:3" x14ac:dyDescent="0.25">
      <c r="B147" s="5"/>
      <c r="C147" s="5"/>
    </row>
    <row r="148" spans="2:3" x14ac:dyDescent="0.25">
      <c r="B148" s="5"/>
      <c r="C148" s="5"/>
    </row>
    <row r="149" spans="2:3" x14ac:dyDescent="0.25">
      <c r="B149" s="5"/>
      <c r="C149" s="5"/>
    </row>
    <row r="150" spans="2:3" x14ac:dyDescent="0.25">
      <c r="B150" s="5"/>
      <c r="C150" s="5"/>
    </row>
    <row r="151" spans="2:3" x14ac:dyDescent="0.25">
      <c r="B151" s="5"/>
      <c r="C151" s="5"/>
    </row>
    <row r="152" spans="2:3" x14ac:dyDescent="0.25">
      <c r="B152" s="5"/>
      <c r="C152" s="5"/>
    </row>
    <row r="153" spans="2:3" x14ac:dyDescent="0.25">
      <c r="B153" s="5"/>
      <c r="C153" s="5"/>
    </row>
    <row r="154" spans="2:3" x14ac:dyDescent="0.25">
      <c r="B154" s="5"/>
      <c r="C154" s="5"/>
    </row>
    <row r="155" spans="2:3" x14ac:dyDescent="0.25">
      <c r="B155" s="5"/>
      <c r="C155" s="5"/>
    </row>
    <row r="156" spans="2:3" x14ac:dyDescent="0.25">
      <c r="B156" s="5"/>
      <c r="C156" s="5"/>
    </row>
    <row r="157" spans="2:3" x14ac:dyDescent="0.25">
      <c r="B157" s="5"/>
      <c r="C157" s="5"/>
    </row>
    <row r="158" spans="2:3" x14ac:dyDescent="0.25">
      <c r="B158" s="5"/>
      <c r="C158" s="5"/>
    </row>
    <row r="159" spans="2:3" x14ac:dyDescent="0.25">
      <c r="B159" s="5"/>
      <c r="C159" s="5"/>
    </row>
    <row r="160" spans="2:3" x14ac:dyDescent="0.25">
      <c r="B160" s="5"/>
      <c r="C160" s="5"/>
    </row>
    <row r="161" spans="2:3" x14ac:dyDescent="0.25">
      <c r="B161" s="5"/>
      <c r="C161" s="5"/>
    </row>
    <row r="162" spans="2:3" x14ac:dyDescent="0.25">
      <c r="B162" s="5"/>
      <c r="C162" s="5"/>
    </row>
    <row r="163" spans="2:3" x14ac:dyDescent="0.25">
      <c r="B163" s="5"/>
      <c r="C163" s="5"/>
    </row>
    <row r="164" spans="2:3" x14ac:dyDescent="0.25">
      <c r="B164" s="5"/>
      <c r="C164" s="5"/>
    </row>
    <row r="165" spans="2:3" x14ac:dyDescent="0.25">
      <c r="B165" s="5"/>
      <c r="C165" s="5"/>
    </row>
    <row r="166" spans="2:3" x14ac:dyDescent="0.25">
      <c r="B166" s="5"/>
      <c r="C166" s="5"/>
    </row>
    <row r="167" spans="2:3" x14ac:dyDescent="0.25">
      <c r="B167" s="5"/>
      <c r="C167" s="5"/>
    </row>
    <row r="168" spans="2:3" x14ac:dyDescent="0.25">
      <c r="B168" s="5"/>
      <c r="C168" s="5"/>
    </row>
    <row r="169" spans="2:3" x14ac:dyDescent="0.25">
      <c r="B169" s="5"/>
      <c r="C169" s="5"/>
    </row>
    <row r="170" spans="2:3" x14ac:dyDescent="0.25">
      <c r="B170" s="5"/>
      <c r="C170" s="5"/>
    </row>
    <row r="171" spans="2:3" x14ac:dyDescent="0.25">
      <c r="B171" s="5"/>
      <c r="C171" s="5"/>
    </row>
    <row r="172" spans="2:3" x14ac:dyDescent="0.25">
      <c r="B172" s="5"/>
      <c r="C172" s="5"/>
    </row>
    <row r="173" spans="2:3" x14ac:dyDescent="0.25">
      <c r="B173" s="5"/>
      <c r="C173" s="5"/>
    </row>
    <row r="174" spans="2:3" x14ac:dyDescent="0.25">
      <c r="B174" s="5"/>
      <c r="C174" s="5"/>
    </row>
    <row r="175" spans="2:3" x14ac:dyDescent="0.25">
      <c r="B175" s="5"/>
      <c r="C175" s="5"/>
    </row>
    <row r="176" spans="2:3" x14ac:dyDescent="0.25">
      <c r="B176" s="5"/>
      <c r="C176" s="5"/>
    </row>
    <row r="177" spans="2:3" x14ac:dyDescent="0.25">
      <c r="B177" s="5"/>
      <c r="C177" s="5"/>
    </row>
    <row r="178" spans="2:3" x14ac:dyDescent="0.25">
      <c r="B178" s="5"/>
      <c r="C178" s="5"/>
    </row>
    <row r="179" spans="2:3" x14ac:dyDescent="0.25">
      <c r="B179" s="5"/>
      <c r="C179" s="5"/>
    </row>
    <row r="180" spans="2:3" x14ac:dyDescent="0.25">
      <c r="B180" s="5"/>
      <c r="C180" s="5"/>
    </row>
    <row r="181" spans="2:3" x14ac:dyDescent="0.25">
      <c r="B181" s="5"/>
      <c r="C181" s="5"/>
    </row>
    <row r="182" spans="2:3" x14ac:dyDescent="0.25">
      <c r="B182" s="5"/>
      <c r="C182" s="5"/>
    </row>
    <row r="183" spans="2:3" x14ac:dyDescent="0.25">
      <c r="B183" s="5"/>
      <c r="C183" s="5"/>
    </row>
    <row r="184" spans="2:3" x14ac:dyDescent="0.25">
      <c r="B184" s="5"/>
      <c r="C184" s="5"/>
    </row>
    <row r="185" spans="2:3" x14ac:dyDescent="0.25">
      <c r="B185" s="5"/>
      <c r="C185" s="5"/>
    </row>
    <row r="186" spans="2:3" x14ac:dyDescent="0.25">
      <c r="B186" s="5"/>
      <c r="C186" s="5"/>
    </row>
    <row r="187" spans="2:3" x14ac:dyDescent="0.25">
      <c r="B187" s="5"/>
      <c r="C187" s="5"/>
    </row>
    <row r="188" spans="2:3" x14ac:dyDescent="0.25">
      <c r="B188" s="5"/>
      <c r="C188" s="5"/>
    </row>
    <row r="189" spans="2:3" x14ac:dyDescent="0.25">
      <c r="B189" s="5"/>
      <c r="C189" s="5"/>
    </row>
    <row r="190" spans="2:3" x14ac:dyDescent="0.25">
      <c r="B190" s="5"/>
      <c r="C190" s="5"/>
    </row>
    <row r="191" spans="2:3" x14ac:dyDescent="0.25">
      <c r="B191" s="5"/>
      <c r="C191" s="5"/>
    </row>
    <row r="192" spans="2:3" x14ac:dyDescent="0.25">
      <c r="B192" s="5"/>
      <c r="C192" s="5"/>
    </row>
    <row r="193" spans="2:3" x14ac:dyDescent="0.25">
      <c r="B193" s="5"/>
      <c r="C193" s="5"/>
    </row>
    <row r="194" spans="2:3" x14ac:dyDescent="0.25">
      <c r="B194" s="5"/>
      <c r="C194" s="5"/>
    </row>
    <row r="195" spans="2:3" x14ac:dyDescent="0.25">
      <c r="B195" s="5"/>
      <c r="C195" s="5"/>
    </row>
    <row r="196" spans="2:3" x14ac:dyDescent="0.25">
      <c r="B196" s="5"/>
      <c r="C196" s="5"/>
    </row>
    <row r="197" spans="2:3" x14ac:dyDescent="0.25">
      <c r="B197" s="5"/>
      <c r="C197" s="5"/>
    </row>
    <row r="198" spans="2:3" x14ac:dyDescent="0.25">
      <c r="B198" s="5"/>
      <c r="C198" s="5"/>
    </row>
    <row r="199" spans="2:3" x14ac:dyDescent="0.25">
      <c r="B199" s="5"/>
      <c r="C199" s="5"/>
    </row>
    <row r="200" spans="2:3" x14ac:dyDescent="0.25">
      <c r="B200" s="5"/>
      <c r="C200" s="5"/>
    </row>
    <row r="201" spans="2:3" x14ac:dyDescent="0.25">
      <c r="B201" s="5"/>
      <c r="C201" s="5"/>
    </row>
    <row r="202" spans="2:3" x14ac:dyDescent="0.25">
      <c r="B202" s="5"/>
      <c r="C202" s="5"/>
    </row>
    <row r="203" spans="2:3" x14ac:dyDescent="0.25">
      <c r="B203" s="5"/>
      <c r="C203" s="5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J24" sqref="J24"/>
    </sheetView>
  </sheetViews>
  <sheetFormatPr defaultRowHeight="15" x14ac:dyDescent="0.25"/>
  <cols>
    <col min="1" max="1" width="21.7109375" bestFit="1" customWidth="1"/>
    <col min="2" max="3" width="10.42578125" bestFit="1" customWidth="1"/>
    <col min="4" max="4" width="33.85546875" bestFit="1" customWidth="1"/>
    <col min="5" max="5" width="11.7109375" bestFit="1" customWidth="1"/>
    <col min="7" max="7" width="10.28515625" bestFit="1" customWidth="1"/>
    <col min="8" max="8" width="25.140625" bestFit="1" customWidth="1"/>
  </cols>
  <sheetData>
    <row r="1" spans="1:10" x14ac:dyDescent="0.25">
      <c r="A1" s="16" t="s">
        <v>22</v>
      </c>
      <c r="B1" s="16" t="s">
        <v>23</v>
      </c>
      <c r="C1" s="16" t="s">
        <v>24</v>
      </c>
      <c r="D1" s="15" t="s">
        <v>4</v>
      </c>
      <c r="E1" s="15" t="s">
        <v>92</v>
      </c>
      <c r="F1" s="16" t="s">
        <v>6</v>
      </c>
      <c r="G1" s="15" t="s">
        <v>47</v>
      </c>
      <c r="H1" s="15" t="s">
        <v>129</v>
      </c>
      <c r="I1" s="16" t="s">
        <v>130</v>
      </c>
      <c r="J1" s="16" t="s">
        <v>217</v>
      </c>
    </row>
    <row r="2" spans="1:10" x14ac:dyDescent="0.25">
      <c r="A2" s="16" t="s">
        <v>267</v>
      </c>
      <c r="B2" s="5" t="str">
        <f ca="1">TEXT(NOW(),"YYYY-MM-DD")</f>
        <v>2026-08-21</v>
      </c>
      <c r="C2" s="5" t="str">
        <f ca="1">TEXT(NOW(),"YYYY-MM-DD")</f>
        <v>2026-08-21</v>
      </c>
      <c r="D2" s="16" t="s">
        <v>190</v>
      </c>
      <c r="E2" s="16" t="s">
        <v>194</v>
      </c>
      <c r="F2" s="6" t="s">
        <v>44</v>
      </c>
      <c r="G2" s="16" t="s">
        <v>48</v>
      </c>
      <c r="H2" s="16" t="s">
        <v>180</v>
      </c>
      <c r="I2" s="16" t="s">
        <v>131</v>
      </c>
      <c r="J2" s="16" t="s">
        <v>216</v>
      </c>
    </row>
    <row r="3" spans="1:10" x14ac:dyDescent="0.25">
      <c r="A3" s="16" t="s">
        <v>267</v>
      </c>
      <c r="B3" s="5" t="str">
        <f t="shared" ref="B3:C5" ca="1" si="0">TEXT(NOW(),"YYYY-MM-DD")</f>
        <v>2026-08-21</v>
      </c>
      <c r="C3" s="5" t="str">
        <f t="shared" ca="1" si="0"/>
        <v>2026-08-21</v>
      </c>
      <c r="D3" s="16" t="s">
        <v>190</v>
      </c>
      <c r="E3" s="16" t="s">
        <v>194</v>
      </c>
      <c r="F3" s="6" t="s">
        <v>78</v>
      </c>
      <c r="G3" s="16" t="s">
        <v>48</v>
      </c>
      <c r="H3" s="16" t="s">
        <v>180</v>
      </c>
      <c r="I3" s="16" t="s">
        <v>131</v>
      </c>
      <c r="J3" s="16"/>
    </row>
    <row r="4" spans="1:10" x14ac:dyDescent="0.25">
      <c r="A4" s="16" t="s">
        <v>267</v>
      </c>
      <c r="B4" s="5" t="str">
        <f t="shared" ca="1" si="0"/>
        <v>2026-08-21</v>
      </c>
      <c r="C4" s="5" t="str">
        <f t="shared" ca="1" si="0"/>
        <v>2026-08-21</v>
      </c>
      <c r="D4" s="16" t="s">
        <v>190</v>
      </c>
      <c r="E4" s="16" t="s">
        <v>194</v>
      </c>
      <c r="F4" s="6" t="s">
        <v>79</v>
      </c>
      <c r="G4" s="16" t="s">
        <v>48</v>
      </c>
      <c r="H4" s="16" t="s">
        <v>180</v>
      </c>
      <c r="I4" s="16" t="s">
        <v>131</v>
      </c>
      <c r="J4" s="16"/>
    </row>
    <row r="5" spans="1:10" x14ac:dyDescent="0.25">
      <c r="A5" s="16" t="s">
        <v>267</v>
      </c>
      <c r="B5" s="5" t="str">
        <f t="shared" ca="1" si="0"/>
        <v>2026-08-21</v>
      </c>
      <c r="C5" s="5" t="str">
        <f t="shared" ca="1" si="0"/>
        <v>2026-08-21</v>
      </c>
      <c r="D5" s="16" t="s">
        <v>190</v>
      </c>
      <c r="E5" s="16" t="s">
        <v>194</v>
      </c>
      <c r="F5" s="6" t="s">
        <v>86</v>
      </c>
      <c r="G5" s="16" t="s">
        <v>48</v>
      </c>
      <c r="H5" s="16" t="s">
        <v>180</v>
      </c>
      <c r="I5" s="16" t="s">
        <v>131</v>
      </c>
      <c r="J5" s="15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activeCell="J24" sqref="J24"/>
    </sheetView>
  </sheetViews>
  <sheetFormatPr defaultRowHeight="15" x14ac:dyDescent="0.25"/>
  <cols>
    <col min="1" max="1" width="15.42578125" bestFit="1" customWidth="1"/>
    <col min="3" max="3" width="15.42578125" bestFit="1" customWidth="1"/>
    <col min="4" max="4" width="15.42578125" customWidth="1"/>
    <col min="5" max="5" width="10.28515625" bestFit="1" customWidth="1"/>
    <col min="6" max="6" width="19.28515625" bestFit="1" customWidth="1"/>
    <col min="7" max="7" width="10.5703125" bestFit="1" customWidth="1"/>
    <col min="8" max="8" width="13.5703125" bestFit="1" customWidth="1"/>
    <col min="9" max="9" width="11.28515625" customWidth="1"/>
    <col min="10" max="10" width="7.85546875" customWidth="1"/>
    <col min="11" max="11" width="11.85546875" bestFit="1" customWidth="1"/>
    <col min="12" max="12" width="19" bestFit="1" customWidth="1"/>
  </cols>
  <sheetData>
    <row r="1" spans="1:12" x14ac:dyDescent="0.25">
      <c r="A1" s="1" t="s">
        <v>41</v>
      </c>
      <c r="B1" s="1" t="s">
        <v>26</v>
      </c>
      <c r="C1" s="16" t="s">
        <v>25</v>
      </c>
      <c r="D1" s="1" t="s">
        <v>6</v>
      </c>
      <c r="E1" s="1" t="s">
        <v>47</v>
      </c>
      <c r="F1" s="15" t="s">
        <v>129</v>
      </c>
      <c r="G1" s="16" t="s">
        <v>130</v>
      </c>
      <c r="H1" s="8"/>
      <c r="I1" s="8"/>
      <c r="J1" s="8"/>
      <c r="K1" s="8"/>
      <c r="L1" s="16"/>
    </row>
    <row r="2" spans="1:12" x14ac:dyDescent="0.25">
      <c r="A2" s="6" t="s">
        <v>10</v>
      </c>
      <c r="B2" s="16" t="s">
        <v>42</v>
      </c>
      <c r="C2" s="16" t="s">
        <v>293</v>
      </c>
      <c r="D2" s="6" t="s">
        <v>81</v>
      </c>
      <c r="E2" s="16" t="s">
        <v>48</v>
      </c>
      <c r="F2" s="15"/>
      <c r="G2" s="15" t="s">
        <v>131</v>
      </c>
      <c r="H2" s="6"/>
      <c r="I2" s="6"/>
      <c r="J2" s="6"/>
      <c r="K2" s="6"/>
      <c r="L2" s="16"/>
    </row>
    <row r="3" spans="1:12" x14ac:dyDescent="0.25">
      <c r="A3" s="16"/>
      <c r="B3" s="16"/>
      <c r="C3" s="15"/>
      <c r="D3" s="6"/>
      <c r="E3" s="16"/>
      <c r="F3" s="15"/>
      <c r="G3" s="15"/>
    </row>
    <row r="4" spans="1:12" x14ac:dyDescent="0.25">
      <c r="A4" s="16"/>
      <c r="B4" s="16"/>
      <c r="C4" s="15"/>
      <c r="D4" s="6"/>
      <c r="E4" s="16"/>
      <c r="F4" s="15"/>
      <c r="G4" s="15"/>
    </row>
    <row r="5" spans="1:12" x14ac:dyDescent="0.25">
      <c r="A5" s="16"/>
      <c r="B5" s="16"/>
      <c r="C5" s="15"/>
      <c r="D5" s="6"/>
      <c r="E5" s="16"/>
      <c r="F5" s="15"/>
      <c r="G5" s="15"/>
    </row>
  </sheetData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activeCell="J24" sqref="J24"/>
    </sheetView>
  </sheetViews>
  <sheetFormatPr defaultRowHeight="15" x14ac:dyDescent="0.25"/>
  <cols>
    <col min="2" max="2" width="24.42578125" bestFit="1" customWidth="1"/>
    <col min="3" max="3" width="10.28515625" bestFit="1" customWidth="1"/>
    <col min="4" max="4" width="13.5703125" bestFit="1" customWidth="1"/>
    <col min="5" max="5" width="8.7109375" bestFit="1" customWidth="1"/>
    <col min="6" max="6" width="11.7109375" customWidth="1"/>
    <col min="7" max="7" width="11.85546875" bestFit="1" customWidth="1"/>
    <col min="8" max="8" width="19" bestFit="1" customWidth="1"/>
    <col min="9" max="9" width="10.5703125" bestFit="1" customWidth="1"/>
    <col min="10" max="10" width="19.28515625" bestFit="1" customWidth="1"/>
  </cols>
  <sheetData>
    <row r="1" spans="1:10" x14ac:dyDescent="0.25">
      <c r="A1" s="8" t="s">
        <v>6</v>
      </c>
      <c r="B1" s="8" t="s">
        <v>135</v>
      </c>
      <c r="C1" s="8" t="s">
        <v>47</v>
      </c>
      <c r="D1" s="8" t="s">
        <v>98</v>
      </c>
      <c r="E1" s="8" t="s">
        <v>99</v>
      </c>
      <c r="F1" s="8" t="s">
        <v>100</v>
      </c>
      <c r="G1" s="8" t="s">
        <v>101</v>
      </c>
      <c r="H1" s="16" t="s">
        <v>225</v>
      </c>
      <c r="I1" s="15" t="s">
        <v>130</v>
      </c>
      <c r="J1" s="2" t="s">
        <v>129</v>
      </c>
    </row>
    <row r="2" spans="1:10" x14ac:dyDescent="0.25">
      <c r="A2" s="8" t="s">
        <v>44</v>
      </c>
      <c r="B2" s="6" t="s">
        <v>360</v>
      </c>
      <c r="C2" s="8" t="s">
        <v>48</v>
      </c>
      <c r="D2" s="14" t="s">
        <v>371</v>
      </c>
      <c r="E2" s="8" t="s">
        <v>388</v>
      </c>
      <c r="F2" s="8" t="s">
        <v>372</v>
      </c>
      <c r="G2" s="14" t="s">
        <v>359</v>
      </c>
      <c r="H2" s="16" t="s">
        <v>216</v>
      </c>
      <c r="I2" s="15" t="s">
        <v>131</v>
      </c>
    </row>
    <row r="3" spans="1:10" x14ac:dyDescent="0.25">
      <c r="F3" s="25"/>
    </row>
    <row r="6" spans="1:10" x14ac:dyDescent="0.25">
      <c r="D6" s="25"/>
    </row>
    <row r="18" spans="8:8" x14ac:dyDescent="0.25">
      <c r="H18" s="16"/>
    </row>
  </sheetData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J24" sqref="J24"/>
    </sheetView>
  </sheetViews>
  <sheetFormatPr defaultRowHeight="15" x14ac:dyDescent="0.25"/>
  <cols>
    <col min="2" max="2" width="25.140625" bestFit="1" customWidth="1"/>
    <col min="3" max="3" width="10.5703125" bestFit="1" customWidth="1"/>
  </cols>
  <sheetData>
    <row r="1" spans="1:3" x14ac:dyDescent="0.25">
      <c r="A1" t="s">
        <v>6</v>
      </c>
      <c r="B1" s="15" t="s">
        <v>129</v>
      </c>
      <c r="C1" s="15" t="s">
        <v>130</v>
      </c>
    </row>
    <row r="2" spans="1:3" x14ac:dyDescent="0.25">
      <c r="A2" s="8" t="s">
        <v>44</v>
      </c>
      <c r="B2" s="15"/>
      <c r="C2" s="15" t="s">
        <v>131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opLeftCell="C1" workbookViewId="0">
      <selection activeCell="J24" sqref="J24"/>
    </sheetView>
  </sheetViews>
  <sheetFormatPr defaultRowHeight="15" x14ac:dyDescent="0.25"/>
  <cols>
    <col min="3" max="3" width="22.140625" customWidth="1"/>
    <col min="6" max="6" width="53.42578125" bestFit="1" customWidth="1"/>
    <col min="8" max="8" width="13.5703125" bestFit="1" customWidth="1"/>
  </cols>
  <sheetData>
    <row r="1" spans="1:8" s="15" customFormat="1" x14ac:dyDescent="0.25">
      <c r="A1" s="16" t="s">
        <v>41</v>
      </c>
      <c r="B1" s="16" t="s">
        <v>26</v>
      </c>
      <c r="C1" s="15" t="s">
        <v>25</v>
      </c>
      <c r="D1" s="16" t="s">
        <v>6</v>
      </c>
      <c r="E1" s="16" t="s">
        <v>47</v>
      </c>
      <c r="F1" s="15" t="s">
        <v>129</v>
      </c>
      <c r="G1" s="16" t="s">
        <v>130</v>
      </c>
      <c r="H1" s="16" t="s">
        <v>98</v>
      </c>
    </row>
    <row r="2" spans="1:8" s="15" customFormat="1" x14ac:dyDescent="0.25">
      <c r="A2" s="16" t="s">
        <v>42</v>
      </c>
      <c r="B2" s="16" t="s">
        <v>10</v>
      </c>
      <c r="C2" s="15" t="s">
        <v>90</v>
      </c>
      <c r="D2" s="6" t="s">
        <v>81</v>
      </c>
      <c r="E2" s="16" t="s">
        <v>48</v>
      </c>
      <c r="F2" s="15" t="s">
        <v>235</v>
      </c>
      <c r="G2" s="15" t="s">
        <v>236</v>
      </c>
      <c r="H2" s="15">
        <v>2000</v>
      </c>
    </row>
    <row r="3" spans="1:8" s="15" customFormat="1" x14ac:dyDescent="0.25">
      <c r="A3" s="16" t="s">
        <v>237</v>
      </c>
      <c r="B3" s="16" t="s">
        <v>10</v>
      </c>
      <c r="C3" s="15" t="s">
        <v>90</v>
      </c>
      <c r="D3" s="6" t="s">
        <v>105</v>
      </c>
      <c r="E3" s="16" t="s">
        <v>48</v>
      </c>
      <c r="F3" s="15" t="s">
        <v>238</v>
      </c>
      <c r="G3" s="15" t="s">
        <v>236</v>
      </c>
    </row>
    <row r="4" spans="1:8" s="15" customFormat="1" x14ac:dyDescent="0.25">
      <c r="A4" s="16" t="s">
        <v>239</v>
      </c>
      <c r="B4" s="16" t="s">
        <v>10</v>
      </c>
      <c r="C4" s="15" t="s">
        <v>90</v>
      </c>
      <c r="D4" s="6" t="s">
        <v>107</v>
      </c>
      <c r="E4" s="16" t="s">
        <v>48</v>
      </c>
      <c r="F4" s="15" t="s">
        <v>240</v>
      </c>
      <c r="G4" s="15" t="s">
        <v>236</v>
      </c>
    </row>
    <row r="5" spans="1:8" s="15" customFormat="1" x14ac:dyDescent="0.25">
      <c r="A5" s="16" t="s">
        <v>10</v>
      </c>
      <c r="B5" s="16" t="s">
        <v>10</v>
      </c>
      <c r="C5" s="15" t="s">
        <v>90</v>
      </c>
      <c r="D5" s="6" t="s">
        <v>109</v>
      </c>
      <c r="E5" s="16" t="s">
        <v>48</v>
      </c>
      <c r="F5" s="15" t="s">
        <v>241</v>
      </c>
      <c r="G5" s="15" t="s">
        <v>236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1" width="9.140625" style="15"/>
    <col min="2" max="2" width="26.5703125" style="15" bestFit="1" customWidth="1"/>
    <col min="3" max="3" width="22" style="15" bestFit="1" customWidth="1"/>
    <col min="4" max="16384" width="9.140625" style="15"/>
  </cols>
  <sheetData>
    <row r="1" spans="1:4" x14ac:dyDescent="0.25">
      <c r="A1" s="16" t="s">
        <v>6</v>
      </c>
      <c r="B1" s="16" t="s">
        <v>135</v>
      </c>
      <c r="C1" s="15" t="s">
        <v>129</v>
      </c>
      <c r="D1" s="16" t="s">
        <v>130</v>
      </c>
    </row>
    <row r="2" spans="1:4" x14ac:dyDescent="0.25">
      <c r="A2" s="17" t="s">
        <v>81</v>
      </c>
      <c r="B2" s="17" t="s">
        <v>182</v>
      </c>
      <c r="C2" s="16" t="s">
        <v>174</v>
      </c>
      <c r="D2" s="15" t="s">
        <v>131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1" width="9.140625" style="15"/>
    <col min="2" max="2" width="20.140625" style="15" customWidth="1"/>
    <col min="3" max="3" width="22" style="15" bestFit="1" customWidth="1"/>
    <col min="4" max="16384" width="9.140625" style="15"/>
  </cols>
  <sheetData>
    <row r="1" spans="1:4" x14ac:dyDescent="0.25">
      <c r="A1" s="16" t="s">
        <v>6</v>
      </c>
      <c r="B1" s="16" t="s">
        <v>135</v>
      </c>
      <c r="C1" s="15" t="s">
        <v>129</v>
      </c>
      <c r="D1" s="16" t="s">
        <v>130</v>
      </c>
    </row>
    <row r="2" spans="1:4" x14ac:dyDescent="0.25">
      <c r="A2" s="17" t="s">
        <v>81</v>
      </c>
      <c r="B2" s="17" t="s">
        <v>183</v>
      </c>
      <c r="C2" s="16" t="s">
        <v>181</v>
      </c>
      <c r="D2" s="15" t="s">
        <v>131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J24" sqref="J24"/>
    </sheetView>
  </sheetViews>
  <sheetFormatPr defaultRowHeight="15" x14ac:dyDescent="0.25"/>
  <cols>
    <col min="1" max="1" width="21.7109375" bestFit="1" customWidth="1"/>
  </cols>
  <sheetData>
    <row r="1" spans="1:2" x14ac:dyDescent="0.25">
      <c r="A1" t="s">
        <v>22</v>
      </c>
      <c r="B1" s="1" t="s">
        <v>6</v>
      </c>
    </row>
    <row r="2" spans="1:2" x14ac:dyDescent="0.25">
      <c r="A2" s="1" t="s">
        <v>267</v>
      </c>
      <c r="B2" s="1" t="s">
        <v>44</v>
      </c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J24" sqref="J24"/>
    </sheetView>
  </sheetViews>
  <sheetFormatPr defaultRowHeight="15" x14ac:dyDescent="0.25"/>
  <cols>
    <col min="3" max="3" width="24.140625" customWidth="1"/>
  </cols>
  <sheetData>
    <row r="1" spans="1:5" x14ac:dyDescent="0.25">
      <c r="A1" s="1" t="s">
        <v>41</v>
      </c>
      <c r="B1" s="1" t="s">
        <v>26</v>
      </c>
      <c r="C1" s="1" t="s">
        <v>25</v>
      </c>
      <c r="D1" s="1" t="s">
        <v>6</v>
      </c>
      <c r="E1" t="s">
        <v>47</v>
      </c>
    </row>
    <row r="2" spans="1:5" x14ac:dyDescent="0.25">
      <c r="A2" s="1" t="s">
        <v>84</v>
      </c>
      <c r="B2" s="1" t="s">
        <v>10</v>
      </c>
      <c r="C2" s="1" t="s">
        <v>27</v>
      </c>
      <c r="D2" s="1" t="s">
        <v>44</v>
      </c>
      <c r="E2" s="1" t="s">
        <v>48</v>
      </c>
    </row>
    <row r="3" spans="1:5" ht="15.75" thickBot="1" x14ac:dyDescent="0.3">
      <c r="C3" s="12"/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J24" sqref="J24"/>
    </sheetView>
  </sheetViews>
  <sheetFormatPr defaultRowHeight="15" x14ac:dyDescent="0.25"/>
  <cols>
    <col min="2" max="2" width="32.7109375" bestFit="1" customWidth="1"/>
    <col min="3" max="3" width="10.28515625" bestFit="1" customWidth="1"/>
    <col min="4" max="4" width="25.28515625" bestFit="1" customWidth="1"/>
    <col min="5" max="5" width="22.5703125" bestFit="1" customWidth="1"/>
    <col min="6" max="6" width="16.5703125" bestFit="1" customWidth="1"/>
    <col min="7" max="7" width="24.7109375" bestFit="1" customWidth="1"/>
    <col min="10" max="10" width="19.28515625" bestFit="1" customWidth="1"/>
  </cols>
  <sheetData>
    <row r="1" spans="1:10" x14ac:dyDescent="0.25">
      <c r="A1" s="8" t="s">
        <v>6</v>
      </c>
      <c r="B1" s="8" t="s">
        <v>135</v>
      </c>
      <c r="C1" s="8" t="s">
        <v>47</v>
      </c>
      <c r="D1" s="8" t="s">
        <v>98</v>
      </c>
      <c r="E1" s="8" t="s">
        <v>99</v>
      </c>
      <c r="F1" s="8" t="s">
        <v>100</v>
      </c>
      <c r="G1" s="8" t="s">
        <v>101</v>
      </c>
      <c r="H1" s="16" t="s">
        <v>225</v>
      </c>
      <c r="I1" s="15" t="s">
        <v>130</v>
      </c>
      <c r="J1" s="2" t="s">
        <v>129</v>
      </c>
    </row>
    <row r="2" spans="1:10" x14ac:dyDescent="0.25">
      <c r="A2" s="8" t="s">
        <v>44</v>
      </c>
      <c r="B2" s="6" t="s">
        <v>387</v>
      </c>
      <c r="C2" s="8" t="s">
        <v>48</v>
      </c>
      <c r="D2" s="14" t="s">
        <v>402</v>
      </c>
      <c r="E2" s="14" t="s">
        <v>409</v>
      </c>
      <c r="F2" s="8" t="s">
        <v>410</v>
      </c>
      <c r="G2" s="14" t="s">
        <v>411</v>
      </c>
      <c r="H2" s="16" t="s">
        <v>216</v>
      </c>
      <c r="I2" s="15" t="s">
        <v>131</v>
      </c>
      <c r="J2" s="15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2" width="9.140625" style="15"/>
    <col min="3" max="3" width="24.140625" style="15" customWidth="1"/>
    <col min="4" max="16384" width="9.140625" style="15"/>
  </cols>
  <sheetData>
    <row r="1" spans="1:4" x14ac:dyDescent="0.25">
      <c r="A1" s="16" t="s">
        <v>6</v>
      </c>
      <c r="B1" s="16" t="s">
        <v>135</v>
      </c>
      <c r="C1" s="15" t="s">
        <v>129</v>
      </c>
      <c r="D1" s="16" t="s">
        <v>130</v>
      </c>
    </row>
    <row r="2" spans="1:4" x14ac:dyDescent="0.25">
      <c r="A2" s="17" t="s">
        <v>44</v>
      </c>
      <c r="B2" s="17" t="s">
        <v>185</v>
      </c>
      <c r="C2" s="16" t="s">
        <v>181</v>
      </c>
      <c r="D2" s="15" t="s">
        <v>131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workbookViewId="0">
      <selection activeCell="E1" sqref="E1:E2"/>
    </sheetView>
  </sheetViews>
  <sheetFormatPr defaultRowHeight="15" x14ac:dyDescent="0.25"/>
  <cols>
    <col min="1" max="1" width="21" bestFit="1" customWidth="1"/>
    <col min="2" max="3" width="10.42578125" bestFit="1" customWidth="1"/>
    <col min="4" max="4" width="11.7109375" bestFit="1" customWidth="1"/>
    <col min="5" max="5" width="20.28515625" bestFit="1" customWidth="1"/>
  </cols>
  <sheetData>
    <row r="1" spans="1:7" x14ac:dyDescent="0.25">
      <c r="A1" t="s">
        <v>22</v>
      </c>
      <c r="B1" t="s">
        <v>23</v>
      </c>
      <c r="C1" t="s">
        <v>24</v>
      </c>
      <c r="D1" t="s">
        <v>92</v>
      </c>
      <c r="E1" t="s">
        <v>63</v>
      </c>
      <c r="F1" s="1" t="s">
        <v>6</v>
      </c>
      <c r="G1" t="s">
        <v>47</v>
      </c>
    </row>
    <row r="2" spans="1:7" x14ac:dyDescent="0.25">
      <c r="A2" t="s">
        <v>267</v>
      </c>
      <c r="B2" s="5" t="str">
        <f ca="1">TEXT(NOW(),"YYYY-MM-DD")</f>
        <v>2026-08-21</v>
      </c>
      <c r="C2" s="5" t="str">
        <f ca="1">TEXT(NOW(),"YYYY-MM-DD")</f>
        <v>2026-08-21</v>
      </c>
      <c r="D2" s="5" t="s">
        <v>194</v>
      </c>
      <c r="E2" s="5" t="s">
        <v>80</v>
      </c>
      <c r="F2" s="6" t="s">
        <v>44</v>
      </c>
      <c r="G2" s="1" t="s">
        <v>48</v>
      </c>
    </row>
    <row r="3" spans="1:7" x14ac:dyDescent="0.25">
      <c r="B3" s="5"/>
      <c r="C3" s="5"/>
      <c r="D3" s="5"/>
      <c r="E3" s="5"/>
    </row>
    <row r="4" spans="1:7" x14ac:dyDescent="0.25">
      <c r="B4" s="5"/>
      <c r="C4" s="5"/>
      <c r="D4" s="5"/>
      <c r="E4" s="5"/>
    </row>
    <row r="5" spans="1:7" x14ac:dyDescent="0.25">
      <c r="B5" s="5"/>
      <c r="C5" s="5"/>
      <c r="D5" s="5"/>
      <c r="E5" s="5"/>
    </row>
    <row r="6" spans="1:7" x14ac:dyDescent="0.25">
      <c r="B6" s="5"/>
      <c r="C6" s="5"/>
      <c r="D6" s="5"/>
      <c r="E6" s="5"/>
    </row>
    <row r="7" spans="1:7" x14ac:dyDescent="0.25">
      <c r="B7" s="5"/>
      <c r="C7" s="5"/>
      <c r="D7" s="5"/>
      <c r="E7" s="5"/>
    </row>
    <row r="8" spans="1:7" x14ac:dyDescent="0.25">
      <c r="B8" s="5"/>
      <c r="C8" s="5"/>
      <c r="D8" s="5"/>
      <c r="E8" s="5"/>
    </row>
    <row r="9" spans="1:7" x14ac:dyDescent="0.25">
      <c r="B9" s="5"/>
      <c r="C9" s="5"/>
      <c r="D9" s="5"/>
      <c r="E9" s="5"/>
    </row>
    <row r="10" spans="1:7" x14ac:dyDescent="0.25">
      <c r="B10" s="5"/>
      <c r="C10" s="5"/>
      <c r="D10" s="5"/>
      <c r="E10" s="5"/>
    </row>
    <row r="11" spans="1:7" x14ac:dyDescent="0.25">
      <c r="B11" s="5"/>
      <c r="C11" s="5"/>
      <c r="D11" s="5"/>
      <c r="E11" s="5"/>
    </row>
    <row r="12" spans="1:7" x14ac:dyDescent="0.25">
      <c r="B12" s="5"/>
      <c r="C12" s="5"/>
      <c r="D12" s="5"/>
      <c r="E12" s="5"/>
    </row>
    <row r="13" spans="1:7" x14ac:dyDescent="0.25">
      <c r="B13" s="5"/>
      <c r="C13" s="5"/>
      <c r="D13" s="5"/>
      <c r="E13" s="5"/>
    </row>
    <row r="14" spans="1:7" x14ac:dyDescent="0.25">
      <c r="B14" s="5"/>
      <c r="C14" s="5"/>
      <c r="D14" s="5"/>
      <c r="E14" s="5"/>
    </row>
    <row r="15" spans="1:7" x14ac:dyDescent="0.25">
      <c r="B15" s="5"/>
      <c r="C15" s="5"/>
      <c r="D15" s="5"/>
      <c r="E15" s="5"/>
    </row>
    <row r="16" spans="1:7" x14ac:dyDescent="0.25">
      <c r="B16" s="5"/>
      <c r="C16" s="5"/>
      <c r="D16" s="5"/>
      <c r="E16" s="5"/>
    </row>
    <row r="17" spans="2:5" x14ac:dyDescent="0.25">
      <c r="B17" s="5"/>
      <c r="C17" s="5"/>
      <c r="D17" s="5"/>
      <c r="E17" s="5"/>
    </row>
    <row r="18" spans="2:5" x14ac:dyDescent="0.25">
      <c r="B18" s="5"/>
      <c r="C18" s="5"/>
      <c r="D18" s="5"/>
      <c r="E18" s="5"/>
    </row>
    <row r="19" spans="2:5" x14ac:dyDescent="0.25">
      <c r="B19" s="5"/>
      <c r="C19" s="5"/>
      <c r="D19" s="5"/>
      <c r="E19" s="5"/>
    </row>
    <row r="20" spans="2:5" x14ac:dyDescent="0.25">
      <c r="B20" s="5"/>
      <c r="C20" s="5"/>
      <c r="D20" s="5"/>
      <c r="E20" s="5"/>
    </row>
    <row r="21" spans="2:5" x14ac:dyDescent="0.25">
      <c r="B21" s="5"/>
      <c r="C21" s="5"/>
      <c r="D21" s="5"/>
      <c r="E21" s="5"/>
    </row>
    <row r="22" spans="2:5" x14ac:dyDescent="0.25">
      <c r="B22" s="5"/>
      <c r="C22" s="5"/>
      <c r="D22" s="5"/>
      <c r="E22" s="5"/>
    </row>
    <row r="23" spans="2:5" x14ac:dyDescent="0.25">
      <c r="B23" s="5"/>
      <c r="C23" s="5"/>
      <c r="D23" s="5"/>
      <c r="E23" s="5"/>
    </row>
    <row r="24" spans="2:5" x14ac:dyDescent="0.25">
      <c r="B24" s="5"/>
      <c r="C24" s="5"/>
      <c r="D24" s="5"/>
      <c r="E24" s="5"/>
    </row>
    <row r="25" spans="2:5" x14ac:dyDescent="0.25">
      <c r="B25" s="5"/>
      <c r="C25" s="5"/>
      <c r="D25" s="5"/>
      <c r="E25" s="5"/>
    </row>
    <row r="26" spans="2:5" x14ac:dyDescent="0.25">
      <c r="B26" s="5"/>
      <c r="C26" s="5"/>
      <c r="D26" s="5"/>
      <c r="E26" s="5"/>
    </row>
    <row r="27" spans="2:5" x14ac:dyDescent="0.25">
      <c r="B27" s="5"/>
      <c r="C27" s="5"/>
      <c r="D27" s="5"/>
      <c r="E27" s="5"/>
    </row>
    <row r="28" spans="2:5" x14ac:dyDescent="0.25">
      <c r="B28" s="5"/>
      <c r="C28" s="5"/>
      <c r="D28" s="5"/>
      <c r="E28" s="5"/>
    </row>
    <row r="29" spans="2:5" x14ac:dyDescent="0.25">
      <c r="B29" s="5"/>
      <c r="C29" s="5"/>
      <c r="D29" s="5"/>
      <c r="E29" s="5"/>
    </row>
    <row r="30" spans="2:5" x14ac:dyDescent="0.25">
      <c r="B30" s="5"/>
      <c r="C30" s="5"/>
      <c r="D30" s="5"/>
      <c r="E30" s="5"/>
    </row>
    <row r="31" spans="2:5" x14ac:dyDescent="0.25">
      <c r="B31" s="5"/>
      <c r="C31" s="5"/>
      <c r="D31" s="5"/>
      <c r="E31" s="5"/>
    </row>
    <row r="32" spans="2:5" x14ac:dyDescent="0.25">
      <c r="B32" s="5"/>
      <c r="C32" s="5"/>
      <c r="D32" s="5"/>
      <c r="E32" s="5"/>
    </row>
    <row r="33" spans="2:5" x14ac:dyDescent="0.25">
      <c r="B33" s="5"/>
      <c r="C33" s="5"/>
      <c r="D33" s="5"/>
      <c r="E33" s="5"/>
    </row>
    <row r="34" spans="2:5" x14ac:dyDescent="0.25">
      <c r="B34" s="5"/>
      <c r="C34" s="5"/>
      <c r="D34" s="5"/>
      <c r="E34" s="5"/>
    </row>
    <row r="35" spans="2:5" x14ac:dyDescent="0.25">
      <c r="B35" s="5"/>
      <c r="C35" s="5"/>
      <c r="D35" s="5"/>
      <c r="E35" s="5"/>
    </row>
    <row r="36" spans="2:5" x14ac:dyDescent="0.25">
      <c r="B36" s="5"/>
      <c r="C36" s="5"/>
      <c r="D36" s="5"/>
      <c r="E36" s="5"/>
    </row>
    <row r="37" spans="2:5" x14ac:dyDescent="0.25">
      <c r="B37" s="5"/>
      <c r="C37" s="5"/>
      <c r="D37" s="5"/>
      <c r="E37" s="5"/>
    </row>
    <row r="38" spans="2:5" x14ac:dyDescent="0.25">
      <c r="B38" s="5"/>
      <c r="C38" s="5"/>
      <c r="D38" s="5"/>
      <c r="E38" s="5"/>
    </row>
    <row r="39" spans="2:5" x14ac:dyDescent="0.25">
      <c r="B39" s="5"/>
      <c r="C39" s="5"/>
      <c r="D39" s="5"/>
      <c r="E39" s="5"/>
    </row>
    <row r="40" spans="2:5" x14ac:dyDescent="0.25">
      <c r="B40" s="5"/>
      <c r="C40" s="5"/>
      <c r="D40" s="5"/>
      <c r="E40" s="5"/>
    </row>
    <row r="41" spans="2:5" x14ac:dyDescent="0.25">
      <c r="B41" s="5"/>
      <c r="C41" s="5"/>
      <c r="D41" s="5"/>
      <c r="E41" s="5"/>
    </row>
    <row r="42" spans="2:5" x14ac:dyDescent="0.25">
      <c r="B42" s="5"/>
      <c r="C42" s="5"/>
      <c r="D42" s="5"/>
      <c r="E42" s="5"/>
    </row>
    <row r="43" spans="2:5" x14ac:dyDescent="0.25">
      <c r="B43" s="5"/>
      <c r="C43" s="5"/>
      <c r="D43" s="5"/>
      <c r="E43" s="5"/>
    </row>
    <row r="44" spans="2:5" x14ac:dyDescent="0.25">
      <c r="B44" s="5"/>
      <c r="C44" s="5"/>
      <c r="D44" s="5"/>
      <c r="E44" s="5"/>
    </row>
    <row r="45" spans="2:5" x14ac:dyDescent="0.25">
      <c r="B45" s="5"/>
      <c r="C45" s="5"/>
      <c r="D45" s="5"/>
      <c r="E45" s="5"/>
    </row>
    <row r="46" spans="2:5" x14ac:dyDescent="0.25">
      <c r="B46" s="5"/>
      <c r="C46" s="5"/>
      <c r="D46" s="5"/>
      <c r="E46" s="5"/>
    </row>
    <row r="47" spans="2:5" x14ac:dyDescent="0.25">
      <c r="B47" s="5"/>
      <c r="C47" s="5"/>
      <c r="D47" s="5"/>
      <c r="E47" s="5"/>
    </row>
    <row r="48" spans="2:5" x14ac:dyDescent="0.25">
      <c r="B48" s="5"/>
      <c r="C48" s="5"/>
      <c r="D48" s="5"/>
      <c r="E48" s="5"/>
    </row>
    <row r="49" spans="2:5" x14ac:dyDescent="0.25">
      <c r="B49" s="5"/>
      <c r="C49" s="5"/>
      <c r="D49" s="5"/>
      <c r="E49" s="5"/>
    </row>
    <row r="50" spans="2:5" x14ac:dyDescent="0.25">
      <c r="B50" s="5"/>
      <c r="C50" s="5"/>
      <c r="D50" s="5"/>
      <c r="E50" s="5"/>
    </row>
    <row r="51" spans="2:5" x14ac:dyDescent="0.25">
      <c r="B51" s="5"/>
      <c r="C51" s="5"/>
      <c r="D51" s="5"/>
      <c r="E51" s="5"/>
    </row>
    <row r="52" spans="2:5" x14ac:dyDescent="0.25">
      <c r="B52" s="5"/>
      <c r="C52" s="5"/>
      <c r="D52" s="5"/>
      <c r="E52" s="5"/>
    </row>
    <row r="53" spans="2:5" x14ac:dyDescent="0.25">
      <c r="B53" s="5"/>
      <c r="C53" s="5"/>
      <c r="D53" s="5"/>
      <c r="E53" s="5"/>
    </row>
    <row r="54" spans="2:5" x14ac:dyDescent="0.25">
      <c r="B54" s="5"/>
      <c r="C54" s="5"/>
      <c r="D54" s="5"/>
      <c r="E54" s="5"/>
    </row>
    <row r="55" spans="2:5" x14ac:dyDescent="0.25">
      <c r="B55" s="5"/>
      <c r="C55" s="5"/>
      <c r="D55" s="5"/>
      <c r="E55" s="5"/>
    </row>
    <row r="56" spans="2:5" x14ac:dyDescent="0.25">
      <c r="B56" s="5"/>
      <c r="C56" s="5"/>
      <c r="D56" s="5"/>
      <c r="E56" s="5"/>
    </row>
    <row r="57" spans="2:5" x14ac:dyDescent="0.25">
      <c r="B57" s="5"/>
      <c r="C57" s="5"/>
      <c r="D57" s="5"/>
      <c r="E57" s="5"/>
    </row>
    <row r="58" spans="2:5" x14ac:dyDescent="0.25">
      <c r="B58" s="5"/>
      <c r="C58" s="5"/>
      <c r="D58" s="5"/>
      <c r="E58" s="5"/>
    </row>
    <row r="59" spans="2:5" x14ac:dyDescent="0.25">
      <c r="B59" s="5"/>
      <c r="C59" s="5"/>
      <c r="D59" s="5"/>
      <c r="E59" s="5"/>
    </row>
    <row r="60" spans="2:5" x14ac:dyDescent="0.25">
      <c r="B60" s="5"/>
      <c r="C60" s="5"/>
      <c r="D60" s="5"/>
      <c r="E60" s="5"/>
    </row>
    <row r="61" spans="2:5" x14ac:dyDescent="0.25">
      <c r="B61" s="5"/>
      <c r="C61" s="5"/>
      <c r="D61" s="5"/>
      <c r="E61" s="5"/>
    </row>
    <row r="62" spans="2:5" x14ac:dyDescent="0.25">
      <c r="B62" s="5"/>
      <c r="C62" s="5"/>
      <c r="D62" s="5"/>
      <c r="E62" s="5"/>
    </row>
    <row r="63" spans="2:5" x14ac:dyDescent="0.25">
      <c r="B63" s="5"/>
      <c r="C63" s="5"/>
      <c r="D63" s="5"/>
      <c r="E63" s="5"/>
    </row>
    <row r="64" spans="2:5" x14ac:dyDescent="0.25">
      <c r="B64" s="5"/>
      <c r="C64" s="5"/>
      <c r="D64" s="5"/>
      <c r="E64" s="5"/>
    </row>
    <row r="65" spans="2:5" x14ac:dyDescent="0.25">
      <c r="B65" s="5"/>
      <c r="C65" s="5"/>
      <c r="D65" s="5"/>
      <c r="E65" s="5"/>
    </row>
    <row r="66" spans="2:5" x14ac:dyDescent="0.25">
      <c r="B66" s="5"/>
      <c r="C66" s="5"/>
      <c r="D66" s="5"/>
      <c r="E66" s="5"/>
    </row>
    <row r="67" spans="2:5" x14ac:dyDescent="0.25">
      <c r="B67" s="5"/>
      <c r="C67" s="5"/>
      <c r="D67" s="5"/>
      <c r="E67" s="5"/>
    </row>
    <row r="68" spans="2:5" x14ac:dyDescent="0.25">
      <c r="B68" s="5"/>
      <c r="C68" s="5"/>
      <c r="D68" s="5"/>
      <c r="E68" s="5"/>
    </row>
    <row r="69" spans="2:5" x14ac:dyDescent="0.25">
      <c r="B69" s="5"/>
      <c r="C69" s="5"/>
      <c r="D69" s="5"/>
      <c r="E69" s="5"/>
    </row>
    <row r="70" spans="2:5" x14ac:dyDescent="0.25">
      <c r="B70" s="5"/>
      <c r="C70" s="5"/>
      <c r="D70" s="5"/>
      <c r="E70" s="5"/>
    </row>
    <row r="71" spans="2:5" x14ac:dyDescent="0.25">
      <c r="B71" s="5"/>
      <c r="C71" s="5"/>
      <c r="D71" s="5"/>
      <c r="E71" s="5"/>
    </row>
    <row r="72" spans="2:5" x14ac:dyDescent="0.25">
      <c r="B72" s="5"/>
      <c r="C72" s="5"/>
      <c r="D72" s="5"/>
      <c r="E72" s="5"/>
    </row>
    <row r="73" spans="2:5" x14ac:dyDescent="0.25">
      <c r="B73" s="5"/>
      <c r="C73" s="5"/>
      <c r="D73" s="5"/>
      <c r="E73" s="5"/>
    </row>
    <row r="74" spans="2:5" x14ac:dyDescent="0.25">
      <c r="B74" s="5"/>
      <c r="C74" s="5"/>
      <c r="D74" s="5"/>
      <c r="E74" s="5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K1" sqref="K1:K2"/>
    </sheetView>
  </sheetViews>
  <sheetFormatPr defaultRowHeight="15" x14ac:dyDescent="0.25"/>
  <cols>
    <col min="2" max="2" width="24.42578125" bestFit="1" customWidth="1"/>
    <col min="3" max="3" width="10.28515625" bestFit="1" customWidth="1"/>
    <col min="4" max="5" width="13.5703125" bestFit="1" customWidth="1"/>
    <col min="6" max="7" width="12.42578125" bestFit="1" customWidth="1"/>
    <col min="8" max="8" width="19" bestFit="1" customWidth="1"/>
    <col min="9" max="9" width="10.5703125" bestFit="1" customWidth="1"/>
    <col min="10" max="10" width="19.28515625" bestFit="1" customWidth="1"/>
    <col min="11" max="11" width="20.28515625" bestFit="1" customWidth="1"/>
  </cols>
  <sheetData>
    <row r="1" spans="1:11" x14ac:dyDescent="0.25">
      <c r="A1" s="8" t="s">
        <v>6</v>
      </c>
      <c r="B1" s="8" t="s">
        <v>135</v>
      </c>
      <c r="C1" s="8" t="s">
        <v>47</v>
      </c>
      <c r="D1" s="8" t="s">
        <v>98</v>
      </c>
      <c r="E1" s="8" t="s">
        <v>99</v>
      </c>
      <c r="F1" s="8" t="s">
        <v>100</v>
      </c>
      <c r="G1" s="8" t="s">
        <v>101</v>
      </c>
      <c r="H1" s="16" t="s">
        <v>225</v>
      </c>
      <c r="I1" s="15" t="s">
        <v>130</v>
      </c>
      <c r="J1" s="2" t="s">
        <v>129</v>
      </c>
      <c r="K1" s="15" t="s">
        <v>63</v>
      </c>
    </row>
    <row r="2" spans="1:11" x14ac:dyDescent="0.25">
      <c r="A2" s="8" t="s">
        <v>81</v>
      </c>
      <c r="B2" s="6" t="s">
        <v>385</v>
      </c>
      <c r="C2" s="8" t="s">
        <v>48</v>
      </c>
      <c r="D2" s="14" t="s">
        <v>386</v>
      </c>
      <c r="E2" s="14" t="s">
        <v>406</v>
      </c>
      <c r="F2" s="8" t="s">
        <v>407</v>
      </c>
      <c r="G2" s="14" t="s">
        <v>408</v>
      </c>
      <c r="H2" s="16" t="s">
        <v>216</v>
      </c>
      <c r="I2" s="15" t="s">
        <v>131</v>
      </c>
      <c r="J2" s="15"/>
      <c r="K2" s="5" t="s">
        <v>80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11" sqref="D11"/>
    </sheetView>
  </sheetViews>
  <sheetFormatPr defaultRowHeight="15" x14ac:dyDescent="0.25"/>
  <cols>
    <col min="1" max="1" width="9.85546875" style="15" customWidth="1"/>
    <col min="2" max="2" width="21.85546875" style="15" bestFit="1" customWidth="1"/>
    <col min="3" max="3" width="19.28515625" style="15" bestFit="1" customWidth="1"/>
    <col min="4" max="4" width="10.5703125" style="15" bestFit="1" customWidth="1"/>
    <col min="5" max="16384" width="9.140625" style="15"/>
  </cols>
  <sheetData>
    <row r="1" spans="1:4" x14ac:dyDescent="0.25">
      <c r="A1" s="16" t="s">
        <v>6</v>
      </c>
      <c r="B1" s="16" t="s">
        <v>135</v>
      </c>
      <c r="C1" s="15" t="s">
        <v>129</v>
      </c>
      <c r="D1" s="16" t="s">
        <v>130</v>
      </c>
    </row>
    <row r="2" spans="1:4" x14ac:dyDescent="0.25">
      <c r="A2" s="17" t="s">
        <v>44</v>
      </c>
      <c r="B2" s="17" t="s">
        <v>184</v>
      </c>
      <c r="C2" s="16" t="s">
        <v>197</v>
      </c>
      <c r="D2" s="15" t="s">
        <v>131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D1" sqref="D1:G2"/>
    </sheetView>
  </sheetViews>
  <sheetFormatPr defaultRowHeight="15" x14ac:dyDescent="0.25"/>
  <cols>
    <col min="1" max="1" width="21" bestFit="1" customWidth="1"/>
    <col min="2" max="3" width="10.42578125" style="5" bestFit="1" customWidth="1"/>
    <col min="5" max="5" width="20.28515625" bestFit="1" customWidth="1"/>
    <col min="6" max="6" width="10.28515625" bestFit="1" customWidth="1"/>
  </cols>
  <sheetData>
    <row r="1" spans="1:14" x14ac:dyDescent="0.25">
      <c r="A1" s="15" t="s">
        <v>22</v>
      </c>
      <c r="B1" s="5" t="s">
        <v>23</v>
      </c>
      <c r="C1" s="5" t="s">
        <v>24</v>
      </c>
      <c r="D1" s="8" t="s">
        <v>98</v>
      </c>
      <c r="E1" s="8" t="s">
        <v>99</v>
      </c>
      <c r="F1" s="8" t="s">
        <v>100</v>
      </c>
      <c r="G1" s="8" t="s">
        <v>101</v>
      </c>
      <c r="H1" s="16" t="s">
        <v>6</v>
      </c>
      <c r="I1" s="16" t="s">
        <v>135</v>
      </c>
      <c r="J1" s="15" t="s">
        <v>47</v>
      </c>
      <c r="K1" s="16" t="s">
        <v>225</v>
      </c>
      <c r="L1" s="15" t="s">
        <v>130</v>
      </c>
      <c r="M1" s="2" t="s">
        <v>129</v>
      </c>
      <c r="N1" s="15" t="s">
        <v>63</v>
      </c>
    </row>
    <row r="2" spans="1:14" x14ac:dyDescent="0.25">
      <c r="A2" s="15" t="s">
        <v>445</v>
      </c>
      <c r="B2" s="5" t="str">
        <f ca="1">TEXT(NOW(),"YYYY-MM-DD")</f>
        <v>2026-08-21</v>
      </c>
      <c r="C2" s="5" t="str">
        <f ca="1">TEXT(NOW(),"YYYY-MM-DD")</f>
        <v>2026-08-21</v>
      </c>
      <c r="D2" s="14" t="s">
        <v>441</v>
      </c>
      <c r="E2" s="14" t="s">
        <v>442</v>
      </c>
      <c r="F2" s="8" t="s">
        <v>443</v>
      </c>
      <c r="G2" s="14" t="s">
        <v>444</v>
      </c>
      <c r="H2" s="6" t="s">
        <v>44</v>
      </c>
      <c r="I2" s="17" t="s">
        <v>446</v>
      </c>
      <c r="J2" s="16" t="s">
        <v>48</v>
      </c>
      <c r="K2" s="16" t="s">
        <v>216</v>
      </c>
      <c r="L2" s="15" t="s">
        <v>131</v>
      </c>
      <c r="M2" s="15"/>
      <c r="N2" s="5" t="s">
        <v>80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1" width="9.85546875" style="15" customWidth="1"/>
    <col min="2" max="2" width="21.85546875" style="15" bestFit="1" customWidth="1"/>
    <col min="3" max="3" width="19.28515625" style="15" bestFit="1" customWidth="1"/>
    <col min="4" max="4" width="10.5703125" style="15" bestFit="1" customWidth="1"/>
    <col min="5" max="16384" width="9.140625" style="15"/>
  </cols>
  <sheetData>
    <row r="1" spans="1:4" x14ac:dyDescent="0.25">
      <c r="A1" s="16" t="s">
        <v>6</v>
      </c>
      <c r="B1" s="16" t="s">
        <v>135</v>
      </c>
      <c r="C1" s="15" t="s">
        <v>129</v>
      </c>
      <c r="D1" s="16" t="s">
        <v>130</v>
      </c>
    </row>
    <row r="2" spans="1:4" x14ac:dyDescent="0.25">
      <c r="A2" s="17" t="s">
        <v>44</v>
      </c>
      <c r="B2" s="17" t="s">
        <v>202</v>
      </c>
      <c r="C2" s="16" t="s">
        <v>197</v>
      </c>
      <c r="D2" s="15" t="s">
        <v>131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J24" sqref="J24"/>
    </sheetView>
  </sheetViews>
  <sheetFormatPr defaultRowHeight="15" x14ac:dyDescent="0.25"/>
  <cols>
    <col min="1" max="1" width="22" bestFit="1" customWidth="1"/>
    <col min="2" max="2" width="18" bestFit="1" customWidth="1"/>
    <col min="3" max="3" width="31.140625" bestFit="1" customWidth="1"/>
    <col min="4" max="4" width="16" bestFit="1" customWidth="1"/>
  </cols>
  <sheetData>
    <row r="1" spans="1:6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6</v>
      </c>
      <c r="F1" t="s">
        <v>47</v>
      </c>
    </row>
    <row r="2" spans="1:6" x14ac:dyDescent="0.25">
      <c r="A2" s="1" t="s">
        <v>267</v>
      </c>
      <c r="B2" s="1" t="s">
        <v>18</v>
      </c>
      <c r="C2" s="1" t="s">
        <v>111</v>
      </c>
      <c r="D2" s="1" t="s">
        <v>19</v>
      </c>
      <c r="E2" s="6" t="s">
        <v>44</v>
      </c>
      <c r="F2" s="1" t="s">
        <v>48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D29" sqref="D29"/>
    </sheetView>
  </sheetViews>
  <sheetFormatPr defaultRowHeight="15" x14ac:dyDescent="0.25"/>
  <cols>
    <col min="4" max="4" width="33.42578125" bestFit="1" customWidth="1"/>
    <col min="6" max="6" width="10.5703125" bestFit="1" customWidth="1"/>
  </cols>
  <sheetData>
    <row r="1" spans="1:6" x14ac:dyDescent="0.25">
      <c r="A1" s="1" t="s">
        <v>41</v>
      </c>
      <c r="B1" s="1" t="s">
        <v>26</v>
      </c>
      <c r="C1" s="1" t="s">
        <v>6</v>
      </c>
      <c r="D1" s="2" t="s">
        <v>135</v>
      </c>
      <c r="E1" t="s">
        <v>47</v>
      </c>
      <c r="F1" s="15" t="s">
        <v>130</v>
      </c>
    </row>
    <row r="2" spans="1:6" x14ac:dyDescent="0.25">
      <c r="A2" s="6" t="s">
        <v>85</v>
      </c>
      <c r="B2" s="6" t="s">
        <v>42</v>
      </c>
      <c r="C2" s="6" t="s">
        <v>81</v>
      </c>
      <c r="D2" s="8" t="s">
        <v>300</v>
      </c>
      <c r="E2" s="1" t="s">
        <v>48</v>
      </c>
      <c r="F2" s="15" t="s">
        <v>131</v>
      </c>
    </row>
    <row r="3" spans="1:6" x14ac:dyDescent="0.25">
      <c r="A3" s="6" t="s">
        <v>85</v>
      </c>
      <c r="B3" s="16" t="s">
        <v>10</v>
      </c>
      <c r="C3" s="6" t="s">
        <v>82</v>
      </c>
      <c r="D3" s="8" t="s">
        <v>301</v>
      </c>
      <c r="E3" s="16" t="s">
        <v>48</v>
      </c>
      <c r="F3" s="15" t="s">
        <v>131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opLeftCell="B1" workbookViewId="0">
      <selection activeCell="E6" sqref="E6"/>
    </sheetView>
  </sheetViews>
  <sheetFormatPr defaultRowHeight="15" x14ac:dyDescent="0.25"/>
  <cols>
    <col min="2" max="2" width="36.140625" bestFit="1" customWidth="1"/>
    <col min="3" max="3" width="10.28515625" bestFit="1" customWidth="1"/>
    <col min="4" max="4" width="13.5703125" bestFit="1" customWidth="1"/>
    <col min="5" max="5" width="19" bestFit="1" customWidth="1"/>
    <col min="7" max="7" width="19.28515625" bestFit="1" customWidth="1"/>
  </cols>
  <sheetData>
    <row r="1" spans="1:7" x14ac:dyDescent="0.25">
      <c r="A1" s="8" t="s">
        <v>6</v>
      </c>
      <c r="B1" s="8" t="s">
        <v>135</v>
      </c>
      <c r="C1" s="8" t="s">
        <v>47</v>
      </c>
      <c r="D1" s="6" t="s">
        <v>390</v>
      </c>
      <c r="E1" s="16" t="s">
        <v>225</v>
      </c>
      <c r="F1" s="15" t="s">
        <v>130</v>
      </c>
      <c r="G1" s="2" t="s">
        <v>129</v>
      </c>
    </row>
    <row r="2" spans="1:7" x14ac:dyDescent="0.25">
      <c r="A2" s="8" t="s">
        <v>44</v>
      </c>
      <c r="B2" s="6" t="s">
        <v>389</v>
      </c>
      <c r="C2" s="8" t="s">
        <v>48</v>
      </c>
      <c r="D2" s="14" t="s">
        <v>391</v>
      </c>
      <c r="E2" s="16" t="s">
        <v>216</v>
      </c>
      <c r="F2" s="15" t="s">
        <v>131</v>
      </c>
      <c r="G2" s="15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1" width="9.85546875" style="15" customWidth="1"/>
    <col min="2" max="2" width="30.140625" style="15" bestFit="1" customWidth="1"/>
    <col min="3" max="3" width="19.28515625" style="15" bestFit="1" customWidth="1"/>
    <col min="4" max="4" width="10.5703125" style="15" bestFit="1" customWidth="1"/>
    <col min="5" max="16384" width="9.140625" style="15"/>
  </cols>
  <sheetData>
    <row r="1" spans="1:4" x14ac:dyDescent="0.25">
      <c r="A1" s="16" t="s">
        <v>6</v>
      </c>
      <c r="B1" s="16" t="s">
        <v>135</v>
      </c>
      <c r="C1" s="15" t="s">
        <v>129</v>
      </c>
      <c r="D1" s="16" t="s">
        <v>130</v>
      </c>
    </row>
    <row r="2" spans="1:4" x14ac:dyDescent="0.25">
      <c r="A2" s="17" t="s">
        <v>44</v>
      </c>
      <c r="B2" s="17" t="s">
        <v>204</v>
      </c>
      <c r="C2" s="16" t="s">
        <v>195</v>
      </c>
      <c r="D2" s="15" t="s">
        <v>131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J24" sqref="J24"/>
    </sheetView>
  </sheetViews>
  <sheetFormatPr defaultRowHeight="15" x14ac:dyDescent="0.25"/>
  <cols>
    <col min="1" max="1" width="20.28515625" bestFit="1" customWidth="1"/>
  </cols>
  <sheetData>
    <row r="1" spans="1:2" x14ac:dyDescent="0.25">
      <c r="A1" t="s">
        <v>63</v>
      </c>
      <c r="B1" t="s">
        <v>6</v>
      </c>
    </row>
    <row r="2" spans="1:2" x14ac:dyDescent="0.25">
      <c r="A2" t="s">
        <v>80</v>
      </c>
      <c r="B2" s="8" t="s">
        <v>44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1" width="9.85546875" style="15" customWidth="1"/>
    <col min="2" max="2" width="30.140625" style="15" bestFit="1" customWidth="1"/>
    <col min="3" max="3" width="19.28515625" style="15" bestFit="1" customWidth="1"/>
    <col min="4" max="4" width="10.5703125" style="15" bestFit="1" customWidth="1"/>
    <col min="5" max="16384" width="9.140625" style="15"/>
  </cols>
  <sheetData>
    <row r="1" spans="1:4" x14ac:dyDescent="0.25">
      <c r="A1" s="16" t="s">
        <v>6</v>
      </c>
      <c r="B1" s="16" t="s">
        <v>135</v>
      </c>
      <c r="C1" s="15" t="s">
        <v>129</v>
      </c>
      <c r="D1" s="16" t="s">
        <v>130</v>
      </c>
    </row>
    <row r="2" spans="1:4" x14ac:dyDescent="0.25">
      <c r="A2" s="17" t="s">
        <v>44</v>
      </c>
      <c r="B2" s="17" t="s">
        <v>208</v>
      </c>
      <c r="C2" s="18" t="s">
        <v>134</v>
      </c>
      <c r="D2" s="15" t="s">
        <v>131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J24" sqref="J24"/>
    </sheetView>
  </sheetViews>
  <sheetFormatPr defaultRowHeight="15" x14ac:dyDescent="0.25"/>
  <cols>
    <col min="1" max="1" width="20.28515625" style="15" bestFit="1" customWidth="1"/>
    <col min="2" max="16384" width="9.140625" style="15"/>
  </cols>
  <sheetData>
    <row r="1" spans="1:3" x14ac:dyDescent="0.25">
      <c r="A1" s="15" t="s">
        <v>63</v>
      </c>
      <c r="B1" s="15" t="s">
        <v>47</v>
      </c>
      <c r="C1" s="15" t="s">
        <v>6</v>
      </c>
    </row>
    <row r="2" spans="1:3" x14ac:dyDescent="0.25">
      <c r="A2" s="15" t="s">
        <v>80</v>
      </c>
      <c r="B2" s="16" t="s">
        <v>48</v>
      </c>
      <c r="C2" s="8" t="s">
        <v>44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1" width="9.85546875" style="15" customWidth="1"/>
    <col min="2" max="2" width="30.140625" style="15" bestFit="1" customWidth="1"/>
    <col min="3" max="3" width="19.28515625" style="15" bestFit="1" customWidth="1"/>
    <col min="4" max="4" width="10.5703125" style="15" bestFit="1" customWidth="1"/>
    <col min="5" max="16384" width="9.140625" style="15"/>
  </cols>
  <sheetData>
    <row r="1" spans="1:4" x14ac:dyDescent="0.25">
      <c r="A1" s="16" t="s">
        <v>6</v>
      </c>
      <c r="B1" s="16" t="s">
        <v>135</v>
      </c>
      <c r="C1" s="15" t="s">
        <v>129</v>
      </c>
      <c r="D1" s="16" t="s">
        <v>130</v>
      </c>
    </row>
    <row r="2" spans="1:4" x14ac:dyDescent="0.25">
      <c r="A2" s="17" t="s">
        <v>44</v>
      </c>
      <c r="B2" s="17" t="s">
        <v>209</v>
      </c>
      <c r="C2" s="18" t="s">
        <v>134</v>
      </c>
      <c r="D2" s="15" t="s">
        <v>131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2" sqref="A2"/>
    </sheetView>
  </sheetViews>
  <sheetFormatPr defaultRowHeight="15" x14ac:dyDescent="0.25"/>
  <cols>
    <col min="1" max="1" width="34.140625" bestFit="1" customWidth="1"/>
    <col min="2" max="2" width="10.5703125" bestFit="1" customWidth="1"/>
  </cols>
  <sheetData>
    <row r="1" spans="1:3" x14ac:dyDescent="0.25">
      <c r="A1" s="16" t="s">
        <v>326</v>
      </c>
      <c r="B1" s="16" t="s">
        <v>328</v>
      </c>
      <c r="C1" t="s">
        <v>6</v>
      </c>
    </row>
    <row r="2" spans="1:3" x14ac:dyDescent="0.25">
      <c r="A2" s="16" t="s">
        <v>327</v>
      </c>
      <c r="B2" s="6" t="s">
        <v>262</v>
      </c>
      <c r="C2" s="8" t="s">
        <v>44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J24" sqref="J24"/>
    </sheetView>
  </sheetViews>
  <sheetFormatPr defaultRowHeight="15" x14ac:dyDescent="0.25"/>
  <cols>
    <col min="1" max="1" width="22.140625" bestFit="1" customWidth="1"/>
    <col min="2" max="2" width="12" customWidth="1"/>
    <col min="3" max="3" width="20.85546875" bestFit="1" customWidth="1"/>
    <col min="4" max="4" width="14.5703125" bestFit="1" customWidth="1"/>
    <col min="5" max="5" width="15.5703125" bestFit="1" customWidth="1"/>
    <col min="7" max="7" width="20" bestFit="1" customWidth="1"/>
    <col min="8" max="8" width="19.28515625" bestFit="1" customWidth="1"/>
  </cols>
  <sheetData>
    <row r="1" spans="1:10" x14ac:dyDescent="0.25">
      <c r="A1" s="1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6</v>
      </c>
      <c r="G1" s="16" t="s">
        <v>135</v>
      </c>
      <c r="H1" s="15" t="s">
        <v>129</v>
      </c>
      <c r="I1" s="15" t="s">
        <v>130</v>
      </c>
      <c r="J1" s="15" t="s">
        <v>47</v>
      </c>
    </row>
    <row r="2" spans="1:10" x14ac:dyDescent="0.25">
      <c r="A2" s="1" t="s">
        <v>270</v>
      </c>
      <c r="B2" s="16" t="s">
        <v>227</v>
      </c>
      <c r="C2" s="16" t="s">
        <v>287</v>
      </c>
      <c r="D2" s="16" t="s">
        <v>288</v>
      </c>
      <c r="E2" s="16" t="s">
        <v>281</v>
      </c>
      <c r="F2" s="6" t="s">
        <v>44</v>
      </c>
      <c r="G2" s="17" t="s">
        <v>272</v>
      </c>
      <c r="H2" s="15" t="s">
        <v>133</v>
      </c>
      <c r="I2" s="15" t="s">
        <v>131</v>
      </c>
      <c r="J2" s="16" t="s">
        <v>48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J24" sqref="J24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20.85546875" bestFit="1" customWidth="1"/>
    <col min="4" max="4" width="11.85546875" bestFit="1" customWidth="1"/>
    <col min="6" max="6" width="24.140625" bestFit="1" customWidth="1"/>
    <col min="7" max="7" width="19.28515625" bestFit="1" customWidth="1"/>
    <col min="8" max="8" width="10.28515625" bestFit="1" customWidth="1"/>
    <col min="9" max="9" width="21.7109375" bestFit="1" customWidth="1"/>
    <col min="10" max="10" width="10.85546875" customWidth="1"/>
  </cols>
  <sheetData>
    <row r="1" spans="1:9" x14ac:dyDescent="0.25">
      <c r="A1" s="16" t="s">
        <v>276</v>
      </c>
      <c r="B1" s="16" t="s">
        <v>34</v>
      </c>
      <c r="C1" s="16" t="s">
        <v>30</v>
      </c>
      <c r="D1" s="16" t="s">
        <v>101</v>
      </c>
      <c r="E1" s="16" t="s">
        <v>6</v>
      </c>
      <c r="F1" s="16" t="s">
        <v>135</v>
      </c>
      <c r="G1" s="15" t="s">
        <v>129</v>
      </c>
      <c r="H1" s="16" t="s">
        <v>47</v>
      </c>
      <c r="I1" s="15" t="s">
        <v>65</v>
      </c>
    </row>
    <row r="2" spans="1:9" x14ac:dyDescent="0.25">
      <c r="A2" s="16" t="s">
        <v>277</v>
      </c>
      <c r="B2" s="20" t="str">
        <f ca="1">TEXT(NOW(), "mm/dd/yyyy")</f>
        <v>08/21/2026</v>
      </c>
      <c r="C2" s="16" t="s">
        <v>296</v>
      </c>
      <c r="D2" s="6" t="s">
        <v>303</v>
      </c>
      <c r="E2" s="16" t="s">
        <v>81</v>
      </c>
      <c r="F2" s="17" t="s">
        <v>204</v>
      </c>
      <c r="G2" s="16" t="s">
        <v>133</v>
      </c>
      <c r="H2" s="16" t="s">
        <v>48</v>
      </c>
      <c r="I2" s="15" t="s">
        <v>307</v>
      </c>
    </row>
    <row r="3" spans="1:9" x14ac:dyDescent="0.25">
      <c r="A3" s="16" t="s">
        <v>279</v>
      </c>
      <c r="B3" s="20" t="str">
        <f t="shared" ref="B3:B5" ca="1" si="0">TEXT(NOW(), "mm/dd/yyyy")</f>
        <v>08/21/2026</v>
      </c>
      <c r="C3" s="16" t="s">
        <v>296</v>
      </c>
      <c r="D3" s="6" t="s">
        <v>303</v>
      </c>
      <c r="E3" s="16" t="s">
        <v>82</v>
      </c>
      <c r="F3" s="16"/>
      <c r="G3" s="16"/>
      <c r="H3" s="16" t="s">
        <v>48</v>
      </c>
      <c r="I3" s="15" t="s">
        <v>307</v>
      </c>
    </row>
    <row r="4" spans="1:9" x14ac:dyDescent="0.25">
      <c r="A4" s="16" t="s">
        <v>280</v>
      </c>
      <c r="B4" s="20" t="str">
        <f t="shared" ca="1" si="0"/>
        <v>08/21/2026</v>
      </c>
      <c r="C4" s="16" t="s">
        <v>296</v>
      </c>
      <c r="D4" s="6" t="s">
        <v>303</v>
      </c>
      <c r="E4" s="16" t="s">
        <v>282</v>
      </c>
      <c r="F4" s="16"/>
      <c r="G4" s="16"/>
      <c r="H4" s="16" t="s">
        <v>48</v>
      </c>
      <c r="I4" s="15" t="s">
        <v>307</v>
      </c>
    </row>
    <row r="5" spans="1:9" x14ac:dyDescent="0.25">
      <c r="A5" s="16" t="s">
        <v>36</v>
      </c>
      <c r="B5" s="20" t="str">
        <f t="shared" ca="1" si="0"/>
        <v>08/21/2026</v>
      </c>
      <c r="C5" s="16" t="s">
        <v>296</v>
      </c>
      <c r="D5" s="6" t="s">
        <v>303</v>
      </c>
      <c r="E5" s="16" t="s">
        <v>283</v>
      </c>
      <c r="F5" s="16"/>
      <c r="G5" s="16"/>
      <c r="H5" s="16" t="s">
        <v>48</v>
      </c>
      <c r="I5" s="15" t="s">
        <v>307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1" width="9.85546875" style="15" customWidth="1"/>
    <col min="2" max="2" width="30.140625" style="15" bestFit="1" customWidth="1"/>
    <col min="3" max="3" width="19.28515625" style="15" bestFit="1" customWidth="1"/>
    <col min="4" max="4" width="10.5703125" style="15" bestFit="1" customWidth="1"/>
    <col min="5" max="16384" width="9.140625" style="15"/>
  </cols>
  <sheetData>
    <row r="1" spans="1:4" x14ac:dyDescent="0.25">
      <c r="A1" s="16" t="s">
        <v>6</v>
      </c>
      <c r="B1" s="16" t="s">
        <v>135</v>
      </c>
      <c r="C1" s="15" t="s">
        <v>129</v>
      </c>
      <c r="D1" s="16" t="s">
        <v>130</v>
      </c>
    </row>
    <row r="2" spans="1:4" x14ac:dyDescent="0.25">
      <c r="A2" s="17" t="s">
        <v>44</v>
      </c>
      <c r="B2" s="17" t="s">
        <v>204</v>
      </c>
      <c r="C2" s="16" t="s">
        <v>133</v>
      </c>
      <c r="D2" s="15" t="s">
        <v>131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J24" sqref="J24"/>
    </sheetView>
  </sheetViews>
  <sheetFormatPr defaultRowHeight="15" x14ac:dyDescent="0.25"/>
  <cols>
    <col min="1" max="1" width="22" bestFit="1" customWidth="1"/>
    <col min="5" max="5" width="20" bestFit="1" customWidth="1"/>
    <col min="6" max="6" width="19.28515625" bestFit="1" customWidth="1"/>
  </cols>
  <sheetData>
    <row r="1" spans="1:8" x14ac:dyDescent="0.25">
      <c r="A1" s="16" t="s">
        <v>28</v>
      </c>
      <c r="B1" s="16" t="s">
        <v>29</v>
      </c>
      <c r="C1" s="16" t="s">
        <v>32</v>
      </c>
      <c r="D1" s="16" t="s">
        <v>6</v>
      </c>
      <c r="E1" s="16" t="s">
        <v>135</v>
      </c>
      <c r="F1" s="15" t="s">
        <v>129</v>
      </c>
      <c r="G1" s="15" t="s">
        <v>130</v>
      </c>
      <c r="H1" s="15" t="s">
        <v>47</v>
      </c>
    </row>
    <row r="2" spans="1:8" x14ac:dyDescent="0.25">
      <c r="A2" s="16" t="s">
        <v>270</v>
      </c>
      <c r="B2" s="16" t="s">
        <v>274</v>
      </c>
      <c r="C2" s="16" t="s">
        <v>275</v>
      </c>
      <c r="D2" s="6" t="s">
        <v>44</v>
      </c>
      <c r="E2" s="17" t="s">
        <v>272</v>
      </c>
      <c r="F2" s="15" t="s">
        <v>133</v>
      </c>
      <c r="G2" s="15" t="s">
        <v>131</v>
      </c>
      <c r="H2" s="16" t="s">
        <v>48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1" width="15.5703125" bestFit="1" customWidth="1"/>
    <col min="3" max="3" width="10.28515625" bestFit="1" customWidth="1"/>
    <col min="4" max="4" width="11" bestFit="1" customWidth="1"/>
  </cols>
  <sheetData>
    <row r="1" spans="1:4" x14ac:dyDescent="0.25">
      <c r="A1" s="16" t="s">
        <v>32</v>
      </c>
      <c r="B1" s="16" t="s">
        <v>6</v>
      </c>
      <c r="C1" s="15" t="s">
        <v>47</v>
      </c>
      <c r="D1" s="16" t="s">
        <v>65</v>
      </c>
    </row>
    <row r="2" spans="1:4" x14ac:dyDescent="0.25">
      <c r="A2" s="16" t="s">
        <v>275</v>
      </c>
      <c r="B2" s="16" t="s">
        <v>44</v>
      </c>
      <c r="C2" s="16" t="s">
        <v>48</v>
      </c>
      <c r="D2" s="16" t="s">
        <v>302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J24" sqref="J24"/>
    </sheetView>
  </sheetViews>
  <sheetFormatPr defaultRowHeight="15" x14ac:dyDescent="0.25"/>
  <cols>
    <col min="1" max="1" width="12.42578125" bestFit="1" customWidth="1"/>
    <col min="2" max="2" width="12.42578125" style="5" bestFit="1" customWidth="1"/>
    <col min="3" max="3" width="20.85546875" bestFit="1" customWidth="1"/>
    <col min="4" max="4" width="15.28515625" customWidth="1"/>
    <col min="6" max="6" width="10.28515625" bestFit="1" customWidth="1"/>
    <col min="7" max="7" width="11" bestFit="1" customWidth="1"/>
  </cols>
  <sheetData>
    <row r="1" spans="1:7" x14ac:dyDescent="0.25">
      <c r="A1" s="16" t="s">
        <v>33</v>
      </c>
      <c r="B1" s="5" t="s">
        <v>34</v>
      </c>
      <c r="C1" s="16" t="s">
        <v>35</v>
      </c>
      <c r="D1" s="16" t="s">
        <v>32</v>
      </c>
      <c r="E1" s="16" t="s">
        <v>6</v>
      </c>
      <c r="F1" s="15" t="s">
        <v>47</v>
      </c>
      <c r="G1" s="16" t="s">
        <v>65</v>
      </c>
    </row>
    <row r="2" spans="1:7" x14ac:dyDescent="0.25">
      <c r="A2" s="16" t="s">
        <v>36</v>
      </c>
      <c r="B2" s="5" t="str">
        <f ca="1">TEXT(NOW(),"YYYY-MM-DD")</f>
        <v>2026-08-21</v>
      </c>
      <c r="C2" s="16" t="s">
        <v>297</v>
      </c>
      <c r="D2" s="16" t="s">
        <v>281</v>
      </c>
      <c r="E2" s="16" t="s">
        <v>44</v>
      </c>
      <c r="F2" s="16" t="s">
        <v>48</v>
      </c>
      <c r="G2" s="16" t="s">
        <v>273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J24" sqref="J24"/>
    </sheetView>
  </sheetViews>
  <sheetFormatPr defaultRowHeight="15" x14ac:dyDescent="0.25"/>
  <cols>
    <col min="1" max="1" width="20.42578125" customWidth="1"/>
    <col min="2" max="2" width="11.42578125" bestFit="1" customWidth="1"/>
  </cols>
  <sheetData>
    <row r="1" spans="1:2" x14ac:dyDescent="0.25">
      <c r="A1" s="11" t="s">
        <v>87</v>
      </c>
      <c r="B1" t="s">
        <v>88</v>
      </c>
    </row>
    <row r="2" spans="1:2" x14ac:dyDescent="0.25">
      <c r="A2" t="s">
        <v>89</v>
      </c>
      <c r="B2" s="8" t="s">
        <v>234</v>
      </c>
    </row>
    <row r="3" spans="1:2" x14ac:dyDescent="0.25">
      <c r="A3" t="s">
        <v>102</v>
      </c>
      <c r="B3" t="s">
        <v>103</v>
      </c>
    </row>
    <row r="4" spans="1:2" x14ac:dyDescent="0.25">
      <c r="A4" t="s">
        <v>218</v>
      </c>
      <c r="B4" s="6" t="s">
        <v>262</v>
      </c>
    </row>
    <row r="5" spans="1:2" x14ac:dyDescent="0.25">
      <c r="A5" t="s">
        <v>305</v>
      </c>
      <c r="B5" s="8" t="s">
        <v>306</v>
      </c>
    </row>
  </sheetData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1" width="9.85546875" style="15" customWidth="1"/>
    <col min="2" max="2" width="30.140625" style="15" bestFit="1" customWidth="1"/>
    <col min="3" max="3" width="36.85546875" style="15" customWidth="1"/>
    <col min="4" max="4" width="10.5703125" style="15" bestFit="1" customWidth="1"/>
    <col min="5" max="16384" width="9.140625" style="15"/>
  </cols>
  <sheetData>
    <row r="1" spans="1:4" x14ac:dyDescent="0.25">
      <c r="A1" s="16" t="s">
        <v>6</v>
      </c>
      <c r="B1" s="16" t="s">
        <v>135</v>
      </c>
      <c r="C1" s="15" t="s">
        <v>129</v>
      </c>
      <c r="D1" s="16" t="s">
        <v>130</v>
      </c>
    </row>
    <row r="2" spans="1:4" x14ac:dyDescent="0.25">
      <c r="A2" s="17" t="s">
        <v>44</v>
      </c>
      <c r="B2" s="17" t="s">
        <v>203</v>
      </c>
      <c r="C2" s="16" t="s">
        <v>210</v>
      </c>
      <c r="D2" s="15" t="s">
        <v>131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J24" sqref="J24"/>
    </sheetView>
  </sheetViews>
  <sheetFormatPr defaultRowHeight="15" x14ac:dyDescent="0.25"/>
  <cols>
    <col min="1" max="1" width="20.28515625" bestFit="1" customWidth="1"/>
    <col min="2" max="2" width="11.28515625" bestFit="1" customWidth="1"/>
  </cols>
  <sheetData>
    <row r="1" spans="1:3" x14ac:dyDescent="0.25">
      <c r="A1" s="1" t="s">
        <v>63</v>
      </c>
      <c r="B1" s="1" t="s">
        <v>93</v>
      </c>
      <c r="C1" s="1" t="s">
        <v>6</v>
      </c>
    </row>
    <row r="2" spans="1:3" x14ac:dyDescent="0.25">
      <c r="A2" s="1" t="s">
        <v>80</v>
      </c>
      <c r="B2" s="1" t="s">
        <v>94</v>
      </c>
      <c r="C2" s="6" t="s">
        <v>44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1" width="9.85546875" style="15" customWidth="1"/>
    <col min="2" max="2" width="30.140625" style="15" bestFit="1" customWidth="1"/>
    <col min="3" max="3" width="22" style="15" bestFit="1" customWidth="1"/>
    <col min="4" max="4" width="10.5703125" style="15" bestFit="1" customWidth="1"/>
    <col min="5" max="16384" width="9.140625" style="15"/>
  </cols>
  <sheetData>
    <row r="1" spans="1:4" x14ac:dyDescent="0.25">
      <c r="A1" s="16" t="s">
        <v>6</v>
      </c>
      <c r="B1" s="16" t="s">
        <v>135</v>
      </c>
      <c r="C1" s="15" t="s">
        <v>129</v>
      </c>
      <c r="D1" s="16" t="s">
        <v>130</v>
      </c>
    </row>
    <row r="2" spans="1:4" x14ac:dyDescent="0.25">
      <c r="A2" s="17" t="s">
        <v>44</v>
      </c>
      <c r="B2" s="17" t="s">
        <v>205</v>
      </c>
      <c r="C2" s="16" t="s">
        <v>134</v>
      </c>
      <c r="D2" s="15" t="s">
        <v>131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J24" sqref="J24"/>
    </sheetView>
  </sheetViews>
  <sheetFormatPr defaultRowHeight="15" x14ac:dyDescent="0.25"/>
  <cols>
    <col min="1" max="1" width="29.140625" customWidth="1"/>
  </cols>
  <sheetData>
    <row r="1" spans="1:2" x14ac:dyDescent="0.25">
      <c r="A1" t="s">
        <v>65</v>
      </c>
      <c r="B1" t="s">
        <v>6</v>
      </c>
    </row>
    <row r="2" spans="1:2" x14ac:dyDescent="0.25">
      <c r="A2" t="s">
        <v>228</v>
      </c>
      <c r="B2" s="8" t="s">
        <v>44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1" width="22.140625" bestFit="1" customWidth="1"/>
  </cols>
  <sheetData>
    <row r="1" spans="1:4" x14ac:dyDescent="0.25">
      <c r="A1" s="16" t="s">
        <v>65</v>
      </c>
      <c r="B1" s="16" t="s">
        <v>242</v>
      </c>
      <c r="C1" s="16" t="s">
        <v>284</v>
      </c>
      <c r="D1" s="16" t="s">
        <v>6</v>
      </c>
    </row>
    <row r="2" spans="1:4" x14ac:dyDescent="0.25">
      <c r="A2" s="16" t="s">
        <v>289</v>
      </c>
      <c r="B2" s="16" t="str">
        <f ca="1">TEXT(NOW(),"YYYY-MM-DD")</f>
        <v>2026-08-21</v>
      </c>
      <c r="C2" s="16" t="s">
        <v>280</v>
      </c>
      <c r="D2" s="6" t="s">
        <v>44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1" width="3.28515625" bestFit="1" customWidth="1"/>
    <col min="2" max="2" width="29.42578125" bestFit="1" customWidth="1"/>
    <col min="3" max="3" width="19.85546875" bestFit="1" customWidth="1"/>
    <col min="4" max="4" width="10.5703125" bestFit="1" customWidth="1"/>
  </cols>
  <sheetData>
    <row r="1" spans="1:4" x14ac:dyDescent="0.25">
      <c r="A1" s="16" t="s">
        <v>6</v>
      </c>
      <c r="B1" s="16" t="s">
        <v>135</v>
      </c>
      <c r="C1" s="15" t="s">
        <v>129</v>
      </c>
      <c r="D1" s="16" t="s">
        <v>130</v>
      </c>
    </row>
    <row r="2" spans="1:4" x14ac:dyDescent="0.25">
      <c r="A2" s="17" t="s">
        <v>44</v>
      </c>
      <c r="B2" s="17" t="s">
        <v>324</v>
      </c>
      <c r="C2" s="15" t="s">
        <v>200</v>
      </c>
      <c r="D2" s="15" t="s">
        <v>131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J24" sqref="J24"/>
    </sheetView>
  </sheetViews>
  <sheetFormatPr defaultRowHeight="15" x14ac:dyDescent="0.25"/>
  <cols>
    <col min="1" max="1" width="22.85546875" customWidth="1"/>
    <col min="2" max="2" width="10.42578125" style="15" bestFit="1" customWidth="1"/>
    <col min="3" max="3" width="8.7109375" style="15" customWidth="1"/>
  </cols>
  <sheetData>
    <row r="1" spans="1:4" x14ac:dyDescent="0.25">
      <c r="A1" s="2" t="s">
        <v>22</v>
      </c>
      <c r="B1" s="16" t="s">
        <v>242</v>
      </c>
      <c r="C1" s="16" t="s">
        <v>284</v>
      </c>
      <c r="D1" s="1" t="s">
        <v>6</v>
      </c>
    </row>
    <row r="2" spans="1:4" x14ac:dyDescent="0.25">
      <c r="A2" s="1" t="s">
        <v>267</v>
      </c>
      <c r="B2" s="16" t="str">
        <f ca="1">TEXT(NOW(),"YYYY-MM-DD")</f>
        <v>2026-08-21</v>
      </c>
      <c r="C2" s="16" t="s">
        <v>280</v>
      </c>
      <c r="D2" s="1" t="s">
        <v>44</v>
      </c>
    </row>
    <row r="3" spans="1:4" x14ac:dyDescent="0.25">
      <c r="D3" s="1"/>
    </row>
    <row r="4" spans="1:4" x14ac:dyDescent="0.25">
      <c r="D4" s="1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1" width="9.85546875" style="15" customWidth="1"/>
    <col min="2" max="2" width="21.85546875" style="15" bestFit="1" customWidth="1"/>
    <col min="3" max="3" width="19.28515625" style="15" bestFit="1" customWidth="1"/>
    <col min="4" max="4" width="10.5703125" style="15" bestFit="1" customWidth="1"/>
    <col min="5" max="16384" width="9.140625" style="15"/>
  </cols>
  <sheetData>
    <row r="1" spans="1:4" x14ac:dyDescent="0.25">
      <c r="A1" s="16" t="s">
        <v>6</v>
      </c>
      <c r="B1" s="16" t="s">
        <v>135</v>
      </c>
      <c r="C1" s="15" t="s">
        <v>129</v>
      </c>
      <c r="D1" s="16" t="s">
        <v>130</v>
      </c>
    </row>
    <row r="2" spans="1:4" x14ac:dyDescent="0.25">
      <c r="A2" s="17" t="s">
        <v>44</v>
      </c>
      <c r="B2" s="17" t="s">
        <v>199</v>
      </c>
      <c r="C2" s="16" t="s">
        <v>198</v>
      </c>
      <c r="D2" s="15" t="s">
        <v>131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1" width="9.85546875" style="15" customWidth="1"/>
    <col min="2" max="2" width="23.42578125" style="15" bestFit="1" customWidth="1"/>
    <col min="3" max="3" width="29.28515625" style="15" bestFit="1" customWidth="1"/>
    <col min="4" max="4" width="10.5703125" style="15" bestFit="1" customWidth="1"/>
    <col min="5" max="16384" width="9.140625" style="15"/>
  </cols>
  <sheetData>
    <row r="1" spans="1:4" x14ac:dyDescent="0.25">
      <c r="A1" s="16" t="s">
        <v>6</v>
      </c>
      <c r="B1" s="16" t="s">
        <v>135</v>
      </c>
      <c r="C1" s="15" t="s">
        <v>129</v>
      </c>
      <c r="D1" s="16" t="s">
        <v>130</v>
      </c>
    </row>
    <row r="2" spans="1:4" x14ac:dyDescent="0.25">
      <c r="A2" s="17" t="s">
        <v>44</v>
      </c>
      <c r="B2" s="17" t="s">
        <v>201</v>
      </c>
      <c r="C2" s="18" t="s">
        <v>200</v>
      </c>
      <c r="D2" s="15" t="s">
        <v>131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1" width="9.85546875" style="15" customWidth="1"/>
    <col min="2" max="2" width="23.42578125" style="15" bestFit="1" customWidth="1"/>
    <col min="3" max="3" width="29.28515625" style="15" bestFit="1" customWidth="1"/>
    <col min="4" max="4" width="10.5703125" style="15" bestFit="1" customWidth="1"/>
    <col min="5" max="16384" width="9.140625" style="15"/>
  </cols>
  <sheetData>
    <row r="1" spans="1:4" x14ac:dyDescent="0.25">
      <c r="A1" s="16" t="s">
        <v>6</v>
      </c>
      <c r="B1" s="16" t="s">
        <v>135</v>
      </c>
      <c r="C1" s="15" t="s">
        <v>129</v>
      </c>
      <c r="D1" s="16" t="s">
        <v>130</v>
      </c>
    </row>
    <row r="2" spans="1:4" x14ac:dyDescent="0.25">
      <c r="A2" s="17" t="s">
        <v>44</v>
      </c>
      <c r="B2" s="17" t="s">
        <v>201</v>
      </c>
      <c r="C2" s="18" t="s">
        <v>200</v>
      </c>
      <c r="D2" s="15" t="s">
        <v>131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J24" sqref="J24"/>
    </sheetView>
  </sheetViews>
  <sheetFormatPr defaultRowHeight="15" x14ac:dyDescent="0.25"/>
  <cols>
    <col min="1" max="1" width="15" bestFit="1" customWidth="1"/>
    <col min="2" max="2" width="15.7109375" customWidth="1"/>
    <col min="3" max="3" width="20" bestFit="1" customWidth="1"/>
    <col min="4" max="4" width="17.5703125" bestFit="1" customWidth="1"/>
  </cols>
  <sheetData>
    <row r="1" spans="1:6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6</v>
      </c>
      <c r="F1" t="s">
        <v>47</v>
      </c>
    </row>
    <row r="2" spans="1:6" x14ac:dyDescent="0.25">
      <c r="A2" s="1" t="s">
        <v>70</v>
      </c>
      <c r="B2" s="1" t="s">
        <v>71</v>
      </c>
      <c r="C2" s="5" t="str">
        <f ca="1">TEXT(NOW(),"YYYY-MM-DD")</f>
        <v>2026-08-21</v>
      </c>
      <c r="D2" s="5" t="str">
        <f ca="1">TEXT(NOW(),"YYYY-MM-DD")</f>
        <v>2026-08-21</v>
      </c>
      <c r="E2" s="6" t="s">
        <v>44</v>
      </c>
      <c r="F2" s="1" t="s">
        <v>48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J24" sqref="J24"/>
    </sheetView>
  </sheetViews>
  <sheetFormatPr defaultRowHeight="15" x14ac:dyDescent="0.25"/>
  <cols>
    <col min="4" max="4" width="12.42578125" style="5" bestFit="1" customWidth="1"/>
  </cols>
  <sheetData>
    <row r="1" spans="1:5" x14ac:dyDescent="0.25">
      <c r="A1" t="s">
        <v>72</v>
      </c>
      <c r="B1" t="s">
        <v>73</v>
      </c>
      <c r="C1" s="1" t="s">
        <v>72</v>
      </c>
      <c r="D1" s="5" t="s">
        <v>73</v>
      </c>
      <c r="E1" s="1" t="s">
        <v>6</v>
      </c>
    </row>
    <row r="2" spans="1:5" x14ac:dyDescent="0.25">
      <c r="A2" s="1" t="s">
        <v>74</v>
      </c>
      <c r="B2" s="1" t="s">
        <v>71</v>
      </c>
      <c r="C2" s="1" t="s">
        <v>74</v>
      </c>
      <c r="D2" s="5" t="str">
        <f ca="1">TEXT(NOW(),"YYYY-MM-DD")</f>
        <v>2026-08-21</v>
      </c>
      <c r="E2" s="6" t="s">
        <v>44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J24" sqref="J24"/>
    </sheetView>
  </sheetViews>
  <sheetFormatPr defaultRowHeight="15" x14ac:dyDescent="0.25"/>
  <cols>
    <col min="2" max="2" width="10.5703125" bestFit="1" customWidth="1"/>
    <col min="5" max="5" width="24.42578125" bestFit="1" customWidth="1"/>
  </cols>
  <sheetData>
    <row r="1" spans="1:7" x14ac:dyDescent="0.25">
      <c r="A1" s="1" t="s">
        <v>37</v>
      </c>
      <c r="B1" s="1" t="s">
        <v>5</v>
      </c>
      <c r="C1" s="1" t="s">
        <v>6</v>
      </c>
      <c r="D1" t="s">
        <v>47</v>
      </c>
      <c r="E1" s="15" t="s">
        <v>129</v>
      </c>
      <c r="F1" s="16" t="s">
        <v>130</v>
      </c>
      <c r="G1" s="16" t="s">
        <v>65</v>
      </c>
    </row>
    <row r="2" spans="1:7" x14ac:dyDescent="0.25">
      <c r="A2" s="1" t="s">
        <v>308</v>
      </c>
      <c r="B2" s="1" t="s">
        <v>38</v>
      </c>
      <c r="C2" s="6" t="s">
        <v>44</v>
      </c>
      <c r="D2" s="1" t="s">
        <v>48</v>
      </c>
      <c r="E2" s="15"/>
      <c r="F2" s="16" t="s">
        <v>131</v>
      </c>
      <c r="G2" s="16" t="s">
        <v>295</v>
      </c>
    </row>
  </sheetData>
  <pageMargins left="0.7" right="0.7" top="0.75" bottom="0.75" header="0.3" footer="0.3"/>
  <pageSetup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J24" sqref="J24"/>
    </sheetView>
  </sheetViews>
  <sheetFormatPr defaultRowHeight="15" x14ac:dyDescent="0.25"/>
  <cols>
    <col min="1" max="1" width="9.140625" style="15"/>
    <col min="2" max="2" width="22.140625" style="15" bestFit="1" customWidth="1"/>
    <col min="3" max="16384" width="9.140625" style="15"/>
  </cols>
  <sheetData>
    <row r="1" spans="1:3" x14ac:dyDescent="0.25">
      <c r="A1" s="16" t="s">
        <v>6</v>
      </c>
      <c r="B1" s="15" t="s">
        <v>129</v>
      </c>
      <c r="C1" s="15" t="s">
        <v>130</v>
      </c>
    </row>
    <row r="2" spans="1:3" x14ac:dyDescent="0.25">
      <c r="A2" s="6" t="s">
        <v>44</v>
      </c>
      <c r="B2" s="15" t="s">
        <v>195</v>
      </c>
      <c r="C2" s="15" t="s">
        <v>131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2" width="10.42578125" style="5" bestFit="1" customWidth="1"/>
  </cols>
  <sheetData>
    <row r="1" spans="1:4" x14ac:dyDescent="0.25">
      <c r="A1" s="5" t="s">
        <v>39</v>
      </c>
      <c r="B1" s="5" t="s">
        <v>40</v>
      </c>
      <c r="C1" s="1" t="s">
        <v>6</v>
      </c>
      <c r="D1" t="s">
        <v>47</v>
      </c>
    </row>
    <row r="2" spans="1:4" x14ac:dyDescent="0.25">
      <c r="A2" s="5" t="str">
        <f ca="1">TEXT(NOW(),"YYYY-MM-DD")</f>
        <v>2026-08-21</v>
      </c>
      <c r="B2" s="5" t="str">
        <f ca="1">TEXT(NOW(),"YYYY-MM-DD")</f>
        <v>2026-08-21</v>
      </c>
      <c r="C2" s="6" t="s">
        <v>44</v>
      </c>
      <c r="D2" s="1" t="s">
        <v>48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J24" sqref="J24"/>
    </sheetView>
  </sheetViews>
  <sheetFormatPr defaultRowHeight="15" x14ac:dyDescent="0.25"/>
  <cols>
    <col min="1" max="1" width="23.28515625" bestFit="1" customWidth="1"/>
    <col min="2" max="2" width="53.28515625" bestFit="1" customWidth="1"/>
    <col min="4" max="4" width="10.28515625" bestFit="1" customWidth="1"/>
  </cols>
  <sheetData>
    <row r="1" spans="1:6" x14ac:dyDescent="0.25">
      <c r="A1" s="5" t="s">
        <v>43</v>
      </c>
      <c r="B1" s="1" t="s">
        <v>22</v>
      </c>
      <c r="C1" s="1" t="s">
        <v>6</v>
      </c>
      <c r="D1" t="s">
        <v>47</v>
      </c>
      <c r="E1" s="16" t="s">
        <v>65</v>
      </c>
      <c r="F1" s="16"/>
    </row>
    <row r="2" spans="1:6" x14ac:dyDescent="0.25">
      <c r="A2" s="5" t="str">
        <f ca="1">TEXT(NOW(),"YYYY-MM-DD")</f>
        <v>2026-08-21</v>
      </c>
      <c r="B2" s="1" t="s">
        <v>267</v>
      </c>
      <c r="C2" s="6" t="s">
        <v>44</v>
      </c>
      <c r="D2" s="1" t="s">
        <v>48</v>
      </c>
      <c r="E2" s="16" t="s">
        <v>278</v>
      </c>
    </row>
    <row r="3" spans="1:6" x14ac:dyDescent="0.25">
      <c r="A3" s="16"/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J24" sqref="J24"/>
    </sheetView>
  </sheetViews>
  <sheetFormatPr defaultRowHeight="15" x14ac:dyDescent="0.25"/>
  <cols>
    <col min="1" max="1" width="14.140625" bestFit="1" customWidth="1"/>
    <col min="2" max="2" width="27.85546875" bestFit="1" customWidth="1"/>
    <col min="3" max="3" width="18.140625" bestFit="1" customWidth="1"/>
    <col min="5" max="5" width="65.140625" bestFit="1" customWidth="1"/>
    <col min="6" max="6" width="10.28515625" bestFit="1" customWidth="1"/>
    <col min="7" max="7" width="19" bestFit="1" customWidth="1"/>
    <col min="8" max="8" width="10.5703125" bestFit="1" customWidth="1"/>
    <col min="9" max="9" width="19.28515625" bestFit="1" customWidth="1"/>
  </cols>
  <sheetData>
    <row r="1" spans="1:9" x14ac:dyDescent="0.25">
      <c r="A1" t="s">
        <v>421</v>
      </c>
      <c r="B1" s="15" t="s">
        <v>423</v>
      </c>
      <c r="C1" t="s">
        <v>425</v>
      </c>
      <c r="D1" s="8" t="s">
        <v>6</v>
      </c>
      <c r="E1" s="8" t="s">
        <v>135</v>
      </c>
      <c r="F1" s="8" t="s">
        <v>47</v>
      </c>
      <c r="G1" s="16" t="s">
        <v>225</v>
      </c>
      <c r="H1" s="15" t="s">
        <v>130</v>
      </c>
      <c r="I1" s="2" t="s">
        <v>129</v>
      </c>
    </row>
    <row r="2" spans="1:9" x14ac:dyDescent="0.25">
      <c r="A2" s="8" t="s">
        <v>422</v>
      </c>
      <c r="B2" s="8" t="s">
        <v>424</v>
      </c>
      <c r="C2" s="8" t="s">
        <v>424</v>
      </c>
      <c r="D2" s="8" t="s">
        <v>81</v>
      </c>
      <c r="E2" s="8" t="s">
        <v>426</v>
      </c>
      <c r="F2" s="8" t="s">
        <v>48</v>
      </c>
      <c r="G2" s="16" t="s">
        <v>216</v>
      </c>
      <c r="H2" s="15" t="s">
        <v>131</v>
      </c>
      <c r="I2" s="15"/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J24" sqref="J24"/>
    </sheetView>
  </sheetViews>
  <sheetFormatPr defaultRowHeight="15" x14ac:dyDescent="0.25"/>
  <cols>
    <col min="2" max="2" width="9.42578125" bestFit="1" customWidth="1"/>
    <col min="6" max="6" width="7.85546875" bestFit="1" customWidth="1"/>
    <col min="8" max="8" width="54.140625" bestFit="1" customWidth="1"/>
    <col min="9" max="9" width="10.28515625" bestFit="1" customWidth="1"/>
    <col min="10" max="10" width="19" bestFit="1" customWidth="1"/>
    <col min="12" max="12" width="19.28515625" bestFit="1" customWidth="1"/>
  </cols>
  <sheetData>
    <row r="1" spans="1:12" x14ac:dyDescent="0.25">
      <c r="A1" s="15" t="s">
        <v>412</v>
      </c>
      <c r="B1" t="s">
        <v>413</v>
      </c>
      <c r="C1" t="s">
        <v>415</v>
      </c>
      <c r="D1" t="s">
        <v>416</v>
      </c>
      <c r="E1" t="s">
        <v>418</v>
      </c>
      <c r="F1" t="s">
        <v>420</v>
      </c>
      <c r="G1" s="8" t="s">
        <v>6</v>
      </c>
      <c r="H1" s="8" t="s">
        <v>135</v>
      </c>
      <c r="I1" s="8" t="s">
        <v>47</v>
      </c>
      <c r="J1" s="16" t="s">
        <v>225</v>
      </c>
      <c r="K1" s="15" t="s">
        <v>130</v>
      </c>
      <c r="L1" s="2" t="s">
        <v>129</v>
      </c>
    </row>
    <row r="2" spans="1:12" x14ac:dyDescent="0.25">
      <c r="A2" s="8" t="s">
        <v>10</v>
      </c>
      <c r="B2" s="8" t="s">
        <v>414</v>
      </c>
      <c r="C2" s="8" t="s">
        <v>414</v>
      </c>
      <c r="D2" s="8" t="s">
        <v>417</v>
      </c>
      <c r="E2" s="8" t="s">
        <v>417</v>
      </c>
      <c r="F2" s="8" t="s">
        <v>419</v>
      </c>
      <c r="G2" s="8" t="s">
        <v>81</v>
      </c>
      <c r="H2" s="8" t="s">
        <v>427</v>
      </c>
      <c r="I2" s="8" t="s">
        <v>48</v>
      </c>
      <c r="J2" s="16" t="s">
        <v>216</v>
      </c>
      <c r="K2" s="15" t="s">
        <v>131</v>
      </c>
      <c r="L2" s="15"/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G5" sqref="G5"/>
    </sheetView>
  </sheetViews>
  <sheetFormatPr defaultRowHeight="15" x14ac:dyDescent="0.25"/>
  <cols>
    <col min="1" max="1" width="15.7109375" bestFit="1" customWidth="1"/>
    <col min="2" max="2" width="16.85546875" bestFit="1" customWidth="1"/>
    <col min="3" max="3" width="16.85546875" style="15" customWidth="1"/>
    <col min="4" max="4" width="18" style="15" bestFit="1" customWidth="1"/>
    <col min="5" max="5" width="18" style="15" customWidth="1"/>
    <col min="7" max="7" width="54.140625" bestFit="1" customWidth="1"/>
    <col min="8" max="8" width="10.28515625" bestFit="1" customWidth="1"/>
    <col min="9" max="9" width="19" bestFit="1" customWidth="1"/>
    <col min="10" max="10" width="10.5703125" bestFit="1" customWidth="1"/>
    <col min="11" max="11" width="19.28515625" bestFit="1" customWidth="1"/>
  </cols>
  <sheetData>
    <row r="1" spans="1:11" x14ac:dyDescent="0.25">
      <c r="A1" t="s">
        <v>428</v>
      </c>
      <c r="B1" t="s">
        <v>429</v>
      </c>
      <c r="C1" s="15" t="s">
        <v>430</v>
      </c>
      <c r="D1" s="15" t="s">
        <v>431</v>
      </c>
      <c r="E1" s="15" t="s">
        <v>432</v>
      </c>
      <c r="F1" s="8" t="s">
        <v>6</v>
      </c>
      <c r="G1" s="8" t="s">
        <v>135</v>
      </c>
      <c r="H1" s="8" t="s">
        <v>47</v>
      </c>
      <c r="I1" s="16" t="s">
        <v>225</v>
      </c>
      <c r="J1" s="15" t="s">
        <v>130</v>
      </c>
      <c r="K1" s="2" t="s">
        <v>129</v>
      </c>
    </row>
    <row r="2" spans="1:11" x14ac:dyDescent="0.25">
      <c r="A2" s="8" t="s">
        <v>417</v>
      </c>
      <c r="B2" s="8" t="s">
        <v>417</v>
      </c>
      <c r="C2" s="8" t="s">
        <v>437</v>
      </c>
      <c r="D2" s="8" t="s">
        <v>437</v>
      </c>
      <c r="E2" s="8" t="s">
        <v>417</v>
      </c>
      <c r="F2" s="8" t="s">
        <v>81</v>
      </c>
      <c r="G2" s="8" t="s">
        <v>438</v>
      </c>
      <c r="H2" s="8" t="s">
        <v>48</v>
      </c>
      <c r="I2" s="16" t="s">
        <v>216</v>
      </c>
      <c r="J2" s="15" t="s">
        <v>131</v>
      </c>
      <c r="K2" s="15"/>
    </row>
    <row r="3" spans="1:11" x14ac:dyDescent="0.25">
      <c r="A3" s="8" t="s">
        <v>417</v>
      </c>
      <c r="B3" s="8" t="s">
        <v>417</v>
      </c>
      <c r="C3" s="8" t="s">
        <v>437</v>
      </c>
      <c r="D3" s="8" t="s">
        <v>437</v>
      </c>
      <c r="E3" s="8"/>
      <c r="F3" s="8" t="s">
        <v>82</v>
      </c>
      <c r="G3" s="8" t="s">
        <v>439</v>
      </c>
      <c r="H3" s="8" t="s">
        <v>48</v>
      </c>
      <c r="I3" s="16" t="s">
        <v>216</v>
      </c>
      <c r="J3" s="15" t="s">
        <v>131</v>
      </c>
      <c r="K3" s="15"/>
    </row>
    <row r="4" spans="1:11" x14ac:dyDescent="0.25">
      <c r="A4" s="8" t="s">
        <v>414</v>
      </c>
      <c r="B4" s="8" t="s">
        <v>414</v>
      </c>
      <c r="C4" s="8" t="s">
        <v>437</v>
      </c>
      <c r="D4" s="8" t="s">
        <v>437</v>
      </c>
      <c r="E4" s="8"/>
      <c r="F4" s="8" t="s">
        <v>282</v>
      </c>
      <c r="G4" s="8" t="s">
        <v>440</v>
      </c>
      <c r="H4" s="8" t="s">
        <v>48</v>
      </c>
      <c r="I4" s="16" t="s">
        <v>216</v>
      </c>
      <c r="J4" s="15" t="s">
        <v>131</v>
      </c>
      <c r="K4" s="15"/>
    </row>
    <row r="5" spans="1:11" x14ac:dyDescent="0.25">
      <c r="G5" s="8"/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B16" sqref="B16"/>
    </sheetView>
  </sheetViews>
  <sheetFormatPr defaultRowHeight="15" x14ac:dyDescent="0.25"/>
  <cols>
    <col min="1" max="1" width="18" style="15" bestFit="1" customWidth="1"/>
    <col min="2" max="2" width="13.5703125" style="15" bestFit="1" customWidth="1"/>
    <col min="3" max="3" width="9.140625" style="15"/>
    <col min="4" max="4" width="39" style="15" bestFit="1" customWidth="1"/>
    <col min="5" max="5" width="10.28515625" style="15" bestFit="1" customWidth="1"/>
    <col min="6" max="6" width="19" style="15" bestFit="1" customWidth="1"/>
    <col min="7" max="7" width="10.5703125" style="15" bestFit="1" customWidth="1"/>
    <col min="8" max="8" width="19.28515625" style="15" bestFit="1" customWidth="1"/>
    <col min="9" max="16384" width="9.140625" style="15"/>
  </cols>
  <sheetData>
    <row r="1" spans="1:9" x14ac:dyDescent="0.25">
      <c r="A1" s="15" t="s">
        <v>431</v>
      </c>
      <c r="B1" s="15" t="s">
        <v>432</v>
      </c>
      <c r="C1" s="8" t="s">
        <v>6</v>
      </c>
      <c r="D1" s="8" t="s">
        <v>135</v>
      </c>
      <c r="E1" s="8" t="s">
        <v>47</v>
      </c>
      <c r="F1" s="16" t="s">
        <v>225</v>
      </c>
      <c r="G1" s="15" t="s">
        <v>130</v>
      </c>
      <c r="H1" s="2" t="s">
        <v>129</v>
      </c>
      <c r="I1" s="16" t="s">
        <v>65</v>
      </c>
    </row>
    <row r="2" spans="1:9" x14ac:dyDescent="0.25">
      <c r="A2" s="8" t="s">
        <v>435</v>
      </c>
      <c r="B2" s="8" t="s">
        <v>10</v>
      </c>
      <c r="C2" s="8" t="s">
        <v>81</v>
      </c>
      <c r="D2" s="8" t="s">
        <v>436</v>
      </c>
      <c r="E2" s="8" t="s">
        <v>48</v>
      </c>
      <c r="F2" s="16" t="s">
        <v>216</v>
      </c>
      <c r="G2" s="15" t="s">
        <v>131</v>
      </c>
      <c r="I2" s="16" t="s">
        <v>278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J24" sqref="J24"/>
    </sheetView>
  </sheetViews>
  <sheetFormatPr defaultRowHeight="15" x14ac:dyDescent="0.25"/>
  <cols>
    <col min="1" max="1" width="13.140625" bestFit="1" customWidth="1"/>
    <col min="3" max="3" width="14.85546875" bestFit="1" customWidth="1"/>
    <col min="4" max="4" width="14" bestFit="1" customWidth="1"/>
    <col min="6" max="6" width="14.85546875" bestFit="1" customWidth="1"/>
  </cols>
  <sheetData>
    <row r="1" spans="1:6" x14ac:dyDescent="0.25">
      <c r="A1" s="15" t="s">
        <v>221</v>
      </c>
      <c r="B1" s="16" t="s">
        <v>6</v>
      </c>
      <c r="C1" s="15" t="s">
        <v>47</v>
      </c>
      <c r="D1" s="15"/>
      <c r="E1" s="16"/>
      <c r="F1" s="15"/>
    </row>
    <row r="2" spans="1:6" x14ac:dyDescent="0.25">
      <c r="A2" s="20" t="str">
        <f ca="1">TEXT(NOW(),"YYYY-MM-DD")</f>
        <v>2026-08-21</v>
      </c>
      <c r="B2" s="6" t="s">
        <v>44</v>
      </c>
      <c r="C2" s="16" t="s">
        <v>48</v>
      </c>
      <c r="D2" s="15"/>
      <c r="E2" s="15"/>
      <c r="F2" s="21"/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24" sqref="J24"/>
    </sheetView>
  </sheetViews>
  <sheetFormatPr defaultRowHeight="15" x14ac:dyDescent="0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J24" sqref="J24"/>
    </sheetView>
  </sheetViews>
  <sheetFormatPr defaultRowHeight="15" x14ac:dyDescent="0.25"/>
  <cols>
    <col min="1" max="1" width="9.140625" style="15"/>
    <col min="2" max="2" width="15.140625" bestFit="1" customWidth="1"/>
    <col min="3" max="3" width="15" bestFit="1" customWidth="1"/>
    <col min="4" max="4" width="21.7109375" bestFit="1" customWidth="1"/>
    <col min="5" max="5" width="6.85546875" customWidth="1"/>
    <col min="6" max="6" width="10.28515625" bestFit="1" customWidth="1"/>
  </cols>
  <sheetData>
    <row r="1" spans="1:7" x14ac:dyDescent="0.25">
      <c r="A1" s="15" t="s">
        <v>224</v>
      </c>
      <c r="B1" s="15" t="s">
        <v>285</v>
      </c>
      <c r="C1" s="16" t="s">
        <v>222</v>
      </c>
      <c r="D1" s="15" t="s">
        <v>40</v>
      </c>
      <c r="E1" s="16" t="s">
        <v>6</v>
      </c>
      <c r="F1" s="15" t="s">
        <v>47</v>
      </c>
      <c r="G1" s="16" t="s">
        <v>65</v>
      </c>
    </row>
    <row r="2" spans="1:7" x14ac:dyDescent="0.25">
      <c r="A2" s="15" t="s">
        <v>286</v>
      </c>
      <c r="B2" s="15" t="s">
        <v>223</v>
      </c>
      <c r="C2" s="15" t="s">
        <v>226</v>
      </c>
      <c r="D2" s="22" t="str">
        <f ca="1">TEXT(NOW(),"yyyy-mm-dd hh:mm:ss AM/PM")</f>
        <v>2026-08-21 12:25:52 PM</v>
      </c>
      <c r="E2" s="6" t="s">
        <v>44</v>
      </c>
      <c r="F2" s="16" t="s">
        <v>48</v>
      </c>
      <c r="G2" s="16" t="s">
        <v>271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J24" sqref="J24"/>
    </sheetView>
  </sheetViews>
  <sheetFormatPr defaultRowHeight="15" x14ac:dyDescent="0.25"/>
  <cols>
    <col min="1" max="1" width="3.28515625" bestFit="1" customWidth="1"/>
    <col min="2" max="2" width="24.42578125" bestFit="1" customWidth="1"/>
    <col min="3" max="3" width="10.5703125" bestFit="1" customWidth="1"/>
  </cols>
  <sheetData>
    <row r="1" spans="1:3" x14ac:dyDescent="0.25">
      <c r="A1" s="16" t="s">
        <v>6</v>
      </c>
      <c r="B1" s="15" t="s">
        <v>129</v>
      </c>
      <c r="C1" s="15" t="s">
        <v>130</v>
      </c>
    </row>
    <row r="2" spans="1:3" x14ac:dyDescent="0.25">
      <c r="A2" s="6" t="s">
        <v>44</v>
      </c>
      <c r="B2" s="15" t="s">
        <v>325</v>
      </c>
      <c r="C2" s="15" t="s">
        <v>131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J24" sqref="J24"/>
    </sheetView>
  </sheetViews>
  <sheetFormatPr defaultRowHeight="15" x14ac:dyDescent="0.25"/>
  <cols>
    <col min="1" max="1" width="23.28515625" bestFit="1" customWidth="1"/>
    <col min="2" max="2" width="29.28515625" bestFit="1" customWidth="1"/>
    <col min="3" max="3" width="11.5703125" bestFit="1" customWidth="1"/>
    <col min="4" max="4" width="8.140625" customWidth="1"/>
    <col min="5" max="5" width="36.5703125" bestFit="1" customWidth="1"/>
    <col min="6" max="6" width="16.28515625" bestFit="1" customWidth="1"/>
    <col min="7" max="7" width="19.28515625" bestFit="1" customWidth="1"/>
    <col min="8" max="8" width="10.5703125" bestFit="1" customWidth="1"/>
    <col min="9" max="9" width="10.28515625" bestFit="1" customWidth="1"/>
    <col min="10" max="10" width="9.140625" customWidth="1"/>
    <col min="11" max="11" width="23.28515625" bestFit="1" customWidth="1"/>
  </cols>
  <sheetData>
    <row r="1" spans="1:11" x14ac:dyDescent="0.25">
      <c r="A1" s="16" t="s">
        <v>329</v>
      </c>
      <c r="B1" s="16" t="s">
        <v>330</v>
      </c>
      <c r="C1" s="16" t="s">
        <v>5</v>
      </c>
      <c r="D1" s="16" t="s">
        <v>6</v>
      </c>
      <c r="E1" s="16" t="s">
        <v>135</v>
      </c>
      <c r="F1" s="16" t="s">
        <v>176</v>
      </c>
      <c r="G1" s="15" t="s">
        <v>129</v>
      </c>
      <c r="H1" s="15" t="s">
        <v>130</v>
      </c>
      <c r="I1" s="15" t="s">
        <v>47</v>
      </c>
      <c r="J1" s="15" t="s">
        <v>65</v>
      </c>
      <c r="K1" s="16" t="s">
        <v>331</v>
      </c>
    </row>
    <row r="2" spans="1:11" x14ac:dyDescent="0.25">
      <c r="A2" s="16" t="s">
        <v>332</v>
      </c>
      <c r="B2" s="16" t="s">
        <v>333</v>
      </c>
      <c r="C2" s="16" t="s">
        <v>334</v>
      </c>
      <c r="D2" s="6" t="s">
        <v>44</v>
      </c>
      <c r="E2" s="16" t="s">
        <v>358</v>
      </c>
      <c r="F2" s="6" t="s">
        <v>335</v>
      </c>
      <c r="G2" s="15" t="s">
        <v>133</v>
      </c>
      <c r="H2" s="15" t="s">
        <v>131</v>
      </c>
      <c r="I2" s="15" t="s">
        <v>48</v>
      </c>
      <c r="J2" s="15" t="s">
        <v>65</v>
      </c>
      <c r="K2" s="16" t="s">
        <v>332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J24" sqref="J24"/>
    </sheetView>
  </sheetViews>
  <sheetFormatPr defaultColWidth="20.7109375" defaultRowHeight="15" x14ac:dyDescent="0.25"/>
  <cols>
    <col min="10" max="10" width="25.140625" bestFit="1" customWidth="1"/>
  </cols>
  <sheetData>
    <row r="1" spans="1:12" x14ac:dyDescent="0.25">
      <c r="A1" s="16" t="s">
        <v>51</v>
      </c>
      <c r="B1" s="16" t="s">
        <v>52</v>
      </c>
      <c r="C1" s="16" t="s">
        <v>53</v>
      </c>
      <c r="D1" s="16" t="s">
        <v>25</v>
      </c>
      <c r="E1" s="16" t="s">
        <v>41</v>
      </c>
      <c r="F1" s="16" t="s">
        <v>26</v>
      </c>
      <c r="G1" s="16" t="s">
        <v>6</v>
      </c>
      <c r="H1" s="16" t="s">
        <v>135</v>
      </c>
      <c r="I1" s="16" t="s">
        <v>176</v>
      </c>
      <c r="J1" s="15" t="s">
        <v>129</v>
      </c>
      <c r="K1" s="15" t="s">
        <v>130</v>
      </c>
      <c r="L1" s="15" t="s">
        <v>47</v>
      </c>
    </row>
    <row r="2" spans="1:12" x14ac:dyDescent="0.25">
      <c r="A2" s="16" t="s">
        <v>233</v>
      </c>
      <c r="B2" s="6" t="s">
        <v>336</v>
      </c>
      <c r="C2" s="16" t="s">
        <v>56</v>
      </c>
      <c r="D2" s="16" t="s">
        <v>434</v>
      </c>
      <c r="E2" s="6" t="s">
        <v>57</v>
      </c>
      <c r="F2" s="6" t="s">
        <v>337</v>
      </c>
      <c r="G2" s="6" t="s">
        <v>81</v>
      </c>
      <c r="H2" s="16" t="s">
        <v>358</v>
      </c>
      <c r="I2" s="6" t="s">
        <v>335</v>
      </c>
      <c r="J2" s="15" t="s">
        <v>180</v>
      </c>
      <c r="K2" s="15" t="s">
        <v>131</v>
      </c>
      <c r="L2" s="15" t="s">
        <v>48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J24" sqref="J24"/>
    </sheetView>
  </sheetViews>
  <sheetFormatPr defaultRowHeight="15" x14ac:dyDescent="0.25"/>
  <cols>
    <col min="1" max="1" width="20.28515625" bestFit="1" customWidth="1"/>
    <col min="2" max="2" width="5.7109375" bestFit="1" customWidth="1"/>
    <col min="3" max="3" width="23.28515625" bestFit="1" customWidth="1"/>
  </cols>
  <sheetData>
    <row r="1" spans="1:3" x14ac:dyDescent="0.25">
      <c r="A1" s="15" t="s">
        <v>65</v>
      </c>
      <c r="B1" s="15" t="s">
        <v>6</v>
      </c>
      <c r="C1" s="15" t="s">
        <v>331</v>
      </c>
    </row>
    <row r="2" spans="1:3" x14ac:dyDescent="0.25">
      <c r="A2" s="15" t="s">
        <v>80</v>
      </c>
      <c r="B2" s="6" t="s">
        <v>81</v>
      </c>
      <c r="C2" s="16" t="s">
        <v>332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J24" sqref="J24"/>
    </sheetView>
  </sheetViews>
  <sheetFormatPr defaultRowHeight="15" x14ac:dyDescent="0.25"/>
  <cols>
    <col min="1" max="1" width="32.7109375" bestFit="1" customWidth="1"/>
    <col min="2" max="2" width="29.28515625" bestFit="1" customWidth="1"/>
    <col min="3" max="3" width="29.42578125" bestFit="1" customWidth="1"/>
    <col min="4" max="4" width="11.5703125" bestFit="1" customWidth="1"/>
    <col min="5" max="5" width="3.28515625" bestFit="1" customWidth="1"/>
    <col min="6" max="6" width="46.85546875" bestFit="1" customWidth="1"/>
    <col min="7" max="7" width="16.28515625" bestFit="1" customWidth="1"/>
    <col min="8" max="8" width="19.28515625" bestFit="1" customWidth="1"/>
    <col min="9" max="9" width="10.5703125" bestFit="1" customWidth="1"/>
    <col min="10" max="10" width="10.28515625" bestFit="1" customWidth="1"/>
    <col min="11" max="11" width="5.28515625" bestFit="1" customWidth="1"/>
    <col min="12" max="12" width="24.7109375" bestFit="1" customWidth="1"/>
  </cols>
  <sheetData>
    <row r="1" spans="1:12" x14ac:dyDescent="0.25">
      <c r="A1" s="16" t="s">
        <v>329</v>
      </c>
      <c r="B1" s="16" t="s">
        <v>330</v>
      </c>
      <c r="C1" s="16" t="s">
        <v>338</v>
      </c>
      <c r="D1" s="16" t="s">
        <v>5</v>
      </c>
      <c r="E1" s="16" t="s">
        <v>6</v>
      </c>
      <c r="F1" s="16" t="s">
        <v>135</v>
      </c>
      <c r="G1" s="16" t="s">
        <v>176</v>
      </c>
      <c r="H1" s="15" t="s">
        <v>129</v>
      </c>
      <c r="I1" s="15" t="s">
        <v>130</v>
      </c>
      <c r="J1" s="15" t="s">
        <v>47</v>
      </c>
      <c r="K1" s="15" t="s">
        <v>65</v>
      </c>
      <c r="L1" s="16" t="s">
        <v>331</v>
      </c>
    </row>
    <row r="2" spans="1:12" x14ac:dyDescent="0.25">
      <c r="A2" s="16" t="s">
        <v>339</v>
      </c>
      <c r="B2" s="16" t="s">
        <v>333</v>
      </c>
      <c r="C2" s="16" t="s">
        <v>340</v>
      </c>
      <c r="D2" s="16" t="s">
        <v>334</v>
      </c>
      <c r="E2" s="6" t="s">
        <v>44</v>
      </c>
      <c r="F2" s="16" t="s">
        <v>357</v>
      </c>
      <c r="G2" s="6" t="s">
        <v>335</v>
      </c>
      <c r="H2" s="15" t="s">
        <v>133</v>
      </c>
      <c r="I2" s="15" t="s">
        <v>131</v>
      </c>
      <c r="J2" s="15" t="s">
        <v>48</v>
      </c>
      <c r="K2" s="15" t="s">
        <v>65</v>
      </c>
      <c r="L2" s="16" t="s">
        <v>341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J24" sqref="J24"/>
    </sheetView>
  </sheetViews>
  <sheetFormatPr defaultColWidth="25.7109375" defaultRowHeight="15" x14ac:dyDescent="0.25"/>
  <sheetData>
    <row r="1" spans="1:12" x14ac:dyDescent="0.25">
      <c r="A1" s="16" t="s">
        <v>51</v>
      </c>
      <c r="B1" s="16" t="s">
        <v>52</v>
      </c>
      <c r="C1" s="16" t="s">
        <v>53</v>
      </c>
      <c r="D1" s="16" t="s">
        <v>25</v>
      </c>
      <c r="E1" s="16" t="s">
        <v>41</v>
      </c>
      <c r="F1" s="16" t="s">
        <v>26</v>
      </c>
      <c r="G1" s="16" t="s">
        <v>6</v>
      </c>
      <c r="H1" s="16" t="s">
        <v>135</v>
      </c>
      <c r="I1" s="16" t="s">
        <v>176</v>
      </c>
      <c r="J1" s="15" t="s">
        <v>129</v>
      </c>
      <c r="K1" s="15" t="s">
        <v>130</v>
      </c>
      <c r="L1" s="15" t="s">
        <v>47</v>
      </c>
    </row>
    <row r="2" spans="1:12" x14ac:dyDescent="0.25">
      <c r="A2" s="16" t="s">
        <v>233</v>
      </c>
      <c r="B2" s="6" t="s">
        <v>336</v>
      </c>
      <c r="C2" s="16" t="s">
        <v>56</v>
      </c>
      <c r="D2" s="16" t="s">
        <v>434</v>
      </c>
      <c r="E2" s="16" t="s">
        <v>57</v>
      </c>
      <c r="F2" s="6" t="s">
        <v>337</v>
      </c>
      <c r="G2" s="6" t="s">
        <v>81</v>
      </c>
      <c r="H2" s="16" t="s">
        <v>357</v>
      </c>
      <c r="I2" s="6" t="s">
        <v>335</v>
      </c>
      <c r="J2" s="15" t="s">
        <v>180</v>
      </c>
      <c r="K2" s="15" t="s">
        <v>131</v>
      </c>
      <c r="L2" s="15" t="s">
        <v>48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J24" sqref="J24"/>
    </sheetView>
  </sheetViews>
  <sheetFormatPr defaultRowHeight="15" x14ac:dyDescent="0.25"/>
  <sheetData>
    <row r="1" spans="1:3" x14ac:dyDescent="0.25">
      <c r="A1" s="15" t="s">
        <v>65</v>
      </c>
      <c r="B1" s="15" t="s">
        <v>6</v>
      </c>
      <c r="C1" s="15" t="s">
        <v>331</v>
      </c>
    </row>
    <row r="2" spans="1:3" x14ac:dyDescent="0.25">
      <c r="A2" s="15" t="s">
        <v>80</v>
      </c>
      <c r="B2" s="6" t="s">
        <v>81</v>
      </c>
      <c r="C2" s="15" t="s">
        <v>341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C3" sqref="C3"/>
    </sheetView>
  </sheetViews>
  <sheetFormatPr defaultRowHeight="15" x14ac:dyDescent="0.25"/>
  <cols>
    <col min="1" max="1" width="22" style="15" bestFit="1" customWidth="1"/>
    <col min="2" max="2" width="17.28515625" style="15" bestFit="1" customWidth="1"/>
    <col min="3" max="3" width="15.85546875" style="15" customWidth="1"/>
    <col min="4" max="4" width="3.28515625" style="15" bestFit="1" customWidth="1"/>
    <col min="5" max="5" width="27.7109375" style="15" bestFit="1" customWidth="1"/>
    <col min="6" max="6" width="16.28515625" style="15" bestFit="1" customWidth="1"/>
    <col min="7" max="7" width="19.28515625" style="15" bestFit="1" customWidth="1"/>
    <col min="8" max="8" width="10.5703125" style="15" bestFit="1" customWidth="1"/>
    <col min="9" max="9" width="10.28515625" style="15" bestFit="1" customWidth="1"/>
    <col min="10" max="10" width="5.28515625" style="15" bestFit="1" customWidth="1"/>
    <col min="11" max="11" width="22" style="15" bestFit="1" customWidth="1"/>
    <col min="12" max="16384" width="9.140625" style="15"/>
  </cols>
  <sheetData>
    <row r="1" spans="1:11" x14ac:dyDescent="0.25">
      <c r="A1" s="16" t="s">
        <v>329</v>
      </c>
      <c r="B1" s="16" t="s">
        <v>330</v>
      </c>
      <c r="C1" s="16" t="s">
        <v>5</v>
      </c>
      <c r="D1" s="16" t="s">
        <v>6</v>
      </c>
      <c r="E1" s="16" t="s">
        <v>135</v>
      </c>
      <c r="F1" s="16" t="s">
        <v>176</v>
      </c>
      <c r="G1" s="15" t="s">
        <v>129</v>
      </c>
      <c r="H1" s="15" t="s">
        <v>130</v>
      </c>
      <c r="I1" s="15" t="s">
        <v>47</v>
      </c>
      <c r="J1" s="15" t="s">
        <v>65</v>
      </c>
      <c r="K1" s="16" t="s">
        <v>331</v>
      </c>
    </row>
    <row r="2" spans="1:11" x14ac:dyDescent="0.25">
      <c r="A2" s="16" t="s">
        <v>448</v>
      </c>
      <c r="B2" s="16" t="s">
        <v>450</v>
      </c>
      <c r="C2" s="16" t="s">
        <v>334</v>
      </c>
      <c r="D2" s="6" t="s">
        <v>44</v>
      </c>
      <c r="E2" s="16" t="s">
        <v>449</v>
      </c>
      <c r="F2" s="6" t="s">
        <v>335</v>
      </c>
      <c r="G2" s="15" t="s">
        <v>133</v>
      </c>
      <c r="H2" s="15" t="s">
        <v>131</v>
      </c>
      <c r="I2" s="15" t="s">
        <v>48</v>
      </c>
      <c r="J2" s="15" t="s">
        <v>65</v>
      </c>
      <c r="K2" s="16" t="s">
        <v>448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selection activeCell="C3" sqref="C3"/>
    </sheetView>
  </sheetViews>
  <sheetFormatPr defaultColWidth="20.7109375" defaultRowHeight="15" x14ac:dyDescent="0.25"/>
  <cols>
    <col min="1" max="1" width="11.42578125" style="15" customWidth="1"/>
    <col min="2" max="2" width="12.5703125" style="15" customWidth="1"/>
    <col min="3" max="3" width="7.85546875" style="15" customWidth="1"/>
    <col min="4" max="4" width="14.5703125" style="15" customWidth="1"/>
    <col min="5" max="6" width="7.140625" style="15" customWidth="1"/>
    <col min="7" max="7" width="8.5703125" style="15" customWidth="1"/>
    <col min="8" max="8" width="29.7109375" style="15" customWidth="1"/>
    <col min="9" max="9" width="17.7109375" style="15" customWidth="1"/>
    <col min="10" max="10" width="26.5703125" style="15" customWidth="1"/>
    <col min="11" max="11" width="13.28515625" style="15" customWidth="1"/>
    <col min="12" max="12" width="13" style="15" customWidth="1"/>
    <col min="13" max="16384" width="20.7109375" style="15"/>
  </cols>
  <sheetData>
    <row r="1" spans="1:12" x14ac:dyDescent="0.25">
      <c r="A1" s="16" t="s">
        <v>51</v>
      </c>
      <c r="B1" s="16" t="s">
        <v>52</v>
      </c>
      <c r="C1" s="16" t="s">
        <v>53</v>
      </c>
      <c r="D1" s="16" t="s">
        <v>25</v>
      </c>
      <c r="E1" s="16" t="s">
        <v>41</v>
      </c>
      <c r="F1" s="16" t="s">
        <v>26</v>
      </c>
      <c r="G1" s="16" t="s">
        <v>6</v>
      </c>
      <c r="H1" s="16" t="s">
        <v>135</v>
      </c>
      <c r="I1" s="16" t="s">
        <v>176</v>
      </c>
      <c r="J1" s="15" t="s">
        <v>129</v>
      </c>
      <c r="K1" s="15" t="s">
        <v>130</v>
      </c>
      <c r="L1" s="15" t="s">
        <v>47</v>
      </c>
    </row>
    <row r="2" spans="1:12" x14ac:dyDescent="0.25">
      <c r="A2" s="16" t="s">
        <v>233</v>
      </c>
      <c r="B2" s="6" t="s">
        <v>55</v>
      </c>
      <c r="C2" s="16" t="s">
        <v>56</v>
      </c>
      <c r="D2" s="16" t="s">
        <v>434</v>
      </c>
      <c r="E2" s="6" t="s">
        <v>456</v>
      </c>
      <c r="F2" s="6" t="s">
        <v>455</v>
      </c>
      <c r="G2" s="6" t="s">
        <v>81</v>
      </c>
      <c r="H2" s="16" t="s">
        <v>454</v>
      </c>
      <c r="I2" s="6" t="s">
        <v>335</v>
      </c>
      <c r="J2" s="15" t="s">
        <v>180</v>
      </c>
      <c r="K2" s="15" t="s">
        <v>131</v>
      </c>
      <c r="L2" s="15" t="s">
        <v>48</v>
      </c>
    </row>
    <row r="3" spans="1:12" x14ac:dyDescent="0.25">
      <c r="A3" s="16" t="s">
        <v>233</v>
      </c>
      <c r="B3" s="6" t="s">
        <v>266</v>
      </c>
      <c r="C3" s="16" t="s">
        <v>56</v>
      </c>
      <c r="D3" s="16" t="s">
        <v>453</v>
      </c>
      <c r="E3" s="6" t="s">
        <v>452</v>
      </c>
      <c r="F3" s="6" t="s">
        <v>62</v>
      </c>
      <c r="G3" s="6" t="s">
        <v>82</v>
      </c>
      <c r="H3" s="16" t="s">
        <v>451</v>
      </c>
      <c r="I3" s="6" t="s">
        <v>335</v>
      </c>
      <c r="J3" s="15" t="s">
        <v>180</v>
      </c>
      <c r="K3" s="15" t="s">
        <v>131</v>
      </c>
      <c r="L3" s="15" t="s">
        <v>48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7" sqref="C7"/>
    </sheetView>
  </sheetViews>
  <sheetFormatPr defaultRowHeight="15" x14ac:dyDescent="0.25"/>
  <cols>
    <col min="1" max="1" width="24.140625" style="15" customWidth="1"/>
    <col min="2" max="2" width="8.85546875" style="15" customWidth="1"/>
    <col min="3" max="3" width="24.28515625" style="15" customWidth="1"/>
    <col min="4" max="16384" width="9.140625" style="15"/>
  </cols>
  <sheetData>
    <row r="1" spans="1:3" x14ac:dyDescent="0.25">
      <c r="A1" s="15" t="s">
        <v>65</v>
      </c>
      <c r="B1" s="15" t="s">
        <v>6</v>
      </c>
      <c r="C1" s="15" t="s">
        <v>331</v>
      </c>
    </row>
    <row r="2" spans="1:3" x14ac:dyDescent="0.25">
      <c r="A2" s="15" t="s">
        <v>80</v>
      </c>
      <c r="B2" s="6" t="s">
        <v>81</v>
      </c>
      <c r="C2" s="16" t="s">
        <v>448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cols>
    <col min="1" max="1" width="5.7109375" bestFit="1" customWidth="1"/>
    <col min="2" max="2" width="26.140625" bestFit="1" customWidth="1"/>
    <col min="3" max="3" width="22" bestFit="1" customWidth="1"/>
    <col min="4" max="4" width="10.5703125" bestFit="1" customWidth="1"/>
  </cols>
  <sheetData>
    <row r="1" spans="1:4" x14ac:dyDescent="0.25">
      <c r="A1" s="15" t="s">
        <v>6</v>
      </c>
      <c r="B1" s="15" t="s">
        <v>135</v>
      </c>
      <c r="C1" s="15" t="s">
        <v>129</v>
      </c>
      <c r="D1" s="15" t="s">
        <v>130</v>
      </c>
    </row>
    <row r="2" spans="1:4" x14ac:dyDescent="0.25">
      <c r="A2" s="6" t="s">
        <v>81</v>
      </c>
      <c r="B2" s="15" t="s">
        <v>342</v>
      </c>
      <c r="C2" s="16" t="s">
        <v>134</v>
      </c>
      <c r="D2" s="15" t="s">
        <v>131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sqref="A1:XFD2"/>
    </sheetView>
  </sheetViews>
  <sheetFormatPr defaultRowHeight="15" x14ac:dyDescent="0.25"/>
  <cols>
    <col min="1" max="1" width="20" bestFit="1" customWidth="1"/>
    <col min="3" max="3" width="20.85546875" bestFit="1" customWidth="1"/>
    <col min="4" max="4" width="22" bestFit="1" customWidth="1"/>
  </cols>
  <sheetData>
    <row r="1" spans="1:6" x14ac:dyDescent="0.25">
      <c r="A1" s="16" t="s">
        <v>65</v>
      </c>
      <c r="B1" s="16" t="s">
        <v>6</v>
      </c>
      <c r="C1" s="15" t="s">
        <v>135</v>
      </c>
      <c r="D1" s="15" t="s">
        <v>129</v>
      </c>
      <c r="E1" s="15" t="s">
        <v>130</v>
      </c>
      <c r="F1" s="15" t="s">
        <v>47</v>
      </c>
    </row>
    <row r="2" spans="1:6" x14ac:dyDescent="0.25">
      <c r="A2" s="16" t="s">
        <v>343</v>
      </c>
      <c r="B2" s="6" t="s">
        <v>44</v>
      </c>
      <c r="C2" s="15" t="s">
        <v>344</v>
      </c>
      <c r="D2" s="15" t="s">
        <v>134</v>
      </c>
      <c r="E2" s="15" t="s">
        <v>131</v>
      </c>
      <c r="F2" s="15" t="s">
        <v>48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H13" sqref="H13"/>
    </sheetView>
  </sheetViews>
  <sheetFormatPr defaultRowHeight="15" x14ac:dyDescent="0.25"/>
  <sheetData>
    <row r="1" spans="1:6" s="15" customFormat="1" x14ac:dyDescent="0.25">
      <c r="A1" s="16" t="s">
        <v>65</v>
      </c>
      <c r="B1" s="16" t="s">
        <v>6</v>
      </c>
      <c r="C1" s="15" t="s">
        <v>135</v>
      </c>
      <c r="D1" s="15" t="s">
        <v>129</v>
      </c>
      <c r="E1" s="15" t="s">
        <v>130</v>
      </c>
      <c r="F1" s="15" t="s">
        <v>47</v>
      </c>
    </row>
    <row r="2" spans="1:6" s="15" customFormat="1" x14ac:dyDescent="0.25">
      <c r="A2" s="16" t="s">
        <v>343</v>
      </c>
      <c r="B2" s="6" t="s">
        <v>44</v>
      </c>
      <c r="C2" s="15" t="s">
        <v>344</v>
      </c>
      <c r="D2" s="15" t="s">
        <v>134</v>
      </c>
      <c r="E2" s="15" t="s">
        <v>131</v>
      </c>
      <c r="F2" s="15" t="s">
        <v>48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24" sqref="J24"/>
    </sheetView>
  </sheetViews>
  <sheetFormatPr defaultRowHeight="15" x14ac:dyDescent="0.25"/>
  <sheetData>
    <row r="1" spans="1:4" x14ac:dyDescent="0.25">
      <c r="A1" s="15" t="s">
        <v>6</v>
      </c>
      <c r="B1" s="15" t="s">
        <v>135</v>
      </c>
      <c r="C1" s="15" t="s">
        <v>129</v>
      </c>
      <c r="D1" s="15" t="s">
        <v>130</v>
      </c>
    </row>
    <row r="2" spans="1:4" x14ac:dyDescent="0.25">
      <c r="A2" s="6" t="s">
        <v>81</v>
      </c>
      <c r="B2" s="15" t="s">
        <v>345</v>
      </c>
      <c r="C2" s="16" t="s">
        <v>134</v>
      </c>
      <c r="D2" s="15" t="s">
        <v>131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I11" sqref="I11"/>
    </sheetView>
  </sheetViews>
  <sheetFormatPr defaultRowHeight="15" x14ac:dyDescent="0.25"/>
  <cols>
    <col min="2" max="2" width="31.42578125" bestFit="1" customWidth="1"/>
    <col min="3" max="3" width="10.28515625" bestFit="1" customWidth="1"/>
    <col min="5" max="5" width="11.5703125" bestFit="1" customWidth="1"/>
    <col min="6" max="6" width="12.42578125" bestFit="1" customWidth="1"/>
  </cols>
  <sheetData>
    <row r="1" spans="1:8" x14ac:dyDescent="0.25">
      <c r="A1" s="2" t="s">
        <v>6</v>
      </c>
      <c r="B1" s="2" t="s">
        <v>135</v>
      </c>
      <c r="C1" s="2" t="s">
        <v>47</v>
      </c>
      <c r="D1" s="2" t="s">
        <v>130</v>
      </c>
      <c r="E1" s="2" t="s">
        <v>72</v>
      </c>
      <c r="F1" s="15" t="s">
        <v>73</v>
      </c>
      <c r="G1" s="15" t="s">
        <v>309</v>
      </c>
      <c r="H1" s="15" t="s">
        <v>310</v>
      </c>
    </row>
    <row r="2" spans="1:8" x14ac:dyDescent="0.25">
      <c r="A2" s="8" t="s">
        <v>44</v>
      </c>
      <c r="B2" s="14" t="s">
        <v>352</v>
      </c>
      <c r="C2" s="16" t="s">
        <v>48</v>
      </c>
      <c r="D2" s="15" t="s">
        <v>131</v>
      </c>
      <c r="E2" s="16" t="s">
        <v>74</v>
      </c>
      <c r="F2" s="15" t="str">
        <f ca="1">TEXT(NOW(),"yyyy-mm-dd")</f>
        <v>2026-08-21</v>
      </c>
      <c r="G2" s="15" t="s">
        <v>71</v>
      </c>
      <c r="H2" s="15" t="s">
        <v>71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H6" sqref="H6"/>
    </sheetView>
  </sheetViews>
  <sheetFormatPr defaultRowHeight="15" x14ac:dyDescent="0.25"/>
  <cols>
    <col min="4" max="4" width="9" bestFit="1" customWidth="1"/>
    <col min="5" max="5" width="17.85546875" bestFit="1" customWidth="1"/>
    <col min="6" max="6" width="10.140625" bestFit="1" customWidth="1"/>
  </cols>
  <sheetData>
    <row r="1" spans="1:6" x14ac:dyDescent="0.25">
      <c r="A1" s="2" t="s">
        <v>6</v>
      </c>
      <c r="B1" s="2" t="s">
        <v>47</v>
      </c>
      <c r="C1" s="2" t="s">
        <v>130</v>
      </c>
      <c r="D1" s="2" t="s">
        <v>65</v>
      </c>
      <c r="E1" s="2" t="s">
        <v>242</v>
      </c>
      <c r="F1" s="2" t="s">
        <v>284</v>
      </c>
    </row>
    <row r="2" spans="1:6" x14ac:dyDescent="0.25">
      <c r="A2" s="6" t="s">
        <v>81</v>
      </c>
      <c r="B2" s="16" t="s">
        <v>48</v>
      </c>
      <c r="C2" s="16" t="s">
        <v>131</v>
      </c>
      <c r="D2" s="16" t="s">
        <v>233</v>
      </c>
      <c r="E2" s="15" t="s">
        <v>346</v>
      </c>
      <c r="F2" s="15" t="s">
        <v>319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J24" sqref="J24"/>
    </sheetView>
  </sheetViews>
  <sheetFormatPr defaultRowHeight="15" x14ac:dyDescent="0.25"/>
  <cols>
    <col min="2" max="2" width="31.42578125" bestFit="1" customWidth="1"/>
    <col min="9" max="9" width="19" bestFit="1" customWidth="1"/>
    <col min="10" max="10" width="19.28515625" bestFit="1" customWidth="1"/>
  </cols>
  <sheetData>
    <row r="1" spans="1:10" x14ac:dyDescent="0.25">
      <c r="A1" s="2" t="s">
        <v>6</v>
      </c>
      <c r="B1" s="2" t="s">
        <v>135</v>
      </c>
      <c r="C1" s="2" t="s">
        <v>47</v>
      </c>
      <c r="D1" s="2" t="s">
        <v>130</v>
      </c>
      <c r="E1" s="2" t="s">
        <v>312</v>
      </c>
      <c r="F1" s="2" t="s">
        <v>313</v>
      </c>
      <c r="G1" s="2" t="s">
        <v>314</v>
      </c>
      <c r="H1" s="2" t="s">
        <v>315</v>
      </c>
      <c r="I1" s="16" t="s">
        <v>225</v>
      </c>
      <c r="J1" s="2" t="s">
        <v>129</v>
      </c>
    </row>
    <row r="2" spans="1:10" x14ac:dyDescent="0.25">
      <c r="A2" s="6" t="s">
        <v>81</v>
      </c>
      <c r="B2" s="14" t="s">
        <v>352</v>
      </c>
      <c r="C2" s="16" t="s">
        <v>48</v>
      </c>
      <c r="D2" s="16" t="s">
        <v>131</v>
      </c>
      <c r="E2" s="6" t="s">
        <v>57</v>
      </c>
      <c r="F2" s="6" t="s">
        <v>10</v>
      </c>
      <c r="G2" s="6" t="s">
        <v>337</v>
      </c>
      <c r="H2" s="6" t="s">
        <v>10</v>
      </c>
      <c r="I2" s="16" t="s">
        <v>216</v>
      </c>
      <c r="J2" s="15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J24" sqref="J24"/>
    </sheetView>
  </sheetViews>
  <sheetFormatPr defaultRowHeight="15" x14ac:dyDescent="0.25"/>
  <cols>
    <col min="1" max="16384" width="9.140625" style="15"/>
  </cols>
  <sheetData>
    <row r="1" spans="1:8" x14ac:dyDescent="0.25">
      <c r="A1" s="2" t="s">
        <v>6</v>
      </c>
      <c r="B1" s="2" t="s">
        <v>135</v>
      </c>
      <c r="C1" s="2" t="s">
        <v>47</v>
      </c>
      <c r="D1" s="2" t="s">
        <v>130</v>
      </c>
      <c r="E1" s="2" t="s">
        <v>72</v>
      </c>
      <c r="F1" s="15" t="s">
        <v>73</v>
      </c>
      <c r="G1" s="15" t="s">
        <v>309</v>
      </c>
      <c r="H1" s="15" t="s">
        <v>310</v>
      </c>
    </row>
    <row r="2" spans="1:8" x14ac:dyDescent="0.25">
      <c r="A2" s="8" t="s">
        <v>44</v>
      </c>
      <c r="B2" s="14" t="s">
        <v>353</v>
      </c>
      <c r="C2" s="16" t="s">
        <v>48</v>
      </c>
      <c r="D2" s="15" t="s">
        <v>131</v>
      </c>
      <c r="E2" s="16" t="s">
        <v>74</v>
      </c>
      <c r="F2" s="15" t="str">
        <f ca="1">TEXT(NOW(),"yyyy-mm-dd")</f>
        <v>2026-08-21</v>
      </c>
      <c r="G2" s="15" t="s">
        <v>71</v>
      </c>
      <c r="H2" s="15" t="s">
        <v>71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J24" sqref="J24"/>
    </sheetView>
  </sheetViews>
  <sheetFormatPr defaultRowHeight="15" x14ac:dyDescent="0.25"/>
  <cols>
    <col min="1" max="4" width="9.140625" style="15"/>
    <col min="5" max="5" width="17.85546875" style="15" bestFit="1" customWidth="1"/>
    <col min="6" max="16384" width="9.140625" style="15"/>
  </cols>
  <sheetData>
    <row r="1" spans="1:6" x14ac:dyDescent="0.25">
      <c r="A1" s="2" t="s">
        <v>6</v>
      </c>
      <c r="B1" s="2" t="s">
        <v>47</v>
      </c>
      <c r="C1" s="2" t="s">
        <v>130</v>
      </c>
      <c r="D1" s="2" t="s">
        <v>65</v>
      </c>
      <c r="E1" s="2" t="s">
        <v>242</v>
      </c>
      <c r="F1" s="2" t="s">
        <v>284</v>
      </c>
    </row>
    <row r="2" spans="1:6" x14ac:dyDescent="0.25">
      <c r="A2" s="6" t="s">
        <v>81</v>
      </c>
      <c r="B2" s="16" t="s">
        <v>48</v>
      </c>
      <c r="C2" s="16" t="s">
        <v>131</v>
      </c>
      <c r="D2" s="15">
        <v>68186021</v>
      </c>
      <c r="E2" s="15" t="s">
        <v>347</v>
      </c>
      <c r="F2" s="15" t="s">
        <v>319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C9" sqref="C9"/>
    </sheetView>
  </sheetViews>
  <sheetFormatPr defaultColWidth="10.7109375" defaultRowHeight="15" x14ac:dyDescent="0.25"/>
  <cols>
    <col min="1" max="1" width="10.7109375" style="15"/>
    <col min="2" max="2" width="30.7109375" style="15" bestFit="1" customWidth="1"/>
    <col min="3" max="16384" width="10.7109375" style="15"/>
  </cols>
  <sheetData>
    <row r="1" spans="1:14" x14ac:dyDescent="0.25">
      <c r="A1" s="2" t="s">
        <v>6</v>
      </c>
      <c r="B1" s="2" t="s">
        <v>135</v>
      </c>
      <c r="C1" s="2" t="s">
        <v>47</v>
      </c>
      <c r="D1" s="2" t="s">
        <v>130</v>
      </c>
      <c r="E1" s="2" t="s">
        <v>312</v>
      </c>
      <c r="F1" s="2" t="s">
        <v>313</v>
      </c>
      <c r="G1" s="2" t="s">
        <v>314</v>
      </c>
      <c r="H1" s="2" t="s">
        <v>315</v>
      </c>
      <c r="I1" s="2" t="s">
        <v>348</v>
      </c>
      <c r="J1" s="2" t="s">
        <v>349</v>
      </c>
      <c r="K1" s="2" t="s">
        <v>350</v>
      </c>
      <c r="L1" s="2" t="s">
        <v>351</v>
      </c>
      <c r="M1" s="16" t="s">
        <v>225</v>
      </c>
      <c r="N1" s="2" t="s">
        <v>129</v>
      </c>
    </row>
    <row r="2" spans="1:14" x14ac:dyDescent="0.25">
      <c r="A2" s="6" t="s">
        <v>81</v>
      </c>
      <c r="B2" s="6" t="s">
        <v>353</v>
      </c>
      <c r="C2" s="16" t="s">
        <v>48</v>
      </c>
      <c r="D2" s="16" t="s">
        <v>131</v>
      </c>
      <c r="E2" s="6" t="s">
        <v>57</v>
      </c>
      <c r="F2" s="6" t="s">
        <v>10</v>
      </c>
      <c r="G2" s="6" t="s">
        <v>337</v>
      </c>
      <c r="H2" s="6" t="s">
        <v>10</v>
      </c>
      <c r="I2" s="6" t="s">
        <v>57</v>
      </c>
      <c r="J2" s="6" t="s">
        <v>57</v>
      </c>
      <c r="K2" s="6" t="s">
        <v>337</v>
      </c>
      <c r="L2" s="6" t="s">
        <v>337</v>
      </c>
      <c r="M2" s="16" t="s">
        <v>216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J19" sqref="J19"/>
    </sheetView>
  </sheetViews>
  <sheetFormatPr defaultRowHeight="15" x14ac:dyDescent="0.25"/>
  <cols>
    <col min="1" max="5" width="9.140625" style="15"/>
    <col min="6" max="6" width="10.7109375" style="15" bestFit="1" customWidth="1"/>
    <col min="7" max="16384" width="9.140625" style="15"/>
  </cols>
  <sheetData>
    <row r="1" spans="1:8" x14ac:dyDescent="0.25">
      <c r="A1" s="2" t="s">
        <v>6</v>
      </c>
      <c r="B1" s="2" t="s">
        <v>135</v>
      </c>
      <c r="C1" s="2" t="s">
        <v>47</v>
      </c>
      <c r="D1" s="2" t="s">
        <v>130</v>
      </c>
      <c r="E1" s="2" t="s">
        <v>72</v>
      </c>
      <c r="F1" s="15" t="s">
        <v>73</v>
      </c>
      <c r="G1" s="15" t="s">
        <v>309</v>
      </c>
      <c r="H1" s="15" t="s">
        <v>310</v>
      </c>
    </row>
    <row r="2" spans="1:8" x14ac:dyDescent="0.25">
      <c r="A2" s="8" t="s">
        <v>44</v>
      </c>
      <c r="B2" s="14" t="s">
        <v>457</v>
      </c>
      <c r="C2" s="16" t="s">
        <v>48</v>
      </c>
      <c r="D2" s="15" t="s">
        <v>131</v>
      </c>
      <c r="E2" s="16" t="s">
        <v>74</v>
      </c>
      <c r="F2" s="15" t="str">
        <f ca="1">TEXT(NOW(),"yyyy-mm-dd")</f>
        <v>2026-08-21</v>
      </c>
      <c r="G2" s="15" t="s">
        <v>71</v>
      </c>
      <c r="H2" s="15" t="s">
        <v>71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J19" sqref="J19"/>
    </sheetView>
  </sheetViews>
  <sheetFormatPr defaultRowHeight="15" x14ac:dyDescent="0.25"/>
  <cols>
    <col min="1" max="4" width="9.140625" style="15"/>
    <col min="5" max="5" width="17.85546875" style="15" bestFit="1" customWidth="1"/>
    <col min="6" max="16384" width="9.140625" style="15"/>
  </cols>
  <sheetData>
    <row r="1" spans="1:6" x14ac:dyDescent="0.25">
      <c r="A1" s="2" t="s">
        <v>6</v>
      </c>
      <c r="B1" s="2" t="s">
        <v>47</v>
      </c>
      <c r="C1" s="2" t="s">
        <v>130</v>
      </c>
      <c r="D1" s="2" t="s">
        <v>65</v>
      </c>
      <c r="E1" s="2" t="s">
        <v>242</v>
      </c>
      <c r="F1" s="2" t="s">
        <v>284</v>
      </c>
    </row>
    <row r="2" spans="1:6" x14ac:dyDescent="0.25">
      <c r="A2" s="6" t="s">
        <v>81</v>
      </c>
      <c r="B2" s="16" t="s">
        <v>48</v>
      </c>
      <c r="C2" s="16" t="s">
        <v>131</v>
      </c>
      <c r="D2" s="8" t="s">
        <v>233</v>
      </c>
      <c r="E2" s="15" t="s">
        <v>450</v>
      </c>
      <c r="F2" s="8" t="s">
        <v>10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J19" sqref="J19"/>
    </sheetView>
  </sheetViews>
  <sheetFormatPr defaultRowHeight="15" x14ac:dyDescent="0.25"/>
  <cols>
    <col min="1" max="1" width="5.7109375" style="15" bestFit="1" customWidth="1"/>
    <col min="2" max="2" width="30.140625" style="15" bestFit="1" customWidth="1"/>
    <col min="3" max="3" width="10.28515625" style="15" bestFit="1" customWidth="1"/>
    <col min="4" max="4" width="10.5703125" style="15" bestFit="1" customWidth="1"/>
    <col min="5" max="5" width="11.28515625" style="15" bestFit="1" customWidth="1"/>
    <col min="6" max="6" width="12.85546875" style="15" bestFit="1" customWidth="1"/>
    <col min="7" max="7" width="11.42578125" style="15" bestFit="1" customWidth="1"/>
    <col min="8" max="8" width="13.140625" style="15" bestFit="1" customWidth="1"/>
    <col min="9" max="9" width="15.28515625" style="15" bestFit="1" customWidth="1"/>
    <col min="10" max="10" width="16.85546875" style="15" bestFit="1" customWidth="1"/>
    <col min="11" max="11" width="15.42578125" style="15" bestFit="1" customWidth="1"/>
    <col min="12" max="12" width="13.140625" style="15" bestFit="1" customWidth="1"/>
    <col min="13" max="13" width="19" style="15" bestFit="1" customWidth="1"/>
    <col min="14" max="14" width="19.28515625" style="15" bestFit="1" customWidth="1"/>
    <col min="15" max="16384" width="9.140625" style="15"/>
  </cols>
  <sheetData>
    <row r="1" spans="1:14" x14ac:dyDescent="0.25">
      <c r="A1" s="2" t="s">
        <v>6</v>
      </c>
      <c r="B1" s="2" t="s">
        <v>135</v>
      </c>
      <c r="C1" s="2" t="s">
        <v>47</v>
      </c>
      <c r="D1" s="2" t="s">
        <v>130</v>
      </c>
      <c r="E1" s="2" t="s">
        <v>465</v>
      </c>
      <c r="F1" s="2" t="s">
        <v>464</v>
      </c>
      <c r="G1" s="2" t="s">
        <v>463</v>
      </c>
      <c r="H1" s="2" t="s">
        <v>462</v>
      </c>
      <c r="I1" s="2" t="s">
        <v>461</v>
      </c>
      <c r="J1" s="2" t="s">
        <v>460</v>
      </c>
      <c r="K1" s="2" t="s">
        <v>459</v>
      </c>
      <c r="L1" s="2" t="s">
        <v>458</v>
      </c>
      <c r="M1" s="16" t="s">
        <v>225</v>
      </c>
      <c r="N1" s="2" t="s">
        <v>129</v>
      </c>
    </row>
    <row r="2" spans="1:14" x14ac:dyDescent="0.25">
      <c r="A2" s="6" t="s">
        <v>81</v>
      </c>
      <c r="B2" s="14" t="s">
        <v>457</v>
      </c>
      <c r="C2" s="16" t="s">
        <v>48</v>
      </c>
      <c r="D2" s="16" t="s">
        <v>131</v>
      </c>
      <c r="E2" s="6" t="s">
        <v>57</v>
      </c>
      <c r="F2" s="6" t="s">
        <v>452</v>
      </c>
      <c r="G2" s="6" t="s">
        <v>337</v>
      </c>
      <c r="H2" s="6" t="s">
        <v>62</v>
      </c>
      <c r="I2" s="6" t="s">
        <v>452</v>
      </c>
      <c r="J2" s="6" t="s">
        <v>10</v>
      </c>
      <c r="K2" s="6" t="s">
        <v>62</v>
      </c>
      <c r="L2" s="6" t="s">
        <v>10</v>
      </c>
      <c r="M2" s="16" t="s">
        <v>216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J24" sqref="J24"/>
    </sheetView>
  </sheetViews>
  <sheetFormatPr defaultRowHeight="15" x14ac:dyDescent="0.25"/>
  <cols>
    <col min="1" max="1" width="5" customWidth="1"/>
    <col min="2" max="2" width="23.7109375" bestFit="1" customWidth="1"/>
    <col min="3" max="3" width="10.28515625" bestFit="1" customWidth="1"/>
    <col min="4" max="4" width="10.5703125" bestFit="1" customWidth="1"/>
    <col min="5" max="5" width="11.5703125" bestFit="1" customWidth="1"/>
    <col min="6" max="6" width="12.42578125" bestFit="1" customWidth="1"/>
    <col min="7" max="7" width="8.85546875" bestFit="1" customWidth="1"/>
    <col min="8" max="8" width="6.140625" bestFit="1" customWidth="1"/>
  </cols>
  <sheetData>
    <row r="1" spans="1:8" x14ac:dyDescent="0.25">
      <c r="A1" s="2" t="s">
        <v>6</v>
      </c>
      <c r="B1" s="2" t="s">
        <v>135</v>
      </c>
      <c r="C1" s="2" t="s">
        <v>47</v>
      </c>
      <c r="D1" s="2" t="s">
        <v>130</v>
      </c>
      <c r="E1" s="2" t="s">
        <v>72</v>
      </c>
      <c r="F1" s="15" t="s">
        <v>73</v>
      </c>
      <c r="G1" s="15" t="s">
        <v>309</v>
      </c>
      <c r="H1" s="15" t="s">
        <v>310</v>
      </c>
    </row>
    <row r="2" spans="1:8" x14ac:dyDescent="0.25">
      <c r="A2" s="8" t="s">
        <v>44</v>
      </c>
      <c r="B2" s="14" t="s">
        <v>311</v>
      </c>
      <c r="C2" s="16" t="s">
        <v>48</v>
      </c>
      <c r="D2" s="15" t="s">
        <v>131</v>
      </c>
      <c r="E2" s="16" t="s">
        <v>74</v>
      </c>
      <c r="F2" s="15" t="str">
        <f ca="1">TEXT(NOW(),"yyyy-mm-dd")</f>
        <v>2026-08-21</v>
      </c>
      <c r="G2" s="15" t="s">
        <v>71</v>
      </c>
      <c r="H2" s="15" t="s">
        <v>71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4" sqref="F14"/>
    </sheetView>
  </sheetViews>
  <sheetFormatPr defaultRowHeight="15" x14ac:dyDescent="0.25"/>
  <cols>
    <col min="1" max="1" width="5.7109375" bestFit="1" customWidth="1"/>
    <col min="2" max="2" width="10.28515625" bestFit="1" customWidth="1"/>
    <col min="3" max="3" width="10.5703125" bestFit="1" customWidth="1"/>
    <col min="4" max="4" width="9" bestFit="1" customWidth="1"/>
    <col min="5" max="5" width="11.5703125" bestFit="1" customWidth="1"/>
    <col min="6" max="6" width="10.140625" bestFit="1" customWidth="1"/>
  </cols>
  <sheetData>
    <row r="1" spans="1:6" x14ac:dyDescent="0.25">
      <c r="A1" s="2" t="s">
        <v>6</v>
      </c>
      <c r="B1" s="2" t="s">
        <v>47</v>
      </c>
      <c r="C1" s="2" t="s">
        <v>130</v>
      </c>
      <c r="D1" s="2" t="s">
        <v>65</v>
      </c>
      <c r="E1" s="2" t="s">
        <v>242</v>
      </c>
      <c r="F1" s="2" t="s">
        <v>284</v>
      </c>
    </row>
    <row r="2" spans="1:6" x14ac:dyDescent="0.25">
      <c r="A2" s="6" t="s">
        <v>81</v>
      </c>
      <c r="B2" s="16" t="s">
        <v>48</v>
      </c>
      <c r="C2" s="16" t="s">
        <v>131</v>
      </c>
      <c r="D2" s="15">
        <v>68186021</v>
      </c>
      <c r="E2" s="15" t="s">
        <v>318</v>
      </c>
      <c r="F2" s="15" t="s">
        <v>319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F9" sqref="F9"/>
    </sheetView>
  </sheetViews>
  <sheetFormatPr defaultRowHeight="15" x14ac:dyDescent="0.25"/>
  <cols>
    <col min="1" max="1" width="5.7109375" bestFit="1" customWidth="1"/>
    <col min="2" max="2" width="30.7109375" bestFit="1" customWidth="1"/>
    <col min="3" max="3" width="10.28515625" bestFit="1" customWidth="1"/>
    <col min="4" max="4" width="10.5703125" bestFit="1" customWidth="1"/>
    <col min="5" max="5" width="5.28515625" bestFit="1" customWidth="1"/>
    <col min="6" max="6" width="6.85546875" bestFit="1" customWidth="1"/>
    <col min="7" max="7" width="5.42578125" bestFit="1" customWidth="1"/>
    <col min="8" max="8" width="29.7109375" customWidth="1"/>
    <col min="9" max="9" width="19" bestFit="1" customWidth="1"/>
    <col min="10" max="10" width="19.28515625" bestFit="1" customWidth="1"/>
  </cols>
  <sheetData>
    <row r="1" spans="1:10" x14ac:dyDescent="0.25">
      <c r="A1" s="2" t="s">
        <v>6</v>
      </c>
      <c r="B1" s="2" t="s">
        <v>135</v>
      </c>
      <c r="C1" s="2" t="s">
        <v>47</v>
      </c>
      <c r="D1" s="2" t="s">
        <v>130</v>
      </c>
      <c r="E1" s="2" t="s">
        <v>312</v>
      </c>
      <c r="F1" s="2" t="s">
        <v>313</v>
      </c>
      <c r="G1" s="2" t="s">
        <v>314</v>
      </c>
      <c r="H1" s="2" t="s">
        <v>315</v>
      </c>
      <c r="I1" s="16" t="s">
        <v>225</v>
      </c>
      <c r="J1" s="2" t="s">
        <v>129</v>
      </c>
    </row>
    <row r="2" spans="1:10" x14ac:dyDescent="0.25">
      <c r="A2" s="6" t="s">
        <v>81</v>
      </c>
      <c r="B2" s="14" t="s">
        <v>311</v>
      </c>
      <c r="C2" s="16" t="s">
        <v>48</v>
      </c>
      <c r="D2" s="16" t="s">
        <v>131</v>
      </c>
      <c r="E2" s="6" t="s">
        <v>316</v>
      </c>
      <c r="F2" s="6" t="s">
        <v>433</v>
      </c>
      <c r="G2" s="6" t="s">
        <v>10</v>
      </c>
      <c r="H2" s="6" t="s">
        <v>10</v>
      </c>
      <c r="I2" s="16" t="s">
        <v>216</v>
      </c>
      <c r="J2" s="15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H9" sqref="H9"/>
    </sheetView>
  </sheetViews>
  <sheetFormatPr defaultRowHeight="15" x14ac:dyDescent="0.25"/>
  <cols>
    <col min="2" max="2" width="24.42578125" bestFit="1" customWidth="1"/>
    <col min="3" max="3" width="10.28515625" bestFit="1" customWidth="1"/>
    <col min="4" max="4" width="10.5703125" bestFit="1" customWidth="1"/>
    <col min="5" max="5" width="11.5703125" bestFit="1" customWidth="1"/>
    <col min="6" max="6" width="12.42578125" bestFit="1" customWidth="1"/>
  </cols>
  <sheetData>
    <row r="1" spans="1:8" x14ac:dyDescent="0.25">
      <c r="A1" s="2" t="s">
        <v>6</v>
      </c>
      <c r="B1" s="2" t="s">
        <v>135</v>
      </c>
      <c r="C1" s="2" t="s">
        <v>47</v>
      </c>
      <c r="D1" s="2" t="s">
        <v>130</v>
      </c>
      <c r="E1" s="2" t="s">
        <v>72</v>
      </c>
      <c r="F1" s="15" t="s">
        <v>73</v>
      </c>
      <c r="G1" s="15" t="s">
        <v>309</v>
      </c>
      <c r="H1" s="15" t="s">
        <v>310</v>
      </c>
    </row>
    <row r="2" spans="1:8" x14ac:dyDescent="0.25">
      <c r="A2" s="8" t="s">
        <v>44</v>
      </c>
      <c r="B2" s="14" t="s">
        <v>354</v>
      </c>
      <c r="C2" s="16" t="s">
        <v>48</v>
      </c>
      <c r="D2" s="15" t="s">
        <v>131</v>
      </c>
      <c r="E2" s="16" t="s">
        <v>74</v>
      </c>
      <c r="F2" s="15" t="str">
        <f ca="1">TEXT(NOW(),"yyyy-mm-dd")</f>
        <v>2026-08-21</v>
      </c>
      <c r="G2" s="15" t="s">
        <v>71</v>
      </c>
      <c r="H2" s="15" t="s">
        <v>71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2" sqref="E2"/>
    </sheetView>
  </sheetViews>
  <sheetFormatPr defaultRowHeight="15" x14ac:dyDescent="0.25"/>
  <cols>
    <col min="2" max="2" width="10.28515625" bestFit="1" customWidth="1"/>
    <col min="3" max="3" width="10.5703125" bestFit="1" customWidth="1"/>
    <col min="5" max="5" width="17.85546875" bestFit="1" customWidth="1"/>
    <col min="6" max="6" width="10.140625" bestFit="1" customWidth="1"/>
  </cols>
  <sheetData>
    <row r="1" spans="1:6" x14ac:dyDescent="0.25">
      <c r="A1" s="2" t="s">
        <v>6</v>
      </c>
      <c r="B1" s="2" t="s">
        <v>47</v>
      </c>
      <c r="C1" s="2" t="s">
        <v>130</v>
      </c>
      <c r="D1" s="2" t="s">
        <v>65</v>
      </c>
      <c r="E1" s="2" t="s">
        <v>242</v>
      </c>
      <c r="F1" s="2" t="s">
        <v>284</v>
      </c>
    </row>
    <row r="2" spans="1:6" x14ac:dyDescent="0.25">
      <c r="A2" s="6" t="s">
        <v>81</v>
      </c>
      <c r="B2" s="16" t="s">
        <v>48</v>
      </c>
      <c r="C2" s="16" t="s">
        <v>131</v>
      </c>
      <c r="D2" s="15">
        <v>68186021</v>
      </c>
      <c r="E2" s="15" t="s">
        <v>318</v>
      </c>
      <c r="F2" s="15" t="s">
        <v>319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H14" sqref="H14"/>
    </sheetView>
  </sheetViews>
  <sheetFormatPr defaultRowHeight="15" x14ac:dyDescent="0.25"/>
  <cols>
    <col min="2" max="2" width="24.42578125" bestFit="1" customWidth="1"/>
    <col min="3" max="3" width="10.28515625" bestFit="1" customWidth="1"/>
    <col min="4" max="4" width="10.5703125" bestFit="1" customWidth="1"/>
    <col min="9" max="9" width="19" bestFit="1" customWidth="1"/>
  </cols>
  <sheetData>
    <row r="1" spans="1:10" x14ac:dyDescent="0.25">
      <c r="A1" s="2" t="s">
        <v>6</v>
      </c>
      <c r="B1" s="2" t="s">
        <v>135</v>
      </c>
      <c r="C1" s="2" t="s">
        <v>47</v>
      </c>
      <c r="D1" s="2" t="s">
        <v>130</v>
      </c>
      <c r="E1" s="2" t="s">
        <v>312</v>
      </c>
      <c r="F1" s="2" t="s">
        <v>313</v>
      </c>
      <c r="G1" s="2" t="s">
        <v>314</v>
      </c>
      <c r="H1" s="2" t="s">
        <v>315</v>
      </c>
      <c r="I1" s="16" t="s">
        <v>225</v>
      </c>
      <c r="J1" s="2" t="s">
        <v>129</v>
      </c>
    </row>
    <row r="2" spans="1:10" x14ac:dyDescent="0.25">
      <c r="A2" s="6" t="s">
        <v>81</v>
      </c>
      <c r="B2" s="14" t="s">
        <v>354</v>
      </c>
      <c r="C2" s="16" t="s">
        <v>48</v>
      </c>
      <c r="D2" s="16" t="s">
        <v>131</v>
      </c>
      <c r="E2" s="6" t="s">
        <v>316</v>
      </c>
      <c r="F2" s="6" t="s">
        <v>245</v>
      </c>
      <c r="G2" s="6" t="s">
        <v>10</v>
      </c>
      <c r="H2" s="6" t="s">
        <v>85</v>
      </c>
      <c r="I2" s="16" t="s">
        <v>216</v>
      </c>
      <c r="J2" s="15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J24" sqref="J24"/>
    </sheetView>
  </sheetViews>
  <sheetFormatPr defaultRowHeight="15" x14ac:dyDescent="0.25"/>
  <cols>
    <col min="1" max="1" width="3.28515625" bestFit="1" customWidth="1"/>
    <col min="2" max="2" width="23.7109375" bestFit="1" customWidth="1"/>
    <col min="3" max="3" width="10.28515625" bestFit="1" customWidth="1"/>
    <col min="4" max="4" width="10.5703125" bestFit="1" customWidth="1"/>
    <col min="5" max="5" width="11.5703125" bestFit="1" customWidth="1"/>
    <col min="6" max="6" width="12.42578125" bestFit="1" customWidth="1"/>
    <col min="7" max="7" width="8.85546875" bestFit="1" customWidth="1"/>
    <col min="8" max="8" width="6.140625" bestFit="1" customWidth="1"/>
  </cols>
  <sheetData>
    <row r="1" spans="1:8" x14ac:dyDescent="0.25">
      <c r="A1" s="2" t="s">
        <v>6</v>
      </c>
      <c r="B1" s="2" t="s">
        <v>135</v>
      </c>
      <c r="C1" s="2" t="s">
        <v>47</v>
      </c>
      <c r="D1" s="2" t="s">
        <v>130</v>
      </c>
      <c r="E1" s="2" t="s">
        <v>72</v>
      </c>
      <c r="F1" s="15" t="s">
        <v>73</v>
      </c>
      <c r="G1" s="15" t="s">
        <v>309</v>
      </c>
      <c r="H1" s="15" t="s">
        <v>310</v>
      </c>
    </row>
    <row r="2" spans="1:8" x14ac:dyDescent="0.25">
      <c r="A2" s="8" t="s">
        <v>44</v>
      </c>
      <c r="B2" s="14" t="s">
        <v>355</v>
      </c>
      <c r="C2" s="16" t="s">
        <v>48</v>
      </c>
      <c r="D2" s="15" t="s">
        <v>131</v>
      </c>
      <c r="E2" s="16" t="s">
        <v>74</v>
      </c>
      <c r="F2" s="15" t="str">
        <f ca="1">TEXT(NOW(),"yyyy-mm-dd")</f>
        <v>2026-08-21</v>
      </c>
      <c r="G2" s="15" t="s">
        <v>71</v>
      </c>
      <c r="H2" s="15" t="s">
        <v>71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J24" sqref="J24"/>
    </sheetView>
  </sheetViews>
  <sheetFormatPr defaultRowHeight="15" x14ac:dyDescent="0.25"/>
  <sheetData>
    <row r="1" spans="1:6" x14ac:dyDescent="0.25">
      <c r="A1" s="2" t="s">
        <v>6</v>
      </c>
      <c r="B1" s="2" t="s">
        <v>47</v>
      </c>
      <c r="C1" s="2" t="s">
        <v>130</v>
      </c>
      <c r="D1" s="2" t="s">
        <v>65</v>
      </c>
      <c r="E1" s="2" t="s">
        <v>242</v>
      </c>
      <c r="F1" s="2" t="s">
        <v>284</v>
      </c>
    </row>
    <row r="2" spans="1:6" x14ac:dyDescent="0.25">
      <c r="A2" s="6" t="s">
        <v>81</v>
      </c>
      <c r="B2" s="16" t="s">
        <v>48</v>
      </c>
      <c r="C2" s="16" t="s">
        <v>131</v>
      </c>
      <c r="D2" s="15">
        <v>68186021</v>
      </c>
      <c r="E2" s="15" t="s">
        <v>318</v>
      </c>
      <c r="F2" s="15" t="s">
        <v>319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J17" sqref="J17"/>
    </sheetView>
  </sheetViews>
  <sheetFormatPr defaultRowHeight="15" x14ac:dyDescent="0.25"/>
  <sheetData>
    <row r="1" spans="1:10" x14ac:dyDescent="0.25">
      <c r="A1" s="2" t="s">
        <v>6</v>
      </c>
      <c r="B1" s="2" t="s">
        <v>135</v>
      </c>
      <c r="C1" s="2" t="s">
        <v>47</v>
      </c>
      <c r="D1" s="2" t="s">
        <v>130</v>
      </c>
      <c r="E1" s="2" t="s">
        <v>312</v>
      </c>
      <c r="F1" s="2" t="s">
        <v>313</v>
      </c>
      <c r="G1" s="2" t="s">
        <v>314</v>
      </c>
      <c r="H1" s="2" t="s">
        <v>315</v>
      </c>
      <c r="I1" s="16" t="s">
        <v>225</v>
      </c>
      <c r="J1" s="2" t="s">
        <v>129</v>
      </c>
    </row>
    <row r="2" spans="1:10" x14ac:dyDescent="0.25">
      <c r="A2" s="6" t="s">
        <v>82</v>
      </c>
      <c r="B2" s="14" t="s">
        <v>355</v>
      </c>
      <c r="C2" s="16" t="s">
        <v>48</v>
      </c>
      <c r="D2" s="16" t="s">
        <v>131</v>
      </c>
      <c r="E2" s="6" t="s">
        <v>317</v>
      </c>
      <c r="F2" s="6" t="s">
        <v>245</v>
      </c>
      <c r="G2" s="6" t="s">
        <v>42</v>
      </c>
      <c r="H2" s="6" t="s">
        <v>85</v>
      </c>
      <c r="I2" s="16" t="s">
        <v>216</v>
      </c>
      <c r="J2" s="15"/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J24" sqref="J24"/>
    </sheetView>
  </sheetViews>
  <sheetFormatPr defaultRowHeight="15" x14ac:dyDescent="0.25"/>
  <sheetData>
    <row r="1" spans="1:8" x14ac:dyDescent="0.25">
      <c r="A1" s="2" t="s">
        <v>6</v>
      </c>
      <c r="B1" s="2" t="s">
        <v>135</v>
      </c>
      <c r="C1" s="2" t="s">
        <v>47</v>
      </c>
      <c r="D1" s="2" t="s">
        <v>130</v>
      </c>
      <c r="E1" s="2" t="s">
        <v>72</v>
      </c>
      <c r="F1" s="15" t="s">
        <v>73</v>
      </c>
      <c r="G1" s="15" t="s">
        <v>309</v>
      </c>
      <c r="H1" s="15" t="s">
        <v>310</v>
      </c>
    </row>
    <row r="2" spans="1:8" x14ac:dyDescent="0.25">
      <c r="A2" s="8" t="s">
        <v>44</v>
      </c>
      <c r="B2" s="14" t="s">
        <v>356</v>
      </c>
      <c r="C2" s="16" t="s">
        <v>48</v>
      </c>
      <c r="D2" s="15" t="s">
        <v>131</v>
      </c>
      <c r="E2" s="16" t="s">
        <v>74</v>
      </c>
      <c r="F2" s="15" t="str">
        <f ca="1">TEXT(NOW(),"yyyy-mm-dd")</f>
        <v>2026-08-21</v>
      </c>
      <c r="G2" s="15" t="s">
        <v>71</v>
      </c>
      <c r="H2" s="15" t="s">
        <v>71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J24" sqref="J24"/>
    </sheetView>
  </sheetViews>
  <sheetFormatPr defaultRowHeight="15" x14ac:dyDescent="0.25"/>
  <sheetData>
    <row r="1" spans="1:6" x14ac:dyDescent="0.25">
      <c r="A1" s="2" t="s">
        <v>6</v>
      </c>
      <c r="B1" s="2" t="s">
        <v>47</v>
      </c>
      <c r="C1" s="2" t="s">
        <v>130</v>
      </c>
      <c r="D1" s="2" t="s">
        <v>65</v>
      </c>
      <c r="E1" s="2" t="s">
        <v>242</v>
      </c>
      <c r="F1" s="2" t="s">
        <v>284</v>
      </c>
    </row>
    <row r="2" spans="1:6" x14ac:dyDescent="0.25">
      <c r="A2" s="6" t="s">
        <v>81</v>
      </c>
      <c r="B2" s="16" t="s">
        <v>48</v>
      </c>
      <c r="C2" s="16" t="s">
        <v>131</v>
      </c>
      <c r="D2" s="15">
        <v>68186021</v>
      </c>
      <c r="E2" s="15" t="s">
        <v>318</v>
      </c>
      <c r="F2" s="15" t="s">
        <v>319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F9" sqref="F9"/>
    </sheetView>
  </sheetViews>
  <sheetFormatPr defaultRowHeight="15" x14ac:dyDescent="0.25"/>
  <cols>
    <col min="1" max="1" width="5.7109375" bestFit="1" customWidth="1"/>
    <col min="2" max="2" width="30.7109375" bestFit="1" customWidth="1"/>
    <col min="3" max="3" width="10.28515625" bestFit="1" customWidth="1"/>
    <col min="4" max="4" width="10.5703125" bestFit="1" customWidth="1"/>
    <col min="5" max="5" width="11.140625" bestFit="1" customWidth="1"/>
    <col min="6" max="6" width="10" bestFit="1" customWidth="1"/>
    <col min="7" max="7" width="11.28515625" bestFit="1" customWidth="1"/>
    <col min="8" max="8" width="10.140625" bestFit="1" customWidth="1"/>
    <col min="9" max="9" width="19" bestFit="1" customWidth="1"/>
    <col min="10" max="10" width="19.28515625" bestFit="1" customWidth="1"/>
  </cols>
  <sheetData>
    <row r="1" spans="1:10" x14ac:dyDescent="0.25">
      <c r="A1" s="2" t="s">
        <v>6</v>
      </c>
      <c r="B1" s="2" t="s">
        <v>135</v>
      </c>
      <c r="C1" s="2" t="s">
        <v>47</v>
      </c>
      <c r="D1" s="2" t="s">
        <v>130</v>
      </c>
      <c r="E1" s="2" t="s">
        <v>320</v>
      </c>
      <c r="F1" s="2" t="s">
        <v>321</v>
      </c>
      <c r="G1" s="2" t="s">
        <v>322</v>
      </c>
      <c r="H1" s="2" t="s">
        <v>323</v>
      </c>
      <c r="I1" s="16" t="s">
        <v>225</v>
      </c>
      <c r="J1" s="2" t="s">
        <v>129</v>
      </c>
    </row>
    <row r="2" spans="1:10" x14ac:dyDescent="0.25">
      <c r="A2" s="6" t="s">
        <v>81</v>
      </c>
      <c r="B2" s="14" t="s">
        <v>356</v>
      </c>
      <c r="C2" s="16" t="s">
        <v>48</v>
      </c>
      <c r="D2" s="16" t="s">
        <v>131</v>
      </c>
      <c r="E2" s="6" t="s">
        <v>10</v>
      </c>
      <c r="F2" s="6" t="s">
        <v>10</v>
      </c>
      <c r="G2" s="6" t="s">
        <v>10</v>
      </c>
      <c r="H2" s="6" t="s">
        <v>10</v>
      </c>
      <c r="I2" s="16" t="s">
        <v>216</v>
      </c>
      <c r="J2" s="15"/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J24" sqref="J24"/>
    </sheetView>
  </sheetViews>
  <sheetFormatPr defaultRowHeight="15" x14ac:dyDescent="0.25"/>
  <sheetData>
    <row r="1" spans="1:3" x14ac:dyDescent="0.25">
      <c r="A1" s="16" t="s">
        <v>6</v>
      </c>
      <c r="B1" s="15" t="s">
        <v>129</v>
      </c>
      <c r="C1" s="15" t="s">
        <v>130</v>
      </c>
    </row>
    <row r="2" spans="1:3" x14ac:dyDescent="0.25">
      <c r="A2" s="6" t="s">
        <v>44</v>
      </c>
      <c r="B2" s="15"/>
      <c r="C2" s="15" t="s">
        <v>131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J24" sqref="J24"/>
    </sheetView>
  </sheetViews>
  <sheetFormatPr defaultColWidth="12.7109375" defaultRowHeight="15" x14ac:dyDescent="0.25"/>
  <cols>
    <col min="1" max="1" width="23.28515625" style="15" bestFit="1" customWidth="1"/>
    <col min="2" max="2" width="23.85546875" style="15" bestFit="1" customWidth="1"/>
    <col min="3" max="4" width="12.7109375" style="15"/>
    <col min="5" max="5" width="13.7109375" style="15" bestFit="1" customWidth="1"/>
    <col min="6" max="16384" width="12.7109375" style="15"/>
  </cols>
  <sheetData>
    <row r="1" spans="1:11" x14ac:dyDescent="0.25">
      <c r="A1" s="16" t="s">
        <v>329</v>
      </c>
      <c r="B1" s="16" t="s">
        <v>330</v>
      </c>
      <c r="C1" s="16" t="s">
        <v>5</v>
      </c>
      <c r="D1" s="16" t="s">
        <v>6</v>
      </c>
      <c r="E1" s="16" t="s">
        <v>135</v>
      </c>
      <c r="F1" s="16" t="s">
        <v>176</v>
      </c>
      <c r="G1" s="15" t="s">
        <v>129</v>
      </c>
      <c r="H1" s="15" t="s">
        <v>130</v>
      </c>
      <c r="I1" s="15" t="s">
        <v>47</v>
      </c>
      <c r="J1" s="15" t="s">
        <v>65</v>
      </c>
      <c r="K1" s="16" t="s">
        <v>331</v>
      </c>
    </row>
    <row r="2" spans="1:11" x14ac:dyDescent="0.25">
      <c r="A2" s="16" t="s">
        <v>332</v>
      </c>
      <c r="B2" s="16" t="s">
        <v>363</v>
      </c>
      <c r="C2" s="16" t="s">
        <v>334</v>
      </c>
      <c r="D2" s="6" t="s">
        <v>44</v>
      </c>
      <c r="E2" s="16" t="s">
        <v>364</v>
      </c>
      <c r="F2" s="6" t="s">
        <v>335</v>
      </c>
      <c r="G2" s="15" t="s">
        <v>133</v>
      </c>
      <c r="H2" s="15" t="s">
        <v>131</v>
      </c>
      <c r="I2" s="15" t="s">
        <v>48</v>
      </c>
      <c r="J2" s="15" t="s">
        <v>65</v>
      </c>
      <c r="K2" s="16" t="s">
        <v>332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E2" sqref="E2"/>
    </sheetView>
  </sheetViews>
  <sheetFormatPr defaultColWidth="12.7109375" defaultRowHeight="15" x14ac:dyDescent="0.25"/>
  <cols>
    <col min="1" max="16384" width="12.7109375" style="15"/>
  </cols>
  <sheetData>
    <row r="1" spans="1:12" x14ac:dyDescent="0.25">
      <c r="A1" s="16" t="s">
        <v>51</v>
      </c>
      <c r="B1" s="16" t="s">
        <v>52</v>
      </c>
      <c r="C1" s="16" t="s">
        <v>53</v>
      </c>
      <c r="D1" s="16" t="s">
        <v>25</v>
      </c>
      <c r="E1" s="16" t="s">
        <v>41</v>
      </c>
      <c r="F1" s="16" t="s">
        <v>26</v>
      </c>
      <c r="G1" s="16" t="s">
        <v>6</v>
      </c>
      <c r="H1" s="16" t="s">
        <v>135</v>
      </c>
      <c r="I1" s="16" t="s">
        <v>176</v>
      </c>
      <c r="J1" s="15" t="s">
        <v>129</v>
      </c>
      <c r="K1" s="15" t="s">
        <v>130</v>
      </c>
      <c r="L1" s="15" t="s">
        <v>47</v>
      </c>
    </row>
    <row r="2" spans="1:12" x14ac:dyDescent="0.25">
      <c r="A2" s="8" t="s">
        <v>233</v>
      </c>
      <c r="B2" s="6" t="s">
        <v>336</v>
      </c>
      <c r="C2" s="16" t="s">
        <v>56</v>
      </c>
      <c r="D2" s="26" t="s">
        <v>434</v>
      </c>
      <c r="E2" s="6" t="s">
        <v>365</v>
      </c>
      <c r="F2" s="6" t="s">
        <v>366</v>
      </c>
      <c r="G2" s="6" t="s">
        <v>81</v>
      </c>
      <c r="H2" s="16" t="s">
        <v>364</v>
      </c>
      <c r="I2" s="6" t="s">
        <v>335</v>
      </c>
      <c r="J2" s="15" t="s">
        <v>180</v>
      </c>
      <c r="K2" s="15" t="s">
        <v>131</v>
      </c>
      <c r="L2" s="15" t="s">
        <v>48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J24" sqref="J24"/>
    </sheetView>
  </sheetViews>
  <sheetFormatPr defaultColWidth="19.7109375" defaultRowHeight="15" x14ac:dyDescent="0.25"/>
  <cols>
    <col min="1" max="1" width="20.28515625" style="15" bestFit="1" customWidth="1"/>
    <col min="2" max="2" width="19.7109375" style="15"/>
    <col min="3" max="3" width="23.28515625" style="15" bestFit="1" customWidth="1"/>
    <col min="4" max="16384" width="19.7109375" style="15"/>
  </cols>
  <sheetData>
    <row r="1" spans="1:3" x14ac:dyDescent="0.25">
      <c r="A1" s="15" t="s">
        <v>65</v>
      </c>
      <c r="B1" s="15" t="s">
        <v>6</v>
      </c>
      <c r="C1" s="15" t="s">
        <v>331</v>
      </c>
    </row>
    <row r="2" spans="1:3" x14ac:dyDescent="0.25">
      <c r="A2" s="15" t="s">
        <v>80</v>
      </c>
      <c r="B2" s="6" t="s">
        <v>81</v>
      </c>
      <c r="C2" s="16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150</vt:i4>
      </vt:variant>
    </vt:vector>
  </HeadingPairs>
  <TitlesOfParts>
    <vt:vector size="150" baseType="lpstr">
      <vt:lpstr>Dispatch Advice II</vt:lpstr>
      <vt:lpstr>Dispatch Advice II Detail2</vt:lpstr>
      <vt:lpstr>Dispatch Advice II Detail</vt:lpstr>
      <vt:lpstr>Dispatch Advice II Loss</vt:lpstr>
      <vt:lpstr>Dispatch_Advice_Detail2_ASSR</vt:lpstr>
      <vt:lpstr>Dispatch Advice II Grid</vt:lpstr>
      <vt:lpstr>Dispatch Advice II Approval</vt:lpstr>
      <vt:lpstr>Dispatch Advice Approval</vt:lpstr>
      <vt:lpstr>Order Booking_BD (2)</vt:lpstr>
      <vt:lpstr>Order Booking_BD</vt:lpstr>
      <vt:lpstr>Order Booking Detail_BD</vt:lpstr>
      <vt:lpstr>Order Booking Detail_BD(3)</vt:lpstr>
      <vt:lpstr>Transaction InquiryVal AfterOB</vt:lpstr>
      <vt:lpstr>Trans InquiryVal AfterOB Detail</vt:lpstr>
      <vt:lpstr>Trans_InquiryVal_AfterOB_Det2</vt:lpstr>
      <vt:lpstr>Trans_InquiryVal_AfterOB_Header</vt:lpstr>
      <vt:lpstr>Order Booking Detail2_BD</vt:lpstr>
      <vt:lpstr>Order Booking Detail2_BD(3)</vt:lpstr>
      <vt:lpstr>Order Editing Detail2_BD (2)</vt:lpstr>
      <vt:lpstr>Order_Booking_Detail_BD_ASSR</vt:lpstr>
      <vt:lpstr>Stock Allocation_BD</vt:lpstr>
      <vt:lpstr>Stock Unallocation_BD</vt:lpstr>
      <vt:lpstr>Order Editing_BD</vt:lpstr>
      <vt:lpstr>Order Editing Detail_BD</vt:lpstr>
      <vt:lpstr>Order Editing Detail2_BD</vt:lpstr>
      <vt:lpstr>Order Booking Detail2 (2)</vt:lpstr>
      <vt:lpstr>ORD_EDIT_VALD_ASSR</vt:lpstr>
      <vt:lpstr>Order_Editing_Detail_BD_ASSR</vt:lpstr>
      <vt:lpstr>Order Cancellation_BD</vt:lpstr>
      <vt:lpstr>Order Cancellation Detail_BD</vt:lpstr>
      <vt:lpstr>Delivery Date Change_BD</vt:lpstr>
      <vt:lpstr>DELIVERYDATE_CHNG_ASSR</vt:lpstr>
      <vt:lpstr>DA_FORWARD_ASSR</vt:lpstr>
      <vt:lpstr>DA_APPROVALFRWD_ASSR</vt:lpstr>
      <vt:lpstr>DA Loss Approval Request</vt:lpstr>
      <vt:lpstr>Approval Screen</vt:lpstr>
      <vt:lpstr>Dispatch Advice Loss Approval</vt:lpstr>
      <vt:lpstr>DA_LOSS_APPROVALFRWD_ASSR</vt:lpstr>
      <vt:lpstr>Goods Issue Note</vt:lpstr>
      <vt:lpstr>Goods Issue Note CM Selection</vt:lpstr>
      <vt:lpstr>Goods Issue Note Detail</vt:lpstr>
      <vt:lpstr>Goods Issue Note Forward</vt:lpstr>
      <vt:lpstr>GIN_DTL_SAVE_ASSR</vt:lpstr>
      <vt:lpstr>GIN_FORWARD_ASSR</vt:lpstr>
      <vt:lpstr>Goods Issue Note Approval</vt:lpstr>
      <vt:lpstr>GIN_APPROVAL_SAVE_ASSR</vt:lpstr>
      <vt:lpstr>Cashmemo Reschedule</vt:lpstr>
      <vt:lpstr>FRESH_SALES_RETURN</vt:lpstr>
      <vt:lpstr>FRESH_SALES_RETURN_ASSR</vt:lpstr>
      <vt:lpstr>FRESH_SALES_RETURN DTL Partial</vt:lpstr>
      <vt:lpstr>FRESH_SALES_RETURN Val Partial</vt:lpstr>
      <vt:lpstr>FRESH_SALES_RETURN_Full</vt:lpstr>
      <vt:lpstr>FRESH_SALES_RETURN_Full_ASSR</vt:lpstr>
      <vt:lpstr>FRESH_SALES_RETURN DTL_Full</vt:lpstr>
      <vt:lpstr>FRESH_SALES_RETURN Val_Full</vt:lpstr>
      <vt:lpstr>Sales Return</vt:lpstr>
      <vt:lpstr>Sales Return2</vt:lpstr>
      <vt:lpstr>Sales Return Detail</vt:lpstr>
      <vt:lpstr>Sales Return Validation</vt:lpstr>
      <vt:lpstr>Sales_Retur</vt:lpstr>
      <vt:lpstr>Sales Return Detail3</vt:lpstr>
      <vt:lpstr>SaleRetDTL_Valid_ASSR</vt:lpstr>
      <vt:lpstr>SaleRetDTL_SAVE_ASSR</vt:lpstr>
      <vt:lpstr>Sales Return Status Change</vt:lpstr>
      <vt:lpstr>Sales Return Status Change Det</vt:lpstr>
      <vt:lpstr>Sales R Status Change_Valida</vt:lpstr>
      <vt:lpstr>SR_StatsChang_DTL_SAVE_ASSR</vt:lpstr>
      <vt:lpstr>Sales Return View</vt:lpstr>
      <vt:lpstr>Sales Return View,Detail_Val</vt:lpstr>
      <vt:lpstr>SaleRetrunView_ASSR</vt:lpstr>
      <vt:lpstr>Sales Return View Approval</vt:lpstr>
      <vt:lpstr>SaleRetrunViewApprval_ASSR</vt:lpstr>
      <vt:lpstr>Goods Return Note</vt:lpstr>
      <vt:lpstr>Good Return Note Detail</vt:lpstr>
      <vt:lpstr>Good Return Note Detail_Valida</vt:lpstr>
      <vt:lpstr>GRN_DTL_SAVE_ASSR</vt:lpstr>
      <vt:lpstr>Goods Return Note Forward</vt:lpstr>
      <vt:lpstr>GRN_FORWARD_ASSR</vt:lpstr>
      <vt:lpstr>Good Return Note Approval</vt:lpstr>
      <vt:lpstr>GRN_APPROVAL_ASSR</vt:lpstr>
      <vt:lpstr>Distributor selection</vt:lpstr>
      <vt:lpstr>Deposit Slip</vt:lpstr>
      <vt:lpstr>Deposit Slip,Outlet</vt:lpstr>
      <vt:lpstr>DEPOSIT_SAVE_ASSR</vt:lpstr>
      <vt:lpstr>Deposit Slip,Cash</vt:lpstr>
      <vt:lpstr>Deposit Slip,Cash memos,Cash</vt:lpstr>
      <vt:lpstr>Deposit Slip,Cash memos</vt:lpstr>
      <vt:lpstr>GLOBAL-REPO</vt:lpstr>
      <vt:lpstr>DEPOSIT_DTL_SAVE_ASSR</vt:lpstr>
      <vt:lpstr>Deposit Slip,Forward</vt:lpstr>
      <vt:lpstr>DEPOSITSLIP_FWD_ASSR</vt:lpstr>
      <vt:lpstr>Deposit Slip Update</vt:lpstr>
      <vt:lpstr>Cheque Status</vt:lpstr>
      <vt:lpstr>Cheque_Status_ASSR</vt:lpstr>
      <vt:lpstr>Cashmemo Status</vt:lpstr>
      <vt:lpstr>ORD_STATUS_SAVE_ASSR</vt:lpstr>
      <vt:lpstr>Unallocated_ASSR</vt:lpstr>
      <vt:lpstr>Stock_Allocation_ASSR</vt:lpstr>
      <vt:lpstr>Transaction Inquiry</vt:lpstr>
      <vt:lpstr>Stock Inquiry</vt:lpstr>
      <vt:lpstr>DSR Adjustment Amount</vt:lpstr>
      <vt:lpstr>DSR_ADJ_AMOUNT_ASSR</vt:lpstr>
      <vt:lpstr>DSR Adjustment Amount,Detail</vt:lpstr>
      <vt:lpstr>Route Settlement</vt:lpstr>
      <vt:lpstr>Route Settlement Validation</vt:lpstr>
      <vt:lpstr>Route Settlement Validation1</vt:lpstr>
      <vt:lpstr>Route Settlement Validation2</vt:lpstr>
      <vt:lpstr>Route Settlement Validation3</vt:lpstr>
      <vt:lpstr>PJP Daily</vt:lpstr>
      <vt:lpstr>Sheet1</vt:lpstr>
      <vt:lpstr>PJP Daily2</vt:lpstr>
      <vt:lpstr>PJP_Inquiry_ASSR</vt:lpstr>
      <vt:lpstr>SAN Admin</vt:lpstr>
      <vt:lpstr>SAN Admin Detail</vt:lpstr>
      <vt:lpstr>SAN Admin Forward</vt:lpstr>
      <vt:lpstr>SAN Warehouse2Warehouse</vt:lpstr>
      <vt:lpstr>SAN W2W Detail</vt:lpstr>
      <vt:lpstr>SAN W2W Forward</vt:lpstr>
      <vt:lpstr>SAN Entry</vt:lpstr>
      <vt:lpstr>SAN Entry Detail</vt:lpstr>
      <vt:lpstr>SAN Entry Forward</vt:lpstr>
      <vt:lpstr>SAN_FWD_ASSR</vt:lpstr>
      <vt:lpstr>SAN APP BD</vt:lpstr>
      <vt:lpstr>Stock Adjustment SAN APP</vt:lpstr>
      <vt:lpstr>SAN_APP_ASSR</vt:lpstr>
      <vt:lpstr>Stock_Val_after_SAN_admin</vt:lpstr>
      <vt:lpstr>Stock_Val_after_SAN_admin2</vt:lpstr>
      <vt:lpstr>Stock_Val_after_SAN_admin3</vt:lpstr>
      <vt:lpstr>Stock_Val_after_SAN_W2W</vt:lpstr>
      <vt:lpstr>Stock_Val_after_SAN_W2W2</vt:lpstr>
      <vt:lpstr>Stock_Val_after_SAN_W2W3</vt:lpstr>
      <vt:lpstr>Stock_Val_after_SAN_entry</vt:lpstr>
      <vt:lpstr>Stock_Val_after_SAN_entry2</vt:lpstr>
      <vt:lpstr>Stock_Val_after_SAN_entry3</vt:lpstr>
      <vt:lpstr>Stock_Val_after_DA</vt:lpstr>
      <vt:lpstr>Stock_Val_after_DA2</vt:lpstr>
      <vt:lpstr>Stock_Val_after_DA3</vt:lpstr>
      <vt:lpstr>Stock_Val_after_GIN</vt:lpstr>
      <vt:lpstr>Stock_Val_after_GIN2</vt:lpstr>
      <vt:lpstr>Stock_Val_after_GIN3</vt:lpstr>
      <vt:lpstr>Stock_Val_after_GRN</vt:lpstr>
      <vt:lpstr>Stock_Val_after_GRN2</vt:lpstr>
      <vt:lpstr>Stock_Val_after_GRN3</vt:lpstr>
      <vt:lpstr>Open_Close_Stock_Val</vt:lpstr>
      <vt:lpstr>Open_Close_Stock_Val2</vt:lpstr>
      <vt:lpstr>Open_Close_Stock_Val3</vt:lpstr>
      <vt:lpstr>screenshot_ASSR</vt:lpstr>
      <vt:lpstr>OTC Stock Out R1</vt:lpstr>
      <vt:lpstr>OTC Stock Out Det R1</vt:lpstr>
      <vt:lpstr>OTC Stock Out Fwd 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Hussain</dc:creator>
  <cp:lastModifiedBy>Huzaifa Saad</cp:lastModifiedBy>
  <dcterms:created xsi:type="dcterms:W3CDTF">2006-09-16T00:00:00Z</dcterms:created>
  <dcterms:modified xsi:type="dcterms:W3CDTF">2026-08-21T07:26:41Z</dcterms:modified>
</cp:coreProperties>
</file>